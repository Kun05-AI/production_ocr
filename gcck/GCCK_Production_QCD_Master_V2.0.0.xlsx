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36347ad00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BAT_DAU" sheetId="1" r:id="Rc12ed1f0558b4b6d"/>
    <x:sheet xmlns:r="http://schemas.openxmlformats.org/officeDocument/2006/relationships" name="02_DASHBOARD_QCD" sheetId="2" r:id="Rd82f9e7588ed4b94"/>
    <x:sheet xmlns:r="http://schemas.openxmlformats.org/officeDocument/2006/relationships" name="03_DON_HANG_BAN_VE" sheetId="3" r:id="Rfbc3e20e9a2b4a63"/>
    <x:sheet xmlns:r="http://schemas.openxmlformats.org/officeDocument/2006/relationships" name="04_KE_HOACH_CD" sheetId="4" r:id="R369bd3499d2246db"/>
    <x:sheet xmlns:r="http://schemas.openxmlformats.org/officeDocument/2006/relationships" name="05_BAO_CAO_NGAY" sheetId="5" r:id="R05cbfd7808e94f04"/>
    <x:sheet xmlns:r="http://schemas.openxmlformats.org/officeDocument/2006/relationships" name="06_LOI_CHAT_LUONG" sheetId="6" r:id="R4e32260795684d9f"/>
    <x:sheet xmlns:r="http://schemas.openxmlformats.org/officeDocument/2006/relationships" name="07_DUNG_CHO" sheetId="7" r:id="Rd4d06afa50224ea6"/>
    <x:sheet xmlns:r="http://schemas.openxmlformats.org/officeDocument/2006/relationships" name="08_KIEM_TRA_DL" sheetId="8" r:id="R225a87bbdf534922"/>
    <x:sheet xmlns:r="http://schemas.openxmlformats.org/officeDocument/2006/relationships" name="DM_MAY" sheetId="9" r:id="Re1ab5adb4bae4dbb"/>
    <x:sheet xmlns:r="http://schemas.openxmlformats.org/officeDocument/2006/relationships" name="DM_NHAN_SU" sheetId="10" r:id="Rb9c062164de84b58"/>
    <x:sheet xmlns:r="http://schemas.openxmlformats.org/officeDocument/2006/relationships" name="DM_CONG_DOAN" sheetId="11" r:id="R3223ecf503c14e0f"/>
    <x:sheet xmlns:r="http://schemas.openxmlformats.org/officeDocument/2006/relationships" name="DM_MA_LOI" sheetId="12" r:id="Rb3523e5974c74fbd"/>
    <x:sheet xmlns:r="http://schemas.openxmlformats.org/officeDocument/2006/relationships" name="DM_LY_DO_DUNG" sheetId="13" r:id="R0b8ce5b1b2e84de4"/>
    <x:sheet xmlns:r="http://schemas.openxmlformats.org/officeDocument/2006/relationships" name="DM_CA" sheetId="14" r:id="R2d87eafc3dbc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#,##0.0"/>
    <x:numFmt numFmtId="202" formatCode="hh:mm"/>
    <x:numFmt numFmtId="203" formatCode="dd/mm/yyyy"/>
    <x:numFmt numFmtId="204" formatCode="0.0%"/>
    <x:numFmt numFmtId="205" formatCode="dd/mm/yyyy hh:mm"/>
    <x:numFmt numFmtId="206" formatCode="0%"/>
  </x:numFmts>
  <x:fonts count="9">
    <x:font>
      <x:sz val="11"/>
      <x:name val="Carlito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b/>
      <x:sz val="9"/>
      <x:color rgb="FFFFFFFF"/>
      <x:name val="Arial"/>
    </x:font>
    <x:font>
      <x:sz val="9"/>
      <x:color rgb="FF1F1F1F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9"/>
      <x:color rgb="FF1F1F1F"/>
      <x:name val="Arial"/>
    </x:font>
    <x:font>
      <x:b/>
      <x:sz val="12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</x:fills>
  <x:borders count="4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hair">
        <x:color rgb="FFD9E1F2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2" fontId="4" fillId="4" borderId="3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204" fontId="4" fillId="2" borderId="3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1" fontId="4" fillId="2" borderId="3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3" fontId="4" fillId="2" borderId="3" xfId="0" applyNumberFormat="1" applyFont="1" applyFill="1" applyBorder="1" applyAlignment="1">
      <x:alignment vertical="center"/>
    </x:xf>
    <x:xf numFmtId="205" fontId="4" fillId="4" borderId="0" xfId="0" applyNumberFormat="1" applyFont="1" applyFill="1" applyBorder="1" applyAlignment="1">
      <x:alignment vertical="center"/>
    </x:xf>
    <x:xf numFmtId="205" fontId="4" fillId="4" borderId="3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0" borderId="1" xfId="0" applyNumberFormat="1" applyFont="1" applyFill="1" applyBorder="1"/>
    <x:xf numFmtId="203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right"/>
    </x:xf>
    <x:xf numFmtId="204" fontId="8" fillId="2" borderId="0" xfId="0" applyNumberFormat="1" applyFont="1" applyFill="1" applyBorder="1" applyAlignment="1">
      <x:alignment horizontal="right"/>
    </x:xf>
    <x:xf numFmtId="200" fontId="8" fillId="2" borderId="0" xfId="0" applyNumberFormat="1" applyFont="1" applyFill="1" applyBorder="1" applyAlignment="1">
      <x:alignment horizontal="right"/>
    </x:xf>
    <x:xf numFmtId="201" fontId="8" fillId="2" borderId="0" xfId="0" applyNumberFormat="1" applyFont="1" applyFill="1" applyBorder="1" applyAlignment="1">
      <x:alignment horizontal="right"/>
    </x:xf>
    <x:xf numFmtId="204" fontId="4" fillId="0" borderId="0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5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70259ee0048d9" /><Relationship Type="http://schemas.openxmlformats.org/officeDocument/2006/relationships/theme" Target="/xl/theme/theme1.xml" Id="Rf8ce055963784213" /><Relationship Type="http://schemas.openxmlformats.org/officeDocument/2006/relationships/sharedStrings" Target="/xl/sharedStrings.xml" Id="R005576231f07411a" /><Relationship Type="http://schemas.openxmlformats.org/officeDocument/2006/relationships/worksheet" Target="/xl/worksheets/sheet1.xml" Id="Rc12ed1f0558b4b6d" /><Relationship Type="http://schemas.openxmlformats.org/officeDocument/2006/relationships/worksheet" Target="/xl/worksheets/sheet2.xml" Id="Rd82f9e7588ed4b94" /><Relationship Type="http://schemas.openxmlformats.org/officeDocument/2006/relationships/worksheet" Target="/xl/worksheets/sheet3.xml" Id="Rfbc3e20e9a2b4a63" /><Relationship Type="http://schemas.openxmlformats.org/officeDocument/2006/relationships/worksheet" Target="/xl/worksheets/sheet4.xml" Id="R369bd3499d2246db" /><Relationship Type="http://schemas.openxmlformats.org/officeDocument/2006/relationships/worksheet" Target="/xl/worksheets/sheet5.xml" Id="R05cbfd7808e94f04" /><Relationship Type="http://schemas.openxmlformats.org/officeDocument/2006/relationships/worksheet" Target="/xl/worksheets/sheet6.xml" Id="R4e32260795684d9f" /><Relationship Type="http://schemas.openxmlformats.org/officeDocument/2006/relationships/worksheet" Target="/xl/worksheets/sheet7.xml" Id="Rd4d06afa50224ea6" /><Relationship Type="http://schemas.openxmlformats.org/officeDocument/2006/relationships/worksheet" Target="/xl/worksheets/sheet8.xml" Id="R225a87bbdf534922" /><Relationship Type="http://schemas.openxmlformats.org/officeDocument/2006/relationships/worksheet" Target="/xl/worksheets/sheet9.xml" Id="Re1ab5adb4bae4dbb" /><Relationship Type="http://schemas.openxmlformats.org/officeDocument/2006/relationships/worksheet" Target="/xl/worksheets/sheet10.xml" Id="Rb9c062164de84b58" /><Relationship Type="http://schemas.openxmlformats.org/officeDocument/2006/relationships/worksheet" Target="/xl/worksheets/sheet11.xml" Id="R3223ecf503c14e0f" /><Relationship Type="http://schemas.openxmlformats.org/officeDocument/2006/relationships/worksheet" Target="/xl/worksheets/sheet12.xml" Id="Rb3523e5974c74fbd" /><Relationship Type="http://schemas.openxmlformats.org/officeDocument/2006/relationships/worksheet" Target="/xl/worksheets/sheet13.xml" Id="R0b8ce5b1b2e84de4" /><Relationship Type="http://schemas.openxmlformats.org/officeDocument/2006/relationships/worksheet" Target="/xl/worksheets/sheet14.xml" Id="R2d87eafc3dbc4f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5db10f18a84b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QCD theo trung tâm công việc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FPY</c:v>
          </c:tx>
          <c:cat>
            <c:strRef>
              <c:f>'02_DASHBOARD_QCD'!$J$14:$J$19</c:f>
              <c:strCache>
                <c:ptCount val="0"/>
              </c:strCache>
            </c:strRef>
          </c:cat>
          <c:val>
            <c:numRef>
              <c:f>'02_DASHBOARD_QCD'!$K$14:$K$19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Hiệu suất</c:v>
          </c:tx>
          <c:cat>
            <c:strRef>
              <c:f>'02_DASHBOARD_QCD'!$J$14:$J$19</c:f>
              <c:strCache>
                <c:ptCount val="0"/>
              </c:strCache>
            </c:strRef>
          </c:cat>
          <c:val>
            <c:numRef>
              <c:f>'02_DASHBOARD_QCD'!$L$14:$L$19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OTD</c:v>
          </c:tx>
          <c:cat>
            <c:strRef>
              <c:f>'02_DASHBOARD_QCD'!$J$14:$J$19</c:f>
              <c:strCache>
                <c:ptCount val="0"/>
              </c:strCache>
            </c:strRef>
          </c:cat>
          <c:val>
            <c:numRef>
              <c:f>'02_DASHBOARD_QCD'!$M$14:$M$19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5db10f18a84b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OrderDrawingV2Table" displayName="OrderDrawingV2Table" ref="A5:V105" headerRowCount="1" totalsRowCount="0" totalsRowShown="0">
  <x:tableColumns count="22">
    <x:tableColumn id="1" name="STT"/>
    <x:tableColumn id="2" name="Mã đơn hàng"/>
    <x:tableColumn id="3" name="Mã bản vẽ"/>
    <x:tableColumn id="4" name="Rev"/>
    <x:tableColumn id="5" name="Dòng/Lô"/>
    <x:tableColumn id="6" name="Mã KH"/>
    <x:tableColumn id="7" name="Mã dự án"/>
    <x:tableColumn id="8" name="Mô tả"/>
    <x:tableColumn id="9" name="Vật liệu"/>
    <x:tableColumn id="10" name="Xử lý bề mặt"/>
    <x:tableColumn id="11" name="SL đặt"/>
    <x:tableColumn id="12" name="Ngày nhận"/>
    <x:tableColumn id="13" name="Ngày triển khai"/>
    <x:tableColumn id="14" name="Hạn nội bộ"/>
    <x:tableColumn id="15" name="Hạn khách hàng"/>
    <x:tableColumn id="16" name="Ưu tiên"/>
    <x:tableColumn id="17" name="Phụ trách"/>
    <x:tableColumn id="18" name="Mã dòng hệ thống"/>
    <x:tableColumn id="19" name="Tiến độ"/>
    <x:tableColumn id="20" name="Trạng thái"/>
    <x:tableColumn id="21" name="Rủi ro"/>
    <x:tableColumn id="22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RoutingV2Table" displayName="RoutingV2Table" ref="A5:Z305" headerRowCount="1" totalsRowCount="0" totalsRowShown="0">
  <x:tableColumns count="26">
    <x:tableColumn id="1" name="Thứ tự"/>
    <x:tableColumn id="2" name="Mã đơn hàng"/>
    <x:tableColumn id="3" name="Mã bản vẽ"/>
    <x:tableColumn id="4" name="Rev"/>
    <x:tableColumn id="5" name="Dòng/Lô"/>
    <x:tableColumn id="6" name="Mã dòng hệ thống"/>
    <x:tableColumn id="7" name="OperationPlanID"/>
    <x:tableColumn id="8" name="WorkCenter"/>
    <x:tableColumn id="9" name="OperationCode"/>
    <x:tableColumn id="10" name="SL kế hoạch"/>
    <x:tableColumn id="11" name="Setup ĐM"/>
    <x:tableColumn id="12" name="Cycle ĐM/pcs"/>
    <x:tableColumn id="13" name="Tổng ĐM"/>
    <x:tableColumn id="14" name="KH bắt đầu"/>
    <x:tableColumn id="15" name="KH hoàn thành"/>
    <x:tableColumn id="16" name="Máy KH"/>
    <x:tableColumn id="17" name="Bắt buộc QC"/>
    <x:tableColumn id="18" name="SL đạt"/>
    <x:tableColumn id="19" name="Tiến độ"/>
    <x:tableColumn id="20" name="Bắt đầu TT"/>
    <x:tableColumn id="21" name="Hoàn thành TT"/>
    <x:tableColumn id="22" name="Tình trạng"/>
    <x:tableColumn id="23" name="Hiệu suất"/>
    <x:tableColumn id="24" name="FPY"/>
    <x:tableColumn id="25" name="Downtime"/>
    <x:tableColumn id="26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DailyReportV2Table" displayName="DailyReportV2Table" ref="A5:AJ505" headerRowCount="1" totalsRowCount="0" totalsRowShown="0">
  <x:tableColumns count="36">
    <x:tableColumn id="1" name="RunID"/>
    <x:tableColumn id="2" name="Ngày"/>
    <x:tableColumn id="3" name="Ca"/>
    <x:tableColumn id="4" name="Mã đơn hàng"/>
    <x:tableColumn id="5" name="Mã bản vẽ"/>
    <x:tableColumn id="6" name="Rev"/>
    <x:tableColumn id="7" name="Dòng/Lô"/>
    <x:tableColumn id="8" name="Mã dòng hệ thống"/>
    <x:tableColumn id="9" name="Thứ tự CĐ"/>
    <x:tableColumn id="10" name="OperationCode"/>
    <x:tableColumn id="11" name="OperationPlanID"/>
    <x:tableColumn id="12" name="Nhân viên"/>
    <x:tableColumn id="13" name="Máy"/>
    <x:tableColumn id="14" name="ActivityType"/>
    <x:tableColumn id="15" name="Bắt đầu"/>
    <x:tableColumn id="16" name="Kết thúc"/>
    <x:tableColumn id="17" name="Nghỉ"/>
    <x:tableColumn id="18" name="Setup TT"/>
    <x:tableColumn id="19" name="Downtime"/>
    <x:tableColumn id="20" name="Run TT"/>
    <x:tableColumn id="21" name="SL xử lý"/>
    <x:tableColumn id="22" name="SL đạt"/>
    <x:tableColumn id="23" name="SL đạt lần đầu"/>
    <x:tableColumn id="24" name="SL cần sửa"/>
    <x:tableColumn id="25" name="SL phế"/>
    <x:tableColumn id="26" name="SL chờ"/>
    <x:tableColumn id="27" name="Cân đối SL"/>
    <x:tableColumn id="28" name="Earned Min"/>
    <x:tableColumn id="29" name="Labor Min"/>
    <x:tableColumn id="30" name="Hiệu suất"/>
    <x:tableColumn id="31" name="Chi phí LĐ"/>
    <x:tableColumn id="32" name="Chi phí máy"/>
    <x:tableColumn id="33" name="Chi phí chuyển đổi"/>
    <x:tableColumn id="34" name="Duyệt"/>
    <x:tableColumn id="35" name="Kiểm tra dữ liệu"/>
    <x:tableColumn id="36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QualityV2Table" displayName="QualityV2Table" ref="A5:AA505" headerRowCount="1" totalsRowCount="0" totalsRowShown="0">
  <x:tableColumns count="27">
    <x:tableColumn id="1" name="QualityID"/>
    <x:tableColumn id="2" name="Thời điểm"/>
    <x:tableColumn id="3" name="Mã đơn hàng"/>
    <x:tableColumn id="4" name="Mã bản vẽ"/>
    <x:tableColumn id="5" name="Rev"/>
    <x:tableColumn id="6" name="Dòng/Lô"/>
    <x:tableColumn id="7" name="Mã dòng"/>
    <x:tableColumn id="8" name="Thứ tự CĐ"/>
    <x:tableColumn id="9" name="OperationPlanID"/>
    <x:tableColumn id="10" name="RunID"/>
    <x:tableColumn id="11" name="Người kiểm"/>
    <x:tableColumn id="12" name="Loại kiểm"/>
    <x:tableColumn id="13" name="SL kiểm"/>
    <x:tableColumn id="14" name="SL đạt"/>
    <x:tableColumn id="15" name="SL lỗi"/>
    <x:tableColumn id="16" name="Mã lỗi"/>
    <x:tableColumn id="17" name="Nhóm lỗi"/>
    <x:tableColumn id="18" name="DefectType"/>
    <x:tableColumn id="19" name="Tính KPI SP"/>
    <x:tableColumn id="20" name="Mức độ"/>
    <x:tableColumn id="21" name="Xử lý"/>
    <x:tableColumn id="22" name="NCR No."/>
    <x:tableColumn id="23" name="Nguyên nhân sơ bộ"/>
    <x:tableColumn id="24" name="Nguyên nhân gốc"/>
    <x:tableColumn id="25" name="Hành động"/>
    <x:tableColumn id="26" name="Link ảnh"/>
    <x:tableColumn id="27" name="Kiểm tra dữ liệ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DowntimeV2Table" displayName="DowntimeV2Table" ref="A5:R505" headerRowCount="1" totalsRowCount="0" totalsRowShown="0">
  <x:tableColumns count="18">
    <x:tableColumn id="1" name="DowntimeID"/>
    <x:tableColumn id="2" name="RunID"/>
    <x:tableColumn id="3" name="Bắt đầu"/>
    <x:tableColumn id="4" name="Kết thúc"/>
    <x:tableColumn id="5" name="Số phút"/>
    <x:tableColumn id="6" name="Mã đơn hàng"/>
    <x:tableColumn id="7" name="Mã bản vẽ"/>
    <x:tableColumn id="8" name="OperationCode"/>
    <x:tableColumn id="9" name="Máy"/>
    <x:tableColumn id="10" name="ReasonCode"/>
    <x:tableColumn id="11" name="Nhóm nguyên nhân"/>
    <x:tableColumn id="12" name="Đơn vị xử lý"/>
    <x:tableColumn id="13" name="Mô tả"/>
    <x:tableColumn id="14" name="Hành động"/>
    <x:tableColumn id="15" name="Owner"/>
    <x:tableColumn id="16" name="Trạng thái"/>
    <x:tableColumn id="17" name="Đóng lúc"/>
    <x:tableColumn id="18" name="Kiểm tra dữ liệu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MachinesV2Table" displayName="MachinesV2Table" ref="A5:G105" headerRowCount="1" totalsRowCount="0" totalsRowShown="0">
  <x:tableColumns count="7">
    <x:tableColumn id="1" name="MachineID"/>
    <x:tableColumn id="2" name="Tên máy"/>
    <x:tableColumn id="3" name="WorkCenter"/>
    <x:tableColumn id="4" name="Loại máy"/>
    <x:tableColumn id="5" name="Phút khả dụng/ca"/>
    <x:tableColumn id="6" name="Đơn giá/giờ"/>
    <x:tableColumn id="7" name="Trạng thá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EmployeesV2Table" displayName="EmployeesV2Table" ref="A5:G105" headerRowCount="1" totalsRowCount="0" totalsRowShown="0">
  <x:tableColumns count="7">
    <x:tableColumn id="1" name="EmployeeID"/>
    <x:tableColumn id="2" name="Họ và tên"/>
    <x:tableColumn id="3" name="Tổ/Nhóm"/>
    <x:tableColumn id="4" name="Chức danh"/>
    <x:tableColumn id="5" name="Đơn giá/giờ"/>
    <x:tableColumn id="6" name="Ca mặc định"/>
    <x:tableColumn id="7" name="Trạng thá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OperationsV2Table" displayName="OperationsV2Table" ref="A5:I105" headerRowCount="1" totalsRowCount="0" totalsRowShown="0">
  <x:tableColumns count="9">
    <x:tableColumn id="1" name="OperationCode"/>
    <x:tableColumn id="2" name="Tên công đoạn"/>
    <x:tableColumn id="3" name="WorkCenter"/>
    <x:tableColumn id="4" name="Đơn vị"/>
    <x:tableColumn id="5" name="Setup mặc định"/>
    <x:tableColumn id="6" name="Cycle mặc định"/>
    <x:tableColumn id="7" name="Bắt buộc QC"/>
    <x:tableColumn id="8" name="Nhóm máy"/>
    <x:tableColumn id="9" name="Trạng thá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" name="DefectCodesV2Table" displayName="DefectCodesV2Table" ref="A5:J105" headerRowCount="1" totalsRowCount="0" totalsRowShown="0">
  <x:tableColumns count="10">
    <x:tableColumn id="1" name="Mã lỗi"/>
    <x:tableColumn id="2" name="Nhóm lỗi"/>
    <x:tableColumn id="3" name="Tên lỗi gốc"/>
    <x:tableColumn id="4" name="Diễn giải gốc"/>
    <x:tableColumn id="5" name="DefectType"/>
    <x:tableColumn id="6" name="Tính KPI sản phẩm"/>
    <x:tableColumn id="7" name="Mức độ mặc định"/>
    <x:tableColumn id="8" name="WorkCenter áp dụng"/>
    <x:tableColumn id="9" name="Active"/>
    <x:tableColumn id="10" name="Ghi chú chuẩn hó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" name="DowntimeReasonsV2Table" displayName="DowntimeReasonsV2Table" ref="A5:E105" headerRowCount="1" totalsRowCount="0" totalsRowShown="0">
  <x:tableColumns count="5">
    <x:tableColumn id="1" name="ReasonCode"/>
    <x:tableColumn id="2" name="Lý do"/>
    <x:tableColumn id="3" name="Nhóm 4M1E/Flow"/>
    <x:tableColumn id="4" name="Đơn vị xử lý mặc định"/>
    <x:tableColumn id="5" name="Activ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6" name="ShiftsV2Table" displayName="ShiftsV2Table" ref="A5:F105" headerRowCount="1" totalsRowCount="0" totalsRowShown="0">
  <x:tableColumns count="6">
    <x:tableColumn id="1" name="ShiftCode"/>
    <x:tableColumn id="2" name="Tên ca"/>
    <x:tableColumn id="3" name="Bắt đầu"/>
    <x:tableColumn id="4" name="Kết thúc"/>
    <x:tableColumn id="5" name="Nghỉ (phút)"/>
    <x:tableColumn id="6" name="Phút khả dụ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8a5aaf4095c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32165b51e76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9f6d173768d4a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b13b7df97d449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4d436645b4346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94797484047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b9cac8a12084c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555d72840dc47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fe46f7abeba4e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a30ebea3f2049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fff438c67f4a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a63fde060d1421e" /></Relationships>
</file>

<file path=xl/worksheets/sheet1.xml><?xml version="1.0" encoding="utf-8"?>
<x:worksheet xmlns:x="http://schemas.openxmlformats.org/spreadsheetml/2006/main">
  <x:sheetPr>
    <x:tabColor rgb="FF595959"/>
  </x:sheetPr>
  <x:sheetViews>
    <x:sheetView showGridLines="0" workbookViewId="0"/>
  </x:sheetViews>
  <x:sheetFormatPr defaultRowHeight="15"/>
  <x:cols>
    <x:col min="1" max="1" width="13.890000343322754" hidden="0" customWidth="1"/>
    <x:col min="2" max="2" width="28.889999389648438" hidden="0" customWidth="1"/>
    <x:col min="3" max="3" width="36.66999816894531" hidden="0" customWidth="1"/>
    <x:col min="4" max="4" width="28.889999389648438" hidden="0" customWidth="1"/>
    <x:col min="5" max="5" width="3.890000104904175" hidden="0" customWidth="1"/>
    <x:col min="6" max="6" width="14.4399995803833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</x:cols>
  <x:sheetData>
    <x:row r="2">
      <x:c r="A2" s="2" t="str">
        <x:v>MASTER QCD GIA CÔNG CƠ KHÍ - BẮT ĐẦU SỬ DỤNG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6" t="str">
        <x:v>Nguyên tắc: người dùng quản lý bằng Mã đơn hàng + Mã bản vẽ; khóa hệ thống được Excel tự tạo để tránh trùng dữ liệu.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>
      <x:c r="A6" s="12" t="str">
        <x:v>Vai trò</x:v>
      </x:c>
      <x:c r="B6" s="12" t="str">
        <x:v>Sheet cần dùng</x:v>
      </x:c>
      <x:c r="C6" s="12" t="str">
        <x:v>Công việc</x:v>
      </x:c>
      <x:c r="D6" s="16"/>
      <x:c r="E6" s="16"/>
      <x:c r="F6" s="12" t="str">
        <x:v>Quan hệ</x:v>
      </x:c>
      <x:c r="G6" s="12" t="str">
        <x:v>Cấp 1</x:v>
      </x:c>
      <x:c r="H6" s="12" t="str">
        <x:v>Cấp 2</x:v>
      </x:c>
      <x:c r="I6" s="12" t="str">
        <x:v>Cấp 3</x:v>
      </x:c>
      <x:c r="J6" s="12" t="str">
        <x:v>Cấp 4</x:v>
      </x:c>
    </x:row>
    <x:row r="7">
      <x:c r="A7" s="17" t="str">
        <x:v>Ban Giám đốc / QLSX</x:v>
      </x:c>
      <x:c r="B7" s="17" t="str">
        <x:v>02_DASHBOARD_QCD</x:v>
      </x:c>
      <x:c r="C7" s="17" t="str">
        <x:v>Theo dõi QCD, tiến độ và các vấn đề cần hành động</x:v>
      </x:c>
      <x:c r="D7" s="16"/>
      <x:c r="E7" s="16"/>
      <x:c r="F7" s="17" t="str">
        <x:v>Luồng dữ liệu</x:v>
      </x:c>
      <x:c r="G7" s="17" t="str">
        <x:v>Mã đơn hàng</x:v>
      </x:c>
      <x:c r="H7" s="17" t="str">
        <x:v>Mã bản vẽ</x:v>
      </x:c>
      <x:c r="I7" s="17" t="str">
        <x:v>Công đoạn</x:v>
      </x:c>
      <x:c r="J7" s="17" t="str">
        <x:v>Lần thực hiện</x:v>
      </x:c>
    </x:row>
    <x:row r="8">
      <x:c r="A8" s="17" t="str">
        <x:v>Điều độ / QLSX</x:v>
      </x:c>
      <x:c r="B8" s="17" t="str">
        <x:v>03_DON_HANG_BAN_VE; 04_KE_HOACH_CD</x:v>
      </x:c>
      <x:c r="C8" s="17" t="str">
        <x:v>Khai báo bản vẽ của đơn hàng và lập routing</x:v>
      </x:c>
      <x:c r="D8" s="16"/>
      <x:c r="E8" s="16"/>
      <x:c r="F8" s="17" t="str">
        <x:v>Khóa người dùng</x:v>
      </x:c>
      <x:c r="G8" s="17" t="str">
        <x:v>OrderNo</x:v>
      </x:c>
      <x:c r="H8" s="17" t="str">
        <x:v>DrawingNo</x:v>
      </x:c>
      <x:c r="I8" s="17" t="str">
        <x:v>Sequence</x:v>
      </x:c>
      <x:c r="J8" s="17" t="str">
        <x:v>Ngày/ca/người/máy</x:v>
      </x:c>
    </x:row>
    <x:row r="9">
      <x:c r="A9" s="17" t="str">
        <x:v>Tổ trưởng</x:v>
      </x:c>
      <x:c r="B9" s="17" t="str">
        <x:v>05_BAO_CAO_NGAY; 06_LOI_CHAT_LUONG; 07_DUNG_CHO</x:v>
      </x:c>
      <x:c r="C9" s="17" t="str">
        <x:v>Ghi nhận sản lượng, lỗi, rework và dừng/chờ</x:v>
      </x:c>
      <x:c r="D9" s="16"/>
      <x:c r="E9" s="16"/>
      <x:c r="F9" s="18" t="str">
        <x:v>Khóa hệ thống</x:v>
      </x:c>
      <x:c r="G9" s="18" t="str"/>
      <x:c r="H9" s="18" t="str">
        <x:v>OrderDrawingKey</x:v>
      </x:c>
      <x:c r="I9" s="18" t="str">
        <x:v>OperationPlanID</x:v>
      </x:c>
      <x:c r="J9" s="18" t="str">
        <x:v>RunID</x:v>
      </x:c>
    </x:row>
    <x:row r="10">
      <x:c r="A10" s="18" t="str">
        <x:v>Quản trị dữ liệu</x:v>
      </x:c>
      <x:c r="B10" s="18" t="str">
        <x:v>Các sheet DM_*</x:v>
      </x:c>
      <x:c r="C10" s="18" t="str">
        <x:v>Quản lý máy, nhân sự, công đoạn, mã lỗi, lý do dừng và ca</x:v>
      </x:c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2" t="str">
        <x:v>Bước</x:v>
      </x:c>
      <x:c r="B13" s="12" t="str">
        <x:v>Thực hiện</x:v>
      </x:c>
      <x:c r="C13" s="12" t="str">
        <x:v>Kết quả</x:v>
      </x:c>
      <x:c r="D13" s="12" t="str">
        <x:v>Kiểm soát</x:v>
      </x:c>
      <x:c r="E13" s="16"/>
      <x:c r="F13" s="16"/>
      <x:c r="G13" s="16"/>
      <x:c r="H13" s="16"/>
      <x:c r="I13" s="16"/>
      <x:c r="J13" s="16"/>
    </x:row>
    <x:row r="14">
      <x:c r="A14" s="17" t="n">
        <x:v>1</x:v>
      </x:c>
      <x:c r="B14" s="17" t="str">
        <x:v>Khai báo mã đơn hàng và từng mã bản vẽ</x:v>
      </x:c>
      <x:c r="C14" s="17" t="str">
        <x:v>Tạo mã dòng tự động</x:v>
      </x:c>
      <x:c r="D14" s="17" t="str">
        <x:v>Không trùng Đơn hàng + Bản vẽ + Rev + Lô</x:v>
      </x:c>
      <x:c r="E14" s="16"/>
      <x:c r="F14" s="16"/>
      <x:c r="G14" s="16"/>
      <x:c r="H14" s="16"/>
      <x:c r="I14" s="16"/>
      <x:c r="J14" s="16"/>
    </x:row>
    <x:row r="15">
      <x:c r="A15" s="17" t="n">
        <x:v>2</x:v>
      </x:c>
      <x:c r="B15" s="17" t="str">
        <x:v>Lập danh sách công đoạn cho từng bản vẽ</x:v>
      </x:c>
      <x:c r="C15" s="17" t="str">
        <x:v>Tạo OperationPlanID tự động</x:v>
      </x:c>
      <x:c r="D15" s="17" t="str">
        <x:v>Đủ số lượng, định mức và ngày kế hoạch</x:v>
      </x:c>
      <x:c r="E15" s="16"/>
      <x:c r="F15" s="16"/>
      <x:c r="G15" s="16"/>
      <x:c r="H15" s="16"/>
      <x:c r="I15" s="16"/>
      <x:c r="J15" s="16"/>
    </x:row>
    <x:row r="16">
      <x:c r="A16" s="17" t="n">
        <x:v>3</x:v>
      </x:c>
      <x:c r="B16" s="17" t="str">
        <x:v>Nhập báo cáo sản xuất theo từng lần chạy</x:v>
      </x:c>
      <x:c r="C16" s="17" t="str">
        <x:v>Ghi nhận người, máy, thời gian và sản lượng</x:v>
      </x:c>
      <x:c r="D16" s="17" t="str">
        <x:v>SL xử lý phải cân đối</x:v>
      </x:c>
      <x:c r="E16" s="16"/>
      <x:c r="F16" s="16"/>
      <x:c r="G16" s="16"/>
      <x:c r="H16" s="16"/>
      <x:c r="I16" s="16"/>
      <x:c r="J16" s="16"/>
    </x:row>
    <x:row r="17">
      <x:c r="A17" s="17" t="n">
        <x:v>4</x:v>
      </x:c>
      <x:c r="B17" s="17" t="str">
        <x:v>Ghi lỗi chất lượng hoặc sự kiện dừng</x:v>
      </x:c>
      <x:c r="C17" s="17" t="str">
        <x:v>Có mã lỗi, nguyên nhân và hành động</x:v>
      </x:c>
      <x:c r="D17" s="17" t="str">
        <x:v>Không trộn hiện tượng lỗi với nguyên nhân</x:v>
      </x:c>
      <x:c r="E17" s="16"/>
      <x:c r="F17" s="16"/>
      <x:c r="G17" s="16"/>
      <x:c r="H17" s="16"/>
      <x:c r="I17" s="16"/>
      <x:c r="J17" s="16"/>
    </x:row>
    <x:row r="18">
      <x:c r="A18" s="18" t="n">
        <x:v>5</x:v>
      </x:c>
      <x:c r="B18" s="18" t="str">
        <x:v>Xem Data Check trước khi chốt ngày</x:v>
      </x:c>
      <x:c r="C18" s="18" t="str">
        <x:v>Danh sách dữ liệu cần sửa</x:v>
      </x:c>
      <x:c r="D18" s="18" t="str">
        <x:v>Chỉ dùng KPI khi dữ liệu hợp lệ</x:v>
      </x:c>
      <x:c r="E18" s="16"/>
      <x:c r="F18" s="16"/>
      <x:c r="G18" s="16"/>
      <x:c r="H18" s="16"/>
      <x:c r="I18" s="16"/>
      <x:c r="J18" s="16"/>
    </x:row>
  </x:sheetData>
  <x:mergeCells>
    <x:mergeCell ref="A2:J2"/>
    <x:mergeCell ref="A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3.890000343322754" hidden="0" customWidth="1"/>
    <x:col min="2" max="2" width="13.890000343322754" hidden="0" customWidth="1"/>
    <x:col min="3" max="3" width="11.670000076293945" hidden="0" customWidth="1"/>
    <x:col min="4" max="4" width="10.5600004196167" hidden="0" customWidth="1"/>
    <x:col min="5" max="5" width="13.329999923706055" hidden="0" customWidth="1"/>
    <x:col min="6" max="6" width="13.329999923706055" hidden="0" customWidth="1"/>
    <x:col min="7" max="7" width="9.4399995803833" hidden="0" customWidth="1"/>
    <x:col min="8" max="8" width="9.4399995803833" hidden="0" customWidth="1"/>
    <x:col min="9" max="9" width="17.219999313354492" hidden="0" customWidth="1"/>
    <x:col min="10" max="10" width="13.890000343322754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2">
      <x:c r="A2" s="2" t="str">
        <x:v>DASHBOARD QCD - QUẢN LÝ SẢN XUẤT GCCK</x:v>
      </x:c>
    </x:row>
    <x:row r="3">
      <x:c r="A3" s="3" t="str">
        <x:v>Từ ngày</x:v>
      </x:c>
      <x:c r="B3" s="48" t="n">
        <x:v>46266</x:v>
      </x:c>
      <x:c r="C3" s="47"/>
      <x:c r="D3" s="47" t="str">
        <x:v>Đến ngày</x:v>
      </x:c>
      <x:c r="E3" s="48" t="n">
        <x:v>46295</x:v>
      </x:c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A5" s="51" t="str">
        <x:v>QUALITY</x:v>
      </x:c>
      <x:c r="B5" s="51"/>
      <x:c r="C5" s="51"/>
      <x:c r="D5" s="51"/>
      <x:c r="E5" s="51" t="str">
        <x:v>COST / EFFICIENCY</x:v>
      </x:c>
      <x:c r="F5" s="51"/>
      <x:c r="G5" s="51"/>
      <x:c r="H5" s="51"/>
      <x:c r="I5" s="51" t="str">
        <x:v>DELIVERY</x:v>
      </x:c>
      <x:c r="J5" s="51"/>
      <x:c r="K5" s="51"/>
      <x:c r="L5" s="51"/>
    </x:row>
    <x:row r="6">
      <x:c r="A6" s="53" t="str">
        <x:v>FPY</x:v>
      </x:c>
      <x:c r="B6" s="56" t="n">
        <x:f>IFERROR(SUMIFS('05_BAO_CAO_NGAY'!$W$6:$W$505,'05_BAO_CAO_NGAY'!$B$6:$B$505,"&gt;="&amp;$B$3,'05_BAO_CAO_NGAY'!$B$6:$B$505,"&lt;="&amp;$E$3,'05_BAO_CAO_NGAY'!$N$6:$N$505,"PRODUCTION")/SUMIFS('05_BAO_CAO_NGAY'!$U$6:$U$505,'05_BAO_CAO_NGAY'!$B$6:$B$505,"&gt;="&amp;$B$3,'05_BAO_CAO_NGAY'!$B$6:$B$505,"&lt;="&amp;$E$3,'05_BAO_CAO_NGAY'!$N$6:$N$505,"PRODUCTION"),0)</x:f>
        <x:v>0.9743589743589743</x:v>
      </x:c>
      <x:c r="E6" s="53" t="str">
        <x:v>Hiệu suất lao động</x:v>
      </x:c>
      <x:c r="F6" s="56" t="n">
        <x:f>IFERROR(SUMIFS('05_BAO_CAO_NGAY'!$AB$6:$AB$505,'05_BAO_CAO_NGAY'!$B$6:$B$505,"&gt;="&amp;$B$3,'05_BAO_CAO_NGAY'!$B$6:$B$505,"&lt;="&amp;$E$3)/SUMIFS('05_BAO_CAO_NGAY'!$AC$6:$AC$505,'05_BAO_CAO_NGAY'!$B$6:$B$505,"&gt;="&amp;$B$3,'05_BAO_CAO_NGAY'!$B$6:$B$505,"&lt;="&amp;$E$3),0)</x:f>
        <x:v>0.4246575342479298</x:v>
      </x:c>
      <x:c r="I6" s="53" t="str">
        <x:v>OTD công đoạn</x:v>
      </x:c>
      <x:c r="J6" s="56" t="n">
        <x:f>IFERROR(COUNTIFS('04_KE_HOACH_CD'!$U$6:$U$305,"&gt;="&amp;$B$3,'04_KE_HOACH_CD'!$U$6:$U$305,"&lt;="&amp;$E$3,'04_KE_HOACH_CD'!$V$6:$V$305,"Hoàn thành đúng hạn")/COUNTIFS('04_KE_HOACH_CD'!$U$6:$U$305,"&gt;="&amp;$B$3,'04_KE_HOACH_CD'!$U$6:$U$305,"&lt;="&amp;$E$3,'04_KE_HOACH_CD'!$S$6:$S$305,1),0)</x:f>
        <x:v>1</x:v>
      </x:c>
    </x:row>
    <x:row r="7">
      <x:c r="A7" s="53" t="str">
        <x:v>Tỷ lệ lỗi sản phẩm</x:v>
      </x:c>
      <x:c r="B7" s="56" t="n">
        <x:f>IFERROR(SUMIFS('06_LOI_CHAT_LUONG'!$O$6:$O$505,'06_LOI_CHAT_LUONG'!$B$6:$B$505,"&gt;="&amp;$B$3,'06_LOI_CHAT_LUONG'!$B$6:$B$505,"&lt;"&amp;$E$3+1,'06_LOI_CHAT_LUONG'!$S$6:$S$505,"Có")/SUMIFS('06_LOI_CHAT_LUONG'!$M$6:$M$505,'06_LOI_CHAT_LUONG'!$B$6:$B$505,"&gt;="&amp;$B$3,'06_LOI_CHAT_LUONG'!$B$6:$B$505,"&lt;"&amp;$E$3+1,'06_LOI_CHAT_LUONG'!$S$6:$S$505,"Có"),0)</x:f>
        <x:v>0.06666666666666667</x:v>
      </x:c>
      <x:c r="E7" s="53" t="str">
        <x:v>Downtime Rate</x:v>
      </x:c>
      <x:c r="F7" s="56" t="n">
        <x:f>IFERROR(SUMIFS('05_BAO_CAO_NGAY'!$S$6:$S$505,'05_BAO_CAO_NGAY'!$B$6:$B$505,"&gt;="&amp;$B$3,'05_BAO_CAO_NGAY'!$B$6:$B$505,"&lt;="&amp;$E$3)/SUMIFS('05_BAO_CAO_NGAY'!$AC$6:$AC$505,'05_BAO_CAO_NGAY'!$B$6:$B$505,"&gt;="&amp;$B$3,'05_BAO_CAO_NGAY'!$B$6:$B$505,"&lt;="&amp;$E$3),0)</x:f>
        <x:v>0.05136986301625457</x:v>
      </x:c>
      <x:c r="I7" s="53" t="str">
        <x:v>Schedule attainment</x:v>
      </x:c>
      <x:c r="J7" s="56" t="n">
        <x:f>IFERROR(SUMIFS('04_KE_HOACH_CD'!$M$6:$M$305,'04_KE_HOACH_CD'!$O$6:$O$305,"&gt;="&amp;$B$3,'04_KE_HOACH_CD'!$O$6:$O$305,"&lt;="&amp;$E$3,'04_KE_HOACH_CD'!$S$6:$S$305,1)/SUMIFS('04_KE_HOACH_CD'!$M$6:$M$305,'04_KE_HOACH_CD'!$O$6:$O$305,"&gt;="&amp;$B$3,'04_KE_HOACH_CD'!$O$6:$O$305,"&lt;="&amp;$E$3),0)</x:f>
        <x:v>0.4178082191780822</x:v>
      </x:c>
    </x:row>
    <x:row r="8">
      <x:c r="A8" s="53" t="str">
        <x:v>Tỷ lệ phế</x:v>
      </x:c>
      <x:c r="B8" s="56" t="n">
        <x:f>IFERROR(SUMIFS('05_BAO_CAO_NGAY'!$Y$6:$Y$505,'05_BAO_CAO_NGAY'!$B$6:$B$505,"&gt;="&amp;$B$3,'05_BAO_CAO_NGAY'!$B$6:$B$505,"&lt;="&amp;$E$3)/SUMIFS('05_BAO_CAO_NGAY'!$U$6:$U$505,'05_BAO_CAO_NGAY'!$B$6:$B$505,"&gt;="&amp;$B$3,'05_BAO_CAO_NGAY'!$B$6:$B$505,"&lt;="&amp;$E$3,'05_BAO_CAO_NGAY'!$N$6:$N$505,"PRODUCTION"),0)</x:f>
        <x:v>0</x:v>
      </x:c>
      <x:c r="E8" s="53" t="str">
        <x:v>Chi phí chuyển đổi</x:v>
      </x:c>
      <x:c r="F8" s="57" t="n">
        <x:f>SUMIFS('05_BAO_CAO_NGAY'!$AG$6:$AG$505,'05_BAO_CAO_NGAY'!$B$6:$B$505,"&gt;="&amp;$B$3,'05_BAO_CAO_NGAY'!$B$6:$B$505,"&lt;="&amp;$E$3)</x:f>
        <x:v>7492499.999965075</x:v>
      </x:c>
      <x:c r="I8" s="53" t="str">
        <x:v>Bản vẽ rủi ro/quá hạn</x:v>
      </x:c>
      <x:c r="J8" s="55" t="n">
        <x:f>COUNTIF('03_DON_HANG_BAN_VE'!$U$6:$U$105,"Rủi ro cao")+COUNTIF('03_DON_HANG_BAN_VE'!$U$6:$U$105,"Quá hạn")</x:f>
        <x:v>0</x:v>
      </x:c>
    </x:row>
    <x:row r="9">
      <x:c r="A9" s="53" t="str">
        <x:v>Tỷ lệ rework</x:v>
      </x:c>
      <x:c r="B9" s="56" t="n">
        <x:f>IFERROR(SUMIFS('05_BAO_CAO_NGAY'!$X$6:$X$505,'05_BAO_CAO_NGAY'!$B$6:$B$505,"&gt;="&amp;$B$3,'05_BAO_CAO_NGAY'!$B$6:$B$505,"&lt;="&amp;$E$3,'05_BAO_CAO_NGAY'!$N$6:$N$505,"PRODUCTION")/SUMIFS('05_BAO_CAO_NGAY'!$U$6:$U$505,'05_BAO_CAO_NGAY'!$B$6:$B$505,"&gt;="&amp;$B$3,'05_BAO_CAO_NGAY'!$B$6:$B$505,"&lt;="&amp;$E$3,'05_BAO_CAO_NGAY'!$N$6:$N$505,"PRODUCTION"),0)</x:f>
        <x:v>0.02564102564102564</x:v>
      </x:c>
      <x:c r="E9" s="53" t="str">
        <x:v>Chi phí/SL đạt</x:v>
      </x:c>
      <x:c r="F9" s="57" t="n">
        <x:f>IFERROR(F8/SUMIFS('05_BAO_CAO_NGAY'!$V$6:$V$505,'05_BAO_CAO_NGAY'!$B$6:$B$505,"&gt;="&amp;$B$3,'05_BAO_CAO_NGAY'!$B$6:$B$505,"&lt;="&amp;$E$3),0)</x:f>
        <x:v>64590.51724107824</x:v>
      </x:c>
      <x:c r="I9" s="53" t="str">
        <x:v>Công đoạn quá hạn</x:v>
      </x:c>
      <x:c r="J9" s="55" t="n">
        <x:f>COUNTIF('04_KE_HOACH_CD'!$V$6:$V$305,"Quá hạn")</x:f>
        <x:v>2</x:v>
      </x:c>
    </x:row>
    <x:row r="10">
      <x:c r="A10" s="53" t="str">
        <x:v>SL lỗi sản phẩm</x:v>
      </x:c>
      <x:c r="B10" s="55" t="n">
        <x:f>SUMIFS('06_LOI_CHAT_LUONG'!$O$6:$O$505,'06_LOI_CHAT_LUONG'!$B$6:$B$505,"&gt;="&amp;$B$3,'06_LOI_CHAT_LUONG'!$B$6:$B$505,"&lt;"&amp;$E$3+1,'06_LOI_CHAT_LUONG'!$S$6:$S$505,"Có")</x:f>
        <x:v>3</x:v>
      </x:c>
      <x:c r="E10" s="53" t="str">
        <x:v>Giờ rework</x:v>
      </x:c>
      <x:c r="F10" s="58" t="n">
        <x:f>SUMIFS('05_BAO_CAO_NGAY'!$AC$6:$AC$505,'05_BAO_CAO_NGAY'!$B$6:$B$505,"&gt;="&amp;$B$3,'05_BAO_CAO_NGAY'!$B$6:$B$505,"&lt;="&amp;$E$3,'05_BAO_CAO_NGAY'!$N$6:$N$505,"REWORK")/60</x:f>
        <x:v>1.1666666666278616</x:v>
      </x:c>
      <x:c r="I10" s="53" t="str">
        <x:v>Dữ liệu cần sửa</x:v>
      </x:c>
      <x:c r="J10" s="55" t="n">
        <x:f>SUM('08_KIEM_TRA_DL'!$C$6:$C$12)</x:f>
        <x:v>2</x:v>
      </x:c>
    </x:row>
    <x:row r="13">
      <x:c r="A13" s="12" t="str">
        <x:v>WorkCenter</x:v>
      </x:c>
      <x:c r="B13" s="12" t="str">
        <x:v>SL xử lý</x:v>
      </x:c>
      <x:c r="C13" s="12" t="str">
        <x:v>FPY</x:v>
      </x:c>
      <x:c r="D13" s="12" t="str">
        <x:v>Hiệu suất</x:v>
      </x:c>
      <x:c r="E13" s="12" t="str">
        <x:v>Downtime</x:v>
      </x:c>
      <x:c r="F13" s="12" t="str">
        <x:v>CĐ hoàn thành</x:v>
      </x:c>
      <x:c r="G13" s="12" t="str">
        <x:v>OTD</x:v>
      </x:c>
      <x:c r="H13" s="12" t="str">
        <x:v>Tình trạng</x:v>
      </x:c>
      <x:c r="J13" t="str">
        <x:v>WorkCenter</x:v>
      </x:c>
      <x:c r="K13" t="str">
        <x:v>FPY</x:v>
      </x:c>
      <x:c r="L13" t="str">
        <x:v>Hiệu suất</x:v>
      </x:c>
      <x:c r="M13" t="str">
        <x:v>OTD</x:v>
      </x:c>
    </x:row>
    <x:row r="14">
      <x:c r="A14" s="14" t="str">
        <x:v>Cấp phôi</x:v>
      </x:c>
      <x:c r="B14" s="14" t="n">
        <x:f>SUMIF('04_KE_HOACH_CD'!$H$6:$H$305,$A14,'04_KE_HOACH_CD'!$R$6:$R$305)</x:f>
        <x:v>60</x:v>
      </x:c>
      <x:c r="C14" s="59" t="n">
        <x:f>IFERROR(SUMPRODUCT(('04_KE_HOACH_CD'!$H$6:$H$305=$A14)*'04_KE_HOACH_CD'!$X$6:$X$305*'04_KE_HOACH_CD'!$R$6:$R$305)/SUMIF('04_KE_HOACH_CD'!$H$6:$H$305,$A14,'04_KE_HOACH_CD'!$R$6:$R$305),0)</x:f>
        <x:v>1</x:v>
      </x:c>
      <x:c r="D14" s="59" t="n">
        <x:f>IFERROR(SUMPRODUCT(('04_KE_HOACH_CD'!$H$6:$H$305=$A14)*'04_KE_HOACH_CD'!$W$6:$W$305*'04_KE_HOACH_CD'!$M$6:$M$305)/SUMIF('04_KE_HOACH_CD'!$H$6:$H$305,$A14,'04_KE_HOACH_CD'!$M$6:$M$305),0)</x:f>
        <x:v>0.899017094001026</x:v>
      </x:c>
      <x:c r="E14" s="14" t="n">
        <x:f>SUMIF('04_KE_HOACH_CD'!$H$6:$H$305,$A14,'04_KE_HOACH_CD'!$Y$6:$Y$305)</x:f>
        <x:v>0</x:v>
      </x:c>
      <x:c r="F14" s="14" t="n">
        <x:f>COUNTIFS('04_KE_HOACH_CD'!$H$6:$H$305,$A14,'04_KE_HOACH_CD'!$S$6:$S$305,1)</x:f>
        <x:v>3</x:v>
      </x:c>
      <x:c r="G14" s="59" t="n">
        <x:f>IFERROR(COUNTIFS('04_KE_HOACH_CD'!$H$6:$H$305,$A14,'04_KE_HOACH_CD'!$V$6:$V$305,"Hoàn thành đúng hạn")/COUNTIFS('04_KE_HOACH_CD'!$H$6:$H$305,$A14,'04_KE_HOACH_CD'!$S$6:$S$305,1),0)</x:f>
        <x:v>1</x:v>
      </x:c>
      <x:c r="H14" s="14" t="str">
        <x:f>IF(AND(B14=0,F14=0),"",IF(OR(C14&lt;0.95,D14&lt;0.85,G14&lt;0.9),"Cần theo dõi","Bình thường"))</x:f>
        <x:v>Bình thường</x:v>
      </x:c>
      <x:c r="J14" t="str">
        <x:v>Cấp phôi</x:v>
      </x:c>
      <x:c r="K14" s="61" t="n">
        <x:f>C14</x:f>
        <x:v>1</x:v>
      </x:c>
      <x:c r="L14" s="61" t="n">
        <x:f>D14</x:f>
        <x:v>0.899017094001026</x:v>
      </x:c>
      <x:c r="M14" s="61" t="n">
        <x:f>G14</x:f>
        <x:v>1</x:v>
      </x:c>
    </x:row>
    <x:row r="15">
      <x:c r="A15" s="14" t="str">
        <x:v>Phay CNC</x:v>
      </x:c>
      <x:c r="B15" s="14" t="n">
        <x:f>SUMIF('04_KE_HOACH_CD'!$H$6:$H$305,$A15,'04_KE_HOACH_CD'!$R$6:$R$305)</x:f>
        <x:v>24</x:v>
      </x:c>
      <x:c r="C15" s="59" t="n">
        <x:f>IFERROR(SUMPRODUCT(('04_KE_HOACH_CD'!$H$6:$H$305=$A15)*'04_KE_HOACH_CD'!$X$6:$X$305*'04_KE_HOACH_CD'!$R$6:$R$305)/SUMIF('04_KE_HOACH_CD'!$H$6:$H$305,$A15,'04_KE_HOACH_CD'!$R$6:$R$305),0)</x:f>
        <x:v>0.96</x:v>
      </x:c>
      <x:c r="D15" s="59" t="n">
        <x:f>IFERROR(SUMPRODUCT(('04_KE_HOACH_CD'!$H$6:$H$305=$A15)*'04_KE_HOACH_CD'!$W$6:$W$305*'04_KE_HOACH_CD'!$M$6:$M$305)/SUMIF('04_KE_HOACH_CD'!$H$6:$H$305,$A15,'04_KE_HOACH_CD'!$M$6:$M$305),0)</x:f>
        <x:v>0.30379746835532573</x:v>
      </x:c>
      <x:c r="E15" s="14" t="n">
        <x:f>SUMIF('04_KE_HOACH_CD'!$H$6:$H$305,$A15,'04_KE_HOACH_CD'!$Y$6:$Y$305)</x:f>
        <x:v>30.00000000349246</x:v>
      </x:c>
      <x:c r="F15" s="14" t="n">
        <x:f>COUNTIFS('04_KE_HOACH_CD'!$H$6:$H$305,$A15,'04_KE_HOACH_CD'!$S$6:$S$305,1)</x:f>
        <x:v>0</x:v>
      </x:c>
      <x:c r="G15" s="59" t="n">
        <x:f>IFERROR(COUNTIFS('04_KE_HOACH_CD'!$H$6:$H$305,$A15,'04_KE_HOACH_CD'!$V$6:$V$305,"Hoàn thành đúng hạn")/COUNTIFS('04_KE_HOACH_CD'!$H$6:$H$305,$A15,'04_KE_HOACH_CD'!$S$6:$S$305,1),0)</x:f>
        <x:v>0</x:v>
      </x:c>
      <x:c r="H15" s="14" t="str">
        <x:f>IF(AND(B15=0,F15=0),"",IF(OR(C15&lt;0.95,D15&lt;0.85,G15&lt;0.9),"Cần theo dõi","Bình thường"))</x:f>
        <x:v>Cần theo dõi</x:v>
      </x:c>
      <x:c r="J15" t="str">
        <x:v>Phay CNC</x:v>
      </x:c>
      <x:c r="K15" s="61" t="n">
        <x:f>C15</x:f>
        <x:v>0.96</x:v>
      </x:c>
      <x:c r="L15" s="61" t="n">
        <x:f>D15</x:f>
        <x:v>0.30379746835532573</x:v>
      </x:c>
      <x:c r="M15" s="61" t="n">
        <x:f>G15</x:f>
        <x:v>0</x:v>
      </x:c>
    </x:row>
    <x:row r="16">
      <x:c r="A16" s="14" t="str">
        <x:v>Tiện CNC</x:v>
      </x:c>
      <x:c r="B16" s="14" t="n">
        <x:f>SUMIF('04_KE_HOACH_CD'!$H$6:$H$305,$A16,'04_KE_HOACH_CD'!$R$6:$R$305)</x:f>
        <x:v>32</x:v>
      </x:c>
      <x:c r="C16" s="59" t="n">
        <x:f>IFERROR(SUMPRODUCT(('04_KE_HOACH_CD'!$H$6:$H$305=$A16)*'04_KE_HOACH_CD'!$X$6:$X$305*'04_KE_HOACH_CD'!$R$6:$R$305)/SUMIF('04_KE_HOACH_CD'!$H$6:$H$305,$A16,'04_KE_HOACH_CD'!$R$6:$R$305),0)</x:f>
        <x:v>0.9375</x:v>
      </x:c>
      <x:c r="D16" s="59" t="n">
        <x:f>IFERROR(SUMPRODUCT(('04_KE_HOACH_CD'!$H$6:$H$305=$A16)*'04_KE_HOACH_CD'!$W$6:$W$305*'04_KE_HOACH_CD'!$M$6:$M$305)/SUMIF('04_KE_HOACH_CD'!$H$6:$H$305,$A16,'04_KE_HOACH_CD'!$M$6:$M$305),0)</x:f>
        <x:v>0.18446115288391887</x:v>
      </x:c>
      <x:c r="E16" s="14" t="n">
        <x:f>SUMIF('04_KE_HOACH_CD'!$H$6:$H$305,$A16,'04_KE_HOACH_CD'!$Y$6:$Y$305)</x:f>
        <x:v>45</x:v>
      </x:c>
      <x:c r="F16" s="14" t="n">
        <x:f>COUNTIFS('04_KE_HOACH_CD'!$H$6:$H$305,$A16,'04_KE_HOACH_CD'!$S$6:$S$305,1)</x:f>
        <x:v>1</x:v>
      </x:c>
      <x:c r="G16" s="59" t="n">
        <x:f>IFERROR(COUNTIFS('04_KE_HOACH_CD'!$H$6:$H$305,$A16,'04_KE_HOACH_CD'!$V$6:$V$305,"Hoàn thành đúng hạn")/COUNTIFS('04_KE_HOACH_CD'!$H$6:$H$305,$A16,'04_KE_HOACH_CD'!$S$6:$S$305,1),0)</x:f>
        <x:v>1</x:v>
      </x:c>
      <x:c r="H16" s="14" t="str">
        <x:f>IF(AND(B16=0,F16=0),"",IF(OR(C16&lt;0.95,D16&lt;0.85,G16&lt;0.9),"Cần theo dõi","Bình thường"))</x:f>
        <x:v>Cần theo dõi</x:v>
      </x:c>
      <x:c r="J16" t="str">
        <x:v>Tiện CNC</x:v>
      </x:c>
      <x:c r="K16" s="61" t="n">
        <x:f>C16</x:f>
        <x:v>0.9375</x:v>
      </x:c>
      <x:c r="L16" s="61" t="n">
        <x:f>D16</x:f>
        <x:v>0.18446115288391887</x:v>
      </x:c>
      <x:c r="M16" s="61" t="n">
        <x:f>G16</x:f>
        <x:v>1</x:v>
      </x:c>
    </x:row>
    <x:row r="17">
      <x:c r="A17" s="14" t="str">
        <x:v>Cắt dây</x:v>
      </x:c>
      <x:c r="B17" s="14" t="n">
        <x:f>SUMIF('04_KE_HOACH_CD'!$H$6:$H$305,$A17,'04_KE_HOACH_CD'!$R$6:$R$305)</x:f>
        <x:v>0</x:v>
      </x:c>
      <x:c r="C17" s="59" t="n">
        <x:f>IFERROR(SUMPRODUCT(('04_KE_HOACH_CD'!$H$6:$H$305=$A17)*'04_KE_HOACH_CD'!$X$6:$X$305*'04_KE_HOACH_CD'!$R$6:$R$305)/SUMIF('04_KE_HOACH_CD'!$H$6:$H$305,$A17,'04_KE_HOACH_CD'!$R$6:$R$305),0)</x:f>
        <x:v>0</x:v>
      </x:c>
      <x:c r="D17" s="59" t="n">
        <x:f>IFERROR(SUMPRODUCT(('04_KE_HOACH_CD'!$H$6:$H$305=$A17)*'04_KE_HOACH_CD'!$W$6:$W$305*'04_KE_HOACH_CD'!$M$6:$M$305)/SUMIF('04_KE_HOACH_CD'!$H$6:$H$305,$A17,'04_KE_HOACH_CD'!$M$6:$M$305),0)</x:f>
        <x:v>0</x:v>
      </x:c>
      <x:c r="E17" s="14" t="n">
        <x:f>SUMIF('04_KE_HOACH_CD'!$H$6:$H$305,$A17,'04_KE_HOACH_CD'!$Y$6:$Y$305)</x:f>
        <x:v>0</x:v>
      </x:c>
      <x:c r="F17" s="14" t="n">
        <x:f>COUNTIFS('04_KE_HOACH_CD'!$H$6:$H$305,$A17,'04_KE_HOACH_CD'!$S$6:$S$305,1)</x:f>
        <x:v>0</x:v>
      </x:c>
      <x:c r="G17" s="59" t="n">
        <x:f>IFERROR(COUNTIFS('04_KE_HOACH_CD'!$H$6:$H$305,$A17,'04_KE_HOACH_CD'!$V$6:$V$305,"Hoàn thành đúng hạn")/COUNTIFS('04_KE_HOACH_CD'!$H$6:$H$305,$A17,'04_KE_HOACH_CD'!$S$6:$S$305,1),0)</x:f>
        <x:v>0</x:v>
      </x:c>
      <x:c r="H17" s="14" t="str">
        <x:f>IF(AND(B17=0,F17=0),"",IF(OR(C17&lt;0.95,D17&lt;0.85,G17&lt;0.9),"Cần theo dõi","Bình thường"))</x:f>
      </x:c>
      <x:c r="J17" t="str">
        <x:v>Cắt dây</x:v>
      </x:c>
      <x:c r="K17" s="61" t="n">
        <x:f>C17</x:f>
        <x:v>0</x:v>
      </x:c>
      <x:c r="L17" s="61" t="n">
        <x:f>D17</x:f>
        <x:v>0</x:v>
      </x:c>
      <x:c r="M17" s="61" t="n">
        <x:f>G17</x:f>
        <x:v>0</x:v>
      </x:c>
    </x:row>
    <x:row r="18">
      <x:c r="A18" s="14" t="str">
        <x:v>Hàn-Nguội</x:v>
      </x:c>
      <x:c r="B18" s="14" t="n">
        <x:f>SUMIF('04_KE_HOACH_CD'!$H$6:$H$305,$A18,'04_KE_HOACH_CD'!$R$6:$R$305)</x:f>
        <x:v>0</x:v>
      </x:c>
      <x:c r="C18" s="59" t="n">
        <x:f>IFERROR(SUMPRODUCT(('04_KE_HOACH_CD'!$H$6:$H$305=$A18)*'04_KE_HOACH_CD'!$X$6:$X$305*'04_KE_HOACH_CD'!$R$6:$R$305)/SUMIF('04_KE_HOACH_CD'!$H$6:$H$305,$A18,'04_KE_HOACH_CD'!$R$6:$R$305),0)</x:f>
        <x:v>0</x:v>
      </x:c>
      <x:c r="D18" s="59" t="n">
        <x:f>IFERROR(SUMPRODUCT(('04_KE_HOACH_CD'!$H$6:$H$305=$A18)*'04_KE_HOACH_CD'!$W$6:$W$305*'04_KE_HOACH_CD'!$M$6:$M$305)/SUMIF('04_KE_HOACH_CD'!$H$6:$H$305,$A18,'04_KE_HOACH_CD'!$M$6:$M$305),0)</x:f>
        <x:v>0</x:v>
      </x:c>
      <x:c r="E18" s="14" t="n">
        <x:f>SUMIF('04_KE_HOACH_CD'!$H$6:$H$305,$A18,'04_KE_HOACH_CD'!$Y$6:$Y$305)</x:f>
        <x:v>0</x:v>
      </x:c>
      <x:c r="F18" s="14" t="n">
        <x:f>COUNTIFS('04_KE_HOACH_CD'!$H$6:$H$305,$A18,'04_KE_HOACH_CD'!$S$6:$S$305,1)</x:f>
        <x:v>0</x:v>
      </x:c>
      <x:c r="G18" s="59" t="n">
        <x:f>IFERROR(COUNTIFS('04_KE_HOACH_CD'!$H$6:$H$305,$A18,'04_KE_HOACH_CD'!$V$6:$V$305,"Hoàn thành đúng hạn")/COUNTIFS('04_KE_HOACH_CD'!$H$6:$H$305,$A18,'04_KE_HOACH_CD'!$S$6:$S$305,1),0)</x:f>
        <x:v>0</x:v>
      </x:c>
      <x:c r="H18" s="14" t="str">
        <x:f>IF(AND(B18=0,F18=0),"",IF(OR(C18&lt;0.95,D18&lt;0.85,G18&lt;0.9),"Cần theo dõi","Bình thường"))</x:f>
      </x:c>
      <x:c r="J18" t="str">
        <x:v>Hàn-Nguội</x:v>
      </x:c>
      <x:c r="K18" s="61" t="n">
        <x:f>C18</x:f>
        <x:v>0</x:v>
      </x:c>
      <x:c r="L18" s="61" t="n">
        <x:f>D18</x:f>
        <x:v>0</x:v>
      </x:c>
      <x:c r="M18" s="61" t="n">
        <x:f>G18</x:f>
        <x:v>0</x:v>
      </x:c>
    </x:row>
    <x:row r="19">
      <x:c r="A19" s="15" t="str">
        <x:v>QC</x:v>
      </x:c>
      <x:c r="B19" s="15" t="n">
        <x:f>SUMIF('04_KE_HOACH_CD'!$H$6:$H$305,$A19,'04_KE_HOACH_CD'!$R$6:$R$305)</x:f>
        <x:v>0</x:v>
      </x:c>
      <x:c r="C19" s="60" t="n">
        <x:f>IFERROR(SUMPRODUCT(('04_KE_HOACH_CD'!$H$6:$H$305=$A19)*'04_KE_HOACH_CD'!$X$6:$X$305*'04_KE_HOACH_CD'!$R$6:$R$305)/SUMIF('04_KE_HOACH_CD'!$H$6:$H$305,$A19,'04_KE_HOACH_CD'!$R$6:$R$305),0)</x:f>
        <x:v>0</x:v>
      </x:c>
      <x:c r="D19" s="60" t="n">
        <x:f>IFERROR(SUMPRODUCT(('04_KE_HOACH_CD'!$H$6:$H$305=$A19)*'04_KE_HOACH_CD'!$W$6:$W$305*'04_KE_HOACH_CD'!$M$6:$M$305)/SUMIF('04_KE_HOACH_CD'!$H$6:$H$305,$A19,'04_KE_HOACH_CD'!$M$6:$M$305),0)</x:f>
        <x:v>0</x:v>
      </x:c>
      <x:c r="E19" s="15" t="n">
        <x:f>SUMIF('04_KE_HOACH_CD'!$H$6:$H$305,$A19,'04_KE_HOACH_CD'!$Y$6:$Y$305)</x:f>
        <x:v>0</x:v>
      </x:c>
      <x:c r="F19" s="15" t="n">
        <x:f>COUNTIFS('04_KE_HOACH_CD'!$H$6:$H$305,$A19,'04_KE_HOACH_CD'!$S$6:$S$305,1)</x:f>
        <x:v>0</x:v>
      </x:c>
      <x:c r="G19" s="60" t="n">
        <x:f>IFERROR(COUNTIFS('04_KE_HOACH_CD'!$H$6:$H$305,$A19,'04_KE_HOACH_CD'!$V$6:$V$305,"Hoàn thành đúng hạn")/COUNTIFS('04_KE_HOACH_CD'!$H$6:$H$305,$A19,'04_KE_HOACH_CD'!$S$6:$S$305,1),0)</x:f>
        <x:v>0</x:v>
      </x:c>
      <x:c r="H19" s="15" t="str">
        <x:f>IF(AND(B19=0,F19=0),"",IF(OR(C19&lt;0.95,D19&lt;0.85,G19&lt;0.9),"Cần theo dõi","Bình thường"))</x:f>
      </x:c>
      <x:c r="J19" t="str">
        <x:v>QC</x:v>
      </x:c>
      <x:c r="K19" s="61" t="n">
        <x:f>C19</x:f>
        <x:v>0</x:v>
      </x:c>
      <x:c r="L19" s="61" t="n">
        <x:f>D19</x:f>
        <x:v>0</x:v>
      </x:c>
      <x:c r="M19" s="61" t="n">
        <x:f>G19</x:f>
        <x:v>0</x:v>
      </x:c>
    </x:row>
    <x:row r="23">
      <x:c r="A23" s="12" t="str">
        <x:v>Mã đơn hàng</x:v>
      </x:c>
      <x:c r="B23" s="12" t="str">
        <x:v>Mã bản vẽ</x:v>
      </x:c>
      <x:c r="C23" s="12" t="str">
        <x:v>Hạn nội bộ</x:v>
      </x:c>
      <x:c r="D23" s="12" t="str">
        <x:v>Tiến độ</x:v>
      </x:c>
      <x:c r="E23" s="12" t="str">
        <x:v>Trạng thái</x:v>
      </x:c>
      <x:c r="F23" s="12" t="str">
        <x:v>Rủi ro</x:v>
      </x:c>
    </x:row>
    <x:row r="24">
      <x:c r="A24" s="14" t="str">
        <x:f>IF('03_DON_HANG_BAN_VE'!B6="","",'03_DON_HANG_BAN_VE'!B6)</x:f>
        <x:v>PRC2602-003</x:v>
      </x:c>
      <x:c r="B24" s="14" t="str">
        <x:f>IF('03_DON_HANG_BAN_VE'!B6="","",'03_DON_HANG_BAN_VE'!C6)</x:f>
        <x:v>22-219803-00</x:v>
      </x:c>
      <x:c r="C24" s="62" t="n">
        <x:f>IF('03_DON_HANG_BAN_VE'!B6="","",'03_DON_HANG_BAN_VE'!N6)</x:f>
        <x:v>46283</x:v>
      </x:c>
      <x:c r="D24" s="59" t="n">
        <x:f>IF('03_DON_HANG_BAN_VE'!B6="","",'03_DON_HANG_BAN_VE'!S6)</x:f>
        <x:v>0.7804511278195488</x:v>
      </x:c>
      <x:c r="E24" s="14" t="str">
        <x:f>IF('03_DON_HANG_BAN_VE'!B6="","",'03_DON_HANG_BAN_VE'!T6)</x:f>
        <x:v>Đang sản xuất</x:v>
      </x:c>
      <x:c r="F24" s="14" t="str">
        <x:f>IF('03_DON_HANG_BAN_VE'!B6="","",'03_DON_HANG_BAN_VE'!U6)</x:f>
        <x:v>Bình thường</x:v>
      </x:c>
    </x:row>
    <x:row r="25">
      <x:c r="A25" s="14" t="str">
        <x:f>IF('03_DON_HANG_BAN_VE'!B7="","",'03_DON_HANG_BAN_VE'!B7)</x:f>
        <x:v>PRC2602-003</x:v>
      </x:c>
      <x:c r="B25" s="14" t="str">
        <x:f>IF('03_DON_HANG_BAN_VE'!B7="","",'03_DON_HANG_BAN_VE'!C7)</x:f>
        <x:v>22-219807-00</x:v>
      </x:c>
      <x:c r="C25" s="62" t="n">
        <x:f>IF('03_DON_HANG_BAN_VE'!B7="","",'03_DON_HANG_BAN_VE'!N7)</x:f>
        <x:v>46284</x:v>
      </x:c>
      <x:c r="D25" s="59" t="n">
        <x:f>IF('03_DON_HANG_BAN_VE'!B7="","",'03_DON_HANG_BAN_VE'!S7)</x:f>
        <x:v>0.22033898305084745</x:v>
      </x:c>
      <x:c r="E25" s="14" t="str">
        <x:f>IF('03_DON_HANG_BAN_VE'!B7="","",'03_DON_HANG_BAN_VE'!T7)</x:f>
        <x:v>Đang sản xuất</x:v>
      </x:c>
      <x:c r="F25" s="14" t="str">
        <x:f>IF('03_DON_HANG_BAN_VE'!B7="","",'03_DON_HANG_BAN_VE'!U7)</x:f>
        <x:v>Cần theo dõi</x:v>
      </x:c>
    </x:row>
    <x:row r="26">
      <x:c r="A26" s="14" t="str">
        <x:f>IF('03_DON_HANG_BAN_VE'!B8="","",'03_DON_HANG_BAN_VE'!B8)</x:f>
        <x:v>SWT2603-001</x:v>
      </x:c>
      <x:c r="B26" s="14" t="str">
        <x:f>IF('03_DON_HANG_BAN_VE'!B8="","",'03_DON_HANG_BAN_VE'!C8)</x:f>
        <x:v>950340030</x:v>
      </x:c>
      <x:c r="C26" s="62" t="n">
        <x:f>IF('03_DON_HANG_BAN_VE'!B8="","",'03_DON_HANG_BAN_VE'!N8)</x:f>
        <x:v>46281</x:v>
      </x:c>
      <x:c r="D26" s="59" t="n">
        <x:f>IF('03_DON_HANG_BAN_VE'!B8="","",'03_DON_HANG_BAN_VE'!S8)</x:f>
        <x:v>0.856</x:v>
      </x:c>
      <x:c r="E26" s="14" t="str">
        <x:f>IF('03_DON_HANG_BAN_VE'!B8="","",'03_DON_HANG_BAN_VE'!T8)</x:f>
        <x:v>Đang sản xuất</x:v>
      </x:c>
      <x:c r="F26" s="14" t="str">
        <x:f>IF('03_DON_HANG_BAN_VE'!B8="","",'03_DON_HANG_BAN_VE'!U8)</x:f>
        <x:v>Bình thường</x:v>
      </x:c>
    </x:row>
    <x:row r="27">
      <x:c r="A27" s="14" t="str">
        <x:f>IF('03_DON_HANG_BAN_VE'!B9="","",'03_DON_HANG_BAN_VE'!B9)</x:f>
      </x:c>
      <x:c r="B27" s="14" t="str">
        <x:f>IF('03_DON_HANG_BAN_VE'!B9="","",'03_DON_HANG_BAN_VE'!C9)</x:f>
      </x:c>
      <x:c r="C27" s="62" t="str">
        <x:f>IF('03_DON_HANG_BAN_VE'!B9="","",'03_DON_HANG_BAN_VE'!N9)</x:f>
      </x:c>
      <x:c r="D27" s="59" t="str">
        <x:f>IF('03_DON_HANG_BAN_VE'!B9="","",'03_DON_HANG_BAN_VE'!S9)</x:f>
      </x:c>
      <x:c r="E27" s="14" t="str">
        <x:f>IF('03_DON_HANG_BAN_VE'!B9="","",'03_DON_HANG_BAN_VE'!T9)</x:f>
      </x:c>
      <x:c r="F27" s="14" t="str">
        <x:f>IF('03_DON_HANG_BAN_VE'!B9="","",'03_DON_HANG_BAN_VE'!U9)</x:f>
      </x:c>
    </x:row>
    <x:row r="28">
      <x:c r="A28" s="15" t="str">
        <x:f>IF('03_DON_HANG_BAN_VE'!B10="","",'03_DON_HANG_BAN_VE'!B10)</x:f>
      </x:c>
      <x:c r="B28" s="15" t="str">
        <x:f>IF('03_DON_HANG_BAN_VE'!B10="","",'03_DON_HANG_BAN_VE'!C10)</x:f>
      </x:c>
      <x:c r="C28" s="63" t="str">
        <x:f>IF('03_DON_HANG_BAN_VE'!B10="","",'03_DON_HANG_BAN_VE'!N10)</x:f>
      </x:c>
      <x:c r="D28" s="60" t="str">
        <x:f>IF('03_DON_HANG_BAN_VE'!B10="","",'03_DON_HANG_BAN_VE'!S10)</x:f>
      </x:c>
      <x:c r="E28" s="15" t="str">
        <x:f>IF('03_DON_HANG_BAN_VE'!B10="","",'03_DON_HANG_BAN_VE'!T10)</x:f>
      </x:c>
      <x:c r="F28" s="15" t="str">
        <x:f>IF('03_DON_HANG_BAN_VE'!B10="","",'03_DON_HANG_BAN_VE'!U10)</x:f>
      </x:c>
    </x:row>
  </x:sheetData>
  <x:mergeCells>
    <x:mergeCell ref="A2:Q2"/>
    <x:mergeCell ref="A5:D5"/>
    <x:mergeCell ref="E5:H5"/>
    <x:mergeCell ref="I5:L5"/>
  </x:mergeCells>
  <x:conditionalFormatting sqref="H14:H19">
    <x:cfRule type="containsText" dxfId="42" priority="1" operator="containsText" text="Quá hạn"/>
    <x:cfRule type="containsText" dxfId="43" priority="2" operator="containsText" text="Rủi ro"/>
    <x:cfRule type="containsText" dxfId="44" priority="3" operator="containsText" text="Cần"/>
    <x:cfRule type="containsText" dxfId="45" priority="4" operator="containsText" text="Sai"/>
    <x:cfRule type="containsText" dxfId="46" priority="5" operator="containsText" text="Thiếu"/>
    <x:cfRule type="containsText" dxfId="47" priority="6" operator="containsText" text="Hợp lệ"/>
    <x:cfRule type="containsText" dxfId="48" priority="7" operator="containsText" text="đúng hạn"/>
  </x:conditionalFormatting>
  <x:conditionalFormatting sqref="E24:F28">
    <x:cfRule type="containsText" dxfId="49" priority="8" operator="containsText" text="Quá hạn"/>
    <x:cfRule type="containsText" dxfId="50" priority="9" operator="containsText" text="Rủi ro"/>
    <x:cfRule type="containsText" dxfId="51" priority="10" operator="containsText" text="Cần"/>
    <x:cfRule type="containsText" dxfId="52" priority="11" operator="containsText" text="Sai"/>
    <x:cfRule type="containsText" dxfId="53" priority="12" operator="containsText" text="Thiếu"/>
    <x:cfRule type="containsText" dxfId="54" priority="13" operator="containsText" text="Hợp lệ"/>
    <x:cfRule type="containsText" dxfId="55" priority="14" operator="containsText" text="đúng hạn"/>
  </x:conditionalFormatting>
  <x:pageMargins left="0.7" right="0.7" top="0.75" bottom="0.75" header="0.3" footer="0.3"/>
  <x:drawing xmlns:r="http://schemas.openxmlformats.org/officeDocument/2006/relationships" r:id="Rc8a5aaf4095c43ae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110000133514404" hidden="0" customWidth="1"/>
    <x:col min="2" max="2" width="13.890000343322754" hidden="0" customWidth="1"/>
    <x:col min="3" max="3" width="13.890000343322754" hidden="0" customWidth="1"/>
    <x:col min="4" max="4" width="7.21999979019165" hidden="0" customWidth="1"/>
    <x:col min="5" max="5" width="7.21999979019165" hidden="0" customWidth="1"/>
    <x:col min="6" max="6" width="10.5600004196167" hidden="0" customWidth="1"/>
    <x:col min="7" max="7" width="10.5600004196167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8.329999923706055" hidden="0" customWidth="1"/>
    <x:col min="12" max="12" width="11.109999656677246" hidden="0" customWidth="1"/>
    <x:col min="13" max="13" width="11.109999656677246" hidden="0" customWidth="1"/>
    <x:col min="14" max="14" width="11.109999656677246" hidden="0" customWidth="1"/>
    <x:col min="15" max="15" width="11.109999656677246" hidden="0" customWidth="1"/>
    <x:col min="16" max="16" width="8.890000343322754" hidden="0" customWidth="1"/>
    <x:col min="17" max="17" width="11.109999656677246" hidden="0" customWidth="1"/>
    <x:col min="18" max="18" width="28.889999389648438" hidden="0" customWidth="1"/>
    <x:col min="19" max="19" width="8.890000343322754" hidden="0" customWidth="1"/>
    <x:col min="20" max="20" width="12.220000267028809" hidden="0" customWidth="1"/>
    <x:col min="21" max="21" width="12.220000267028809" hidden="0" customWidth="1"/>
    <x:col min="22" max="22" width="21.110000610351562" hidden="0" customWidth="1"/>
  </x:cols>
  <x:sheetData>
    <x:row r="2">
      <x:c r="A2" s="2" t="str">
        <x:v>ĐƠN HÀNG - DANH SÁCH BẢN VẼ</x:v>
      </x:c>
    </x:row>
    <x:row r="3">
      <x:c r="A3" s="20" t="str">
        <x:v>Một dòng cho một mã bản vẽ trong đơn hàng. Người dùng nhập mã đơn hàng và mã bản vẽ; khóa hệ thống tự sinh.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5">
      <x:c r="A5" s="12" t="str">
        <x:v>STT</x:v>
      </x:c>
      <x:c r="B5" s="12" t="str">
        <x:v>Mã đơn hàng</x:v>
      </x:c>
      <x:c r="C5" s="12" t="str">
        <x:v>Mã bản vẽ</x:v>
      </x:c>
      <x:c r="D5" s="12" t="str">
        <x:v>Rev</x:v>
      </x:c>
      <x:c r="E5" s="12" t="str">
        <x:v>Dòng/Lô</x:v>
      </x:c>
      <x:c r="F5" s="12" t="str">
        <x:v>Mã KH</x:v>
      </x:c>
      <x:c r="G5" s="12" t="str">
        <x:v>Mã dự án</x:v>
      </x:c>
      <x:c r="H5" s="12" t="str">
        <x:v>Mô tả</x:v>
      </x:c>
      <x:c r="I5" s="12" t="str">
        <x:v>Vật liệu</x:v>
      </x:c>
      <x:c r="J5" s="12" t="str">
        <x:v>Xử lý bề mặt</x:v>
      </x:c>
      <x:c r="K5" s="12" t="str">
        <x:v>SL đặt</x:v>
      </x:c>
      <x:c r="L5" s="12" t="str">
        <x:v>Ngày nhận</x:v>
      </x:c>
      <x:c r="M5" s="12" t="str">
        <x:v>Ngày triển khai</x:v>
      </x:c>
      <x:c r="N5" s="12" t="str">
        <x:v>Hạn nội bộ</x:v>
      </x:c>
      <x:c r="O5" s="12" t="str">
        <x:v>Hạn khách hàng</x:v>
      </x:c>
      <x:c r="P5" s="12" t="str">
        <x:v>Ưu tiên</x:v>
      </x:c>
      <x:c r="Q5" s="12" t="str">
        <x:v>Phụ trách</x:v>
      </x:c>
      <x:c r="R5" s="12" t="str">
        <x:v>Mã dòng hệ thống</x:v>
      </x:c>
      <x:c r="S5" s="12" t="str">
        <x:v>Tiến độ</x:v>
      </x:c>
      <x:c r="T5" s="12" t="str">
        <x:v>Trạng thái</x:v>
      </x:c>
      <x:c r="U5" s="12" t="str">
        <x:v>Rủi ro</x:v>
      </x:c>
      <x:c r="V5" s="12" t="str">
        <x:v>Ghi chú</x:v>
      </x:c>
    </x:row>
    <x:row r="6">
      <x:c r="A6" s="29" t="n">
        <x:f>IF(B6="","",COUNTA($B$6:B6))</x:f>
        <x:v>1</x:v>
      </x:c>
      <x:c r="B6" s="21" t="str">
        <x:v>PRC2602-003</x:v>
      </x:c>
      <x:c r="C6" s="21" t="str">
        <x:v>22-219803-00</x:v>
      </x:c>
      <x:c r="D6" s="21" t="str">
        <x:v>A</x:v>
      </x:c>
      <x:c r="E6" s="21" t="str">
        <x:v>01</x:v>
      </x:c>
      <x:c r="F6" s="21" t="str">
        <x:v>PRC</x:v>
      </x:c>
      <x:c r="G6" s="21" t="str">
        <x:v>PRC2602-003</x:v>
      </x:c>
      <x:c r="H6" s="21" t="str">
        <x:v>Chi tiết tiện 01</x:v>
      </x:c>
      <x:c r="I6" s="21" t="str">
        <x:v>SUS304</x:v>
      </x:c>
      <x:c r="J6" s="21" t="str">
        <x:v>No paint</x:v>
      </x:c>
      <x:c r="K6" s="23" t="n">
        <x:v>20</x:v>
      </x:c>
      <x:c r="L6" s="35" t="n">
        <x:v>46266</x:v>
      </x:c>
      <x:c r="M6" s="35" t="n">
        <x:v>46266</x:v>
      </x:c>
      <x:c r="N6" s="35" t="n">
        <x:v>46283</x:v>
      </x:c>
      <x:c r="O6" s="35" t="n">
        <x:v>46285</x:v>
      </x:c>
      <x:c r="P6" s="21" t="str">
        <x:v>Urgent</x:v>
      </x:c>
      <x:c r="Q6" s="21" t="str">
        <x:v>NV-1207</x:v>
      </x:c>
      <x:c r="R6" s="29" t="str">
        <x:f>IF(OR(B6="",C6=""),"",B6&amp;"|"&amp;C6&amp;"|"&amp;IF(D6="","00",D6)&amp;"|"&amp;IF(E6="","01",E6))</x:f>
        <x:v>PRC2602-003|22-219803-00|A|01</x:v>
      </x:c>
      <x:c r="S6" s="37" t="n">
        <x:f>IF(R6="","",IFERROR(SUMPRODUCT(('04_KE_HOACH_CD'!$F$6:$F$305=R6)*'04_KE_HOACH_CD'!$M$6:$M$305*'04_KE_HOACH_CD'!$S$6:$S$305)/SUMIF('04_KE_HOACH_CD'!$F$6:$F$305,R6,'04_KE_HOACH_CD'!$M$6:$M$305),0))</x:f>
        <x:v>0.7804511278195488</x:v>
      </x:c>
      <x:c r="T6" s="29" t="str">
        <x:f>IF(R6="","",IF(S6&gt;=1,"Hoàn thành",IF(COUNTIF('04_KE_HOACH_CD'!$F$6:$F$305,R6)=0,"Chưa có routing",IF(SUMIF('04_KE_HOACH_CD'!$F$6:$F$305,R6,'04_KE_HOACH_CD'!$R$6:$R$305)&gt;0,"Đang sản xuất","Chưa bắt đầu"))))</x:f>
        <x:v>Đang sản xuất</x:v>
      </x:c>
      <x:c r="U6" s="29" t="str">
        <x:f>IF(R6="","",IF(S6&gt;=1,"Bình thường",IF(N6&lt;TODAY(),"Quá hạn",IF(AND(N6-TODAY()&lt;=2,S6&lt;0.8),"Rủi ro cao",IF(AND(N6-TODAY()&lt;=5,S6&lt;0.5),"Cần theo dõi","Bình thường")))))</x:f>
        <x:v>Bình thường</x:v>
      </x:c>
      <x:c r="V6" s="21" t="str">
        <x:v>Dữ liệu mẫu</x:v>
      </x:c>
    </x:row>
    <x:row r="7">
      <x:c r="A7" s="29" t="n">
        <x:f>IF(B7="","",COUNTA($B$6:B7))</x:f>
        <x:v>2</x:v>
      </x:c>
      <x:c r="B7" s="21" t="str">
        <x:v>PRC2602-003</x:v>
      </x:c>
      <x:c r="C7" s="21" t="str">
        <x:v>22-219807-00</x:v>
      </x:c>
      <x:c r="D7" s="21" t="str">
        <x:v>A</x:v>
      </x:c>
      <x:c r="E7" s="21" t="str">
        <x:v>02</x:v>
      </x:c>
      <x:c r="F7" s="21" t="str">
        <x:v>PRC</x:v>
      </x:c>
      <x:c r="G7" s="21" t="str">
        <x:v>PRC2602-003</x:v>
      </x:c>
      <x:c r="H7" s="21" t="str">
        <x:v>Chi tiết tiện 02</x:v>
      </x:c>
      <x:c r="I7" s="21" t="str">
        <x:v>SUS304</x:v>
      </x:c>
      <x:c r="J7" s="21" t="str">
        <x:v>No paint</x:v>
      </x:c>
      <x:c r="K7" s="23" t="n">
        <x:v>10</x:v>
      </x:c>
      <x:c r="L7" s="35" t="n">
        <x:v>46266</x:v>
      </x:c>
      <x:c r="M7" s="35" t="n">
        <x:v>46267</x:v>
      </x:c>
      <x:c r="N7" s="35" t="n">
        <x:v>46284</x:v>
      </x:c>
      <x:c r="O7" s="35" t="n">
        <x:v>46285</x:v>
      </x:c>
      <x:c r="P7" s="21" t="str">
        <x:v>Normal</x:v>
      </x:c>
      <x:c r="Q7" s="21" t="str">
        <x:v>NV-1207</x:v>
      </x:c>
      <x:c r="R7" s="29" t="str">
        <x:f>IF(OR(B7="",C7=""),"",B7&amp;"|"&amp;C7&amp;"|"&amp;IF(D7="","00",D7)&amp;"|"&amp;IF(E7="","01",E7))</x:f>
        <x:v>PRC2602-003|22-219807-00|A|02</x:v>
      </x:c>
      <x:c r="S7" s="37" t="n">
        <x:f>IF(R7="","",IFERROR(SUMPRODUCT(('04_KE_HOACH_CD'!$F$6:$F$305=R7)*'04_KE_HOACH_CD'!$M$6:$M$305*'04_KE_HOACH_CD'!$S$6:$S$305)/SUMIF('04_KE_HOACH_CD'!$F$6:$F$305,R7,'04_KE_HOACH_CD'!$M$6:$M$305),0))</x:f>
        <x:v>0.22033898305084745</x:v>
      </x:c>
      <x:c r="T7" s="29" t="str">
        <x:f>IF(R7="","",IF(S7&gt;=1,"Hoàn thành",IF(COUNTIF('04_KE_HOACH_CD'!$F$6:$F$305,R7)=0,"Chưa có routing",IF(SUMIF('04_KE_HOACH_CD'!$F$6:$F$305,R7,'04_KE_HOACH_CD'!$R$6:$R$305)&gt;0,"Đang sản xuất","Chưa bắt đầu"))))</x:f>
        <x:v>Đang sản xuất</x:v>
      </x:c>
      <x:c r="U7" s="29" t="str">
        <x:f>IF(R7="","",IF(S7&gt;=1,"Bình thường",IF(N7&lt;TODAY(),"Quá hạn",IF(AND(N7-TODAY()&lt;=2,S7&lt;0.8),"Rủi ro cao",IF(AND(N7-TODAY()&lt;=5,S7&lt;0.5),"Cần theo dõi","Bình thường")))))</x:f>
        <x:v>Cần theo dõi</x:v>
      </x:c>
      <x:c r="V7" s="21" t="str">
        <x:v>Cùng đơn hàng, bản vẽ khác</x:v>
      </x:c>
    </x:row>
    <x:row r="8">
      <x:c r="A8" s="29" t="n">
        <x:f>IF(B8="","",COUNTA($B$6:B8))</x:f>
        <x:v>3</x:v>
      </x:c>
      <x:c r="B8" s="21" t="str">
        <x:v>SWT2603-001</x:v>
      </x:c>
      <x:c r="C8" s="21" t="str">
        <x:v>950340030</x:v>
      </x:c>
      <x:c r="D8" s="21" t="str">
        <x:v>A</x:v>
      </x:c>
      <x:c r="E8" s="21" t="str">
        <x:v>01</x:v>
      </x:c>
      <x:c r="F8" s="21" t="str">
        <x:v>SWT</x:v>
      </x:c>
      <x:c r="G8" s="21" t="str">
        <x:v>SWT2603-001</x:v>
      </x:c>
      <x:c r="H8" s="21" t="str">
        <x:v>Chi tiết phay</x:v>
      </x:c>
      <x:c r="I8" s="21" t="str">
        <x:v>A6061</x:v>
      </x:c>
      <x:c r="J8" s="21" t="str">
        <x:v>White Anodize</x:v>
      </x:c>
      <x:c r="K8" s="23" t="n">
        <x:v>30</x:v>
      </x:c>
      <x:c r="L8" s="35" t="n">
        <x:v>46268</x:v>
      </x:c>
      <x:c r="M8" s="35" t="n">
        <x:v>46268</x:v>
      </x:c>
      <x:c r="N8" s="35" t="n">
        <x:v>46281</x:v>
      </x:c>
      <x:c r="O8" s="35" t="n">
        <x:v>46285</x:v>
      </x:c>
      <x:c r="P8" s="21" t="str">
        <x:v>Normal</x:v>
      </x:c>
      <x:c r="Q8" s="21" t="str">
        <x:v>NV-1236</x:v>
      </x:c>
      <x:c r="R8" s="29" t="str">
        <x:f>IF(OR(B8="",C8=""),"",B8&amp;"|"&amp;C8&amp;"|"&amp;IF(D8="","00",D8)&amp;"|"&amp;IF(E8="","01",E8))</x:f>
        <x:v>SWT2603-001|950340030|A|01</x:v>
      </x:c>
      <x:c r="S8" s="37" t="n">
        <x:f>IF(R8="","",IFERROR(SUMPRODUCT(('04_KE_HOACH_CD'!$F$6:$F$305=R8)*'04_KE_HOACH_CD'!$M$6:$M$305*'04_KE_HOACH_CD'!$S$6:$S$305)/SUMIF('04_KE_HOACH_CD'!$F$6:$F$305,R8,'04_KE_HOACH_CD'!$M$6:$M$305),0))</x:f>
        <x:v>0.856</x:v>
      </x:c>
      <x:c r="T8" s="29" t="str">
        <x:f>IF(R8="","",IF(S8&gt;=1,"Hoàn thành",IF(COUNTIF('04_KE_HOACH_CD'!$F$6:$F$305,R8)=0,"Chưa có routing",IF(SUMIF('04_KE_HOACH_CD'!$F$6:$F$305,R8,'04_KE_HOACH_CD'!$R$6:$R$305)&gt;0,"Đang sản xuất","Chưa bắt đầu"))))</x:f>
        <x:v>Đang sản xuất</x:v>
      </x:c>
      <x:c r="U8" s="29" t="str">
        <x:f>IF(R8="","",IF(S8&gt;=1,"Bình thường",IF(N8&lt;TODAY(),"Quá hạn",IF(AND(N8-TODAY()&lt;=2,S8&lt;0.8),"Rủi ro cao",IF(AND(N8-TODAY()&lt;=5,S8&lt;0.5),"Cần theo dõi","Bình thường")))))</x:f>
        <x:v>Bình thường</x:v>
      </x:c>
      <x:c r="V8" s="21" t="str">
        <x:v>Dữ liệu mẫu</x:v>
      </x:c>
    </x:row>
    <x:row r="9">
      <x:c r="A9" s="29" t="str">
        <x:f>IF(B9="","",COUNTA($B$6:B9))</x:f>
      </x:c>
      <x:c r="B9" s="21"/>
      <x:c r="C9" s="21"/>
      <x:c r="D9" s="21"/>
      <x:c r="E9" s="21"/>
      <x:c r="F9" s="21"/>
      <x:c r="G9" s="21"/>
      <x:c r="H9" s="21"/>
      <x:c r="I9" s="21"/>
      <x:c r="J9" s="21"/>
      <x:c r="K9" s="23"/>
      <x:c r="L9" s="35"/>
      <x:c r="M9" s="35"/>
      <x:c r="N9" s="35"/>
      <x:c r="O9" s="35"/>
      <x:c r="P9" s="21"/>
      <x:c r="Q9" s="21"/>
      <x:c r="R9" s="29" t="str">
        <x:f>IF(OR(B9="",C9=""),"",B9&amp;"|"&amp;C9&amp;"|"&amp;IF(D9="","00",D9)&amp;"|"&amp;IF(E9="","01",E9))</x:f>
      </x:c>
      <x:c r="S9" s="37" t="str">
        <x:f>IF(R9="","",IFERROR(SUMPRODUCT(('04_KE_HOACH_CD'!$F$6:$F$305=R9)*'04_KE_HOACH_CD'!$M$6:$M$305*'04_KE_HOACH_CD'!$S$6:$S$305)/SUMIF('04_KE_HOACH_CD'!$F$6:$F$305,R9,'04_KE_HOACH_CD'!$M$6:$M$305),0))</x:f>
      </x:c>
      <x:c r="T9" s="29" t="str">
        <x:f>IF(R9="","",IF(S9&gt;=1,"Hoàn thành",IF(COUNTIF('04_KE_HOACH_CD'!$F$6:$F$305,R9)=0,"Chưa có routing",IF(SUMIF('04_KE_HOACH_CD'!$F$6:$F$305,R9,'04_KE_HOACH_CD'!$R$6:$R$305)&gt;0,"Đang sản xuất","Chưa bắt đầu"))))</x:f>
      </x:c>
      <x:c r="U9" s="29" t="str">
        <x:f>IF(R9="","",IF(S9&gt;=1,"Bình thường",IF(N9&lt;TODAY(),"Quá hạn",IF(AND(N9-TODAY()&lt;=2,S9&lt;0.8),"Rủi ro cao",IF(AND(N9-TODAY()&lt;=5,S9&lt;0.5),"Cần theo dõi","Bình thường")))))</x:f>
      </x:c>
      <x:c r="V9" s="21"/>
    </x:row>
    <x:row r="10">
      <x:c r="A10" s="29" t="str">
        <x:f>IF(B10="","",COUNTA($B$6:B10))</x:f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3"/>
      <x:c r="L10" s="35"/>
      <x:c r="M10" s="35"/>
      <x:c r="N10" s="35"/>
      <x:c r="O10" s="35"/>
      <x:c r="P10" s="21"/>
      <x:c r="Q10" s="21"/>
      <x:c r="R10" s="29" t="str">
        <x:f>IF(OR(B10="",C10=""),"",B10&amp;"|"&amp;C10&amp;"|"&amp;IF(D10="","00",D10)&amp;"|"&amp;IF(E10="","01",E10))</x:f>
      </x:c>
      <x:c r="S10" s="37" t="str">
        <x:f>IF(R10="","",IFERROR(SUMPRODUCT(('04_KE_HOACH_CD'!$F$6:$F$305=R10)*'04_KE_HOACH_CD'!$M$6:$M$305*'04_KE_HOACH_CD'!$S$6:$S$305)/SUMIF('04_KE_HOACH_CD'!$F$6:$F$305,R10,'04_KE_HOACH_CD'!$M$6:$M$305),0))</x:f>
      </x:c>
      <x:c r="T10" s="29" t="str">
        <x:f>IF(R10="","",IF(S10&gt;=1,"Hoàn thành",IF(COUNTIF('04_KE_HOACH_CD'!$F$6:$F$305,R10)=0,"Chưa có routing",IF(SUMIF('04_KE_HOACH_CD'!$F$6:$F$305,R10,'04_KE_HOACH_CD'!$R$6:$R$305)&gt;0,"Đang sản xuất","Chưa bắt đầu"))))</x:f>
      </x:c>
      <x:c r="U10" s="29" t="str">
        <x:f>IF(R10="","",IF(S10&gt;=1,"Bình thường",IF(N10&lt;TODAY(),"Quá hạn",IF(AND(N10-TODAY()&lt;=2,S10&lt;0.8),"Rủi ro cao",IF(AND(N10-TODAY()&lt;=5,S10&lt;0.5),"Cần theo dõi","Bình thường")))))</x:f>
      </x:c>
      <x:c r="V10" s="21"/>
    </x:row>
    <x:row r="11">
      <x:c r="A11" s="29" t="str">
        <x:f>IF(B11="","",COUNTA($B$6:B11))</x:f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3"/>
      <x:c r="L11" s="35"/>
      <x:c r="M11" s="35"/>
      <x:c r="N11" s="35"/>
      <x:c r="O11" s="35"/>
      <x:c r="P11" s="21"/>
      <x:c r="Q11" s="21"/>
      <x:c r="R11" s="29" t="str">
        <x:f>IF(OR(B11="",C11=""),"",B11&amp;"|"&amp;C11&amp;"|"&amp;IF(D11="","00",D11)&amp;"|"&amp;IF(E11="","01",E11))</x:f>
      </x:c>
      <x:c r="S11" s="37" t="str">
        <x:f>IF(R11="","",IFERROR(SUMPRODUCT(('04_KE_HOACH_CD'!$F$6:$F$305=R11)*'04_KE_HOACH_CD'!$M$6:$M$305*'04_KE_HOACH_CD'!$S$6:$S$305)/SUMIF('04_KE_HOACH_CD'!$F$6:$F$305,R11,'04_KE_HOACH_CD'!$M$6:$M$305),0))</x:f>
      </x:c>
      <x:c r="T11" s="29" t="str">
        <x:f>IF(R11="","",IF(S11&gt;=1,"Hoàn thành",IF(COUNTIF('04_KE_HOACH_CD'!$F$6:$F$305,R11)=0,"Chưa có routing",IF(SUMIF('04_KE_HOACH_CD'!$F$6:$F$305,R11,'04_KE_HOACH_CD'!$R$6:$R$305)&gt;0,"Đang sản xuất","Chưa bắt đầu"))))</x:f>
      </x:c>
      <x:c r="U11" s="29" t="str">
        <x:f>IF(R11="","",IF(S11&gt;=1,"Bình thường",IF(N11&lt;TODAY(),"Quá hạn",IF(AND(N11-TODAY()&lt;=2,S11&lt;0.8),"Rủi ro cao",IF(AND(N11-TODAY()&lt;=5,S11&lt;0.5),"Cần theo dõi","Bình thường")))))</x:f>
      </x:c>
      <x:c r="V11" s="21"/>
    </x:row>
    <x:row r="12">
      <x:c r="A12" s="29" t="str">
        <x:f>IF(B12="","",COUNTA($B$6:B12))</x:f>
      </x:c>
      <x:c r="B12" s="21"/>
      <x:c r="C12" s="21"/>
      <x:c r="D12" s="21"/>
      <x:c r="E12" s="21"/>
      <x:c r="F12" s="21"/>
      <x:c r="G12" s="21"/>
      <x:c r="H12" s="21"/>
      <x:c r="I12" s="21"/>
      <x:c r="J12" s="21"/>
      <x:c r="K12" s="23"/>
      <x:c r="L12" s="35"/>
      <x:c r="M12" s="35"/>
      <x:c r="N12" s="35"/>
      <x:c r="O12" s="35"/>
      <x:c r="P12" s="21"/>
      <x:c r="Q12" s="21"/>
      <x:c r="R12" s="29" t="str">
        <x:f>IF(OR(B12="",C12=""),"",B12&amp;"|"&amp;C12&amp;"|"&amp;IF(D12="","00",D12)&amp;"|"&amp;IF(E12="","01",E12))</x:f>
      </x:c>
      <x:c r="S12" s="37" t="str">
        <x:f>IF(R12="","",IFERROR(SUMPRODUCT(('04_KE_HOACH_CD'!$F$6:$F$305=R12)*'04_KE_HOACH_CD'!$M$6:$M$305*'04_KE_HOACH_CD'!$S$6:$S$305)/SUMIF('04_KE_HOACH_CD'!$F$6:$F$305,R12,'04_KE_HOACH_CD'!$M$6:$M$305),0))</x:f>
      </x:c>
      <x:c r="T12" s="29" t="str">
        <x:f>IF(R12="","",IF(S12&gt;=1,"Hoàn thành",IF(COUNTIF('04_KE_HOACH_CD'!$F$6:$F$305,R12)=0,"Chưa có routing",IF(SUMIF('04_KE_HOACH_CD'!$F$6:$F$305,R12,'04_KE_HOACH_CD'!$R$6:$R$305)&gt;0,"Đang sản xuất","Chưa bắt đầu"))))</x:f>
      </x:c>
      <x:c r="U12" s="29" t="str">
        <x:f>IF(R12="","",IF(S12&gt;=1,"Bình thường",IF(N12&lt;TODAY(),"Quá hạn",IF(AND(N12-TODAY()&lt;=2,S12&lt;0.8),"Rủi ro cao",IF(AND(N12-TODAY()&lt;=5,S12&lt;0.5),"Cần theo dõi","Bình thường")))))</x:f>
      </x:c>
      <x:c r="V12" s="21"/>
    </x:row>
    <x:row r="13">
      <x:c r="A13" s="29" t="str">
        <x:f>IF(B13="","",COUNTA($B$6:B13))</x:f>
      </x:c>
      <x:c r="B13" s="21"/>
      <x:c r="C13" s="21"/>
      <x:c r="D13" s="21"/>
      <x:c r="E13" s="21"/>
      <x:c r="F13" s="21"/>
      <x:c r="G13" s="21"/>
      <x:c r="H13" s="21"/>
      <x:c r="I13" s="21"/>
      <x:c r="J13" s="21"/>
      <x:c r="K13" s="23"/>
      <x:c r="L13" s="35"/>
      <x:c r="M13" s="35"/>
      <x:c r="N13" s="35"/>
      <x:c r="O13" s="35"/>
      <x:c r="P13" s="21"/>
      <x:c r="Q13" s="21"/>
      <x:c r="R13" s="29" t="str">
        <x:f>IF(OR(B13="",C13=""),"",B13&amp;"|"&amp;C13&amp;"|"&amp;IF(D13="","00",D13)&amp;"|"&amp;IF(E13="","01",E13))</x:f>
      </x:c>
      <x:c r="S13" s="37" t="str">
        <x:f>IF(R13="","",IFERROR(SUMPRODUCT(('04_KE_HOACH_CD'!$F$6:$F$305=R13)*'04_KE_HOACH_CD'!$M$6:$M$305*'04_KE_HOACH_CD'!$S$6:$S$305)/SUMIF('04_KE_HOACH_CD'!$F$6:$F$305,R13,'04_KE_HOACH_CD'!$M$6:$M$305),0))</x:f>
      </x:c>
      <x:c r="T13" s="29" t="str">
        <x:f>IF(R13="","",IF(S13&gt;=1,"Hoàn thành",IF(COUNTIF('04_KE_HOACH_CD'!$F$6:$F$305,R13)=0,"Chưa có routing",IF(SUMIF('04_KE_HOACH_CD'!$F$6:$F$305,R13,'04_KE_HOACH_CD'!$R$6:$R$305)&gt;0,"Đang sản xuất","Chưa bắt đầu"))))</x:f>
      </x:c>
      <x:c r="U13" s="29" t="str">
        <x:f>IF(R13="","",IF(S13&gt;=1,"Bình thường",IF(N13&lt;TODAY(),"Quá hạn",IF(AND(N13-TODAY()&lt;=2,S13&lt;0.8),"Rủi ro cao",IF(AND(N13-TODAY()&lt;=5,S13&lt;0.5),"Cần theo dõi","Bình thường")))))</x:f>
      </x:c>
      <x:c r="V13" s="21"/>
    </x:row>
    <x:row r="14">
      <x:c r="A14" s="29" t="str">
        <x:f>IF(B14="","",COUNTA($B$6:B14))</x:f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3"/>
      <x:c r="L14" s="35"/>
      <x:c r="M14" s="35"/>
      <x:c r="N14" s="35"/>
      <x:c r="O14" s="35"/>
      <x:c r="P14" s="21"/>
      <x:c r="Q14" s="21"/>
      <x:c r="R14" s="29" t="str">
        <x:f>IF(OR(B14="",C14=""),"",B14&amp;"|"&amp;C14&amp;"|"&amp;IF(D14="","00",D14)&amp;"|"&amp;IF(E14="","01",E14))</x:f>
      </x:c>
      <x:c r="S14" s="37" t="str">
        <x:f>IF(R14="","",IFERROR(SUMPRODUCT(('04_KE_HOACH_CD'!$F$6:$F$305=R14)*'04_KE_HOACH_CD'!$M$6:$M$305*'04_KE_HOACH_CD'!$S$6:$S$305)/SUMIF('04_KE_HOACH_CD'!$F$6:$F$305,R14,'04_KE_HOACH_CD'!$M$6:$M$305),0))</x:f>
      </x:c>
      <x:c r="T14" s="29" t="str">
        <x:f>IF(R14="","",IF(S14&gt;=1,"Hoàn thành",IF(COUNTIF('04_KE_HOACH_CD'!$F$6:$F$305,R14)=0,"Chưa có routing",IF(SUMIF('04_KE_HOACH_CD'!$F$6:$F$305,R14,'04_KE_HOACH_CD'!$R$6:$R$305)&gt;0,"Đang sản xuất","Chưa bắt đầu"))))</x:f>
      </x:c>
      <x:c r="U14" s="29" t="str">
        <x:f>IF(R14="","",IF(S14&gt;=1,"Bình thường",IF(N14&lt;TODAY(),"Quá hạn",IF(AND(N14-TODAY()&lt;=2,S14&lt;0.8),"Rủi ro cao",IF(AND(N14-TODAY()&lt;=5,S14&lt;0.5),"Cần theo dõi","Bình thường")))))</x:f>
      </x:c>
      <x:c r="V14" s="21"/>
    </x:row>
    <x:row r="15">
      <x:c r="A15" s="29" t="str">
        <x:f>IF(B15="","",COUNTA($B$6:B15))</x:f>
      </x:c>
      <x:c r="B15" s="21"/>
      <x:c r="C15" s="21"/>
      <x:c r="D15" s="21"/>
      <x:c r="E15" s="21"/>
      <x:c r="F15" s="21"/>
      <x:c r="G15" s="21"/>
      <x:c r="H15" s="21"/>
      <x:c r="I15" s="21"/>
      <x:c r="J15" s="21"/>
      <x:c r="K15" s="23"/>
      <x:c r="L15" s="35"/>
      <x:c r="M15" s="35"/>
      <x:c r="N15" s="35"/>
      <x:c r="O15" s="35"/>
      <x:c r="P15" s="21"/>
      <x:c r="Q15" s="21"/>
      <x:c r="R15" s="29" t="str">
        <x:f>IF(OR(B15="",C15=""),"",B15&amp;"|"&amp;C15&amp;"|"&amp;IF(D15="","00",D15)&amp;"|"&amp;IF(E15="","01",E15))</x:f>
      </x:c>
      <x:c r="S15" s="37" t="str">
        <x:f>IF(R15="","",IFERROR(SUMPRODUCT(('04_KE_HOACH_CD'!$F$6:$F$305=R15)*'04_KE_HOACH_CD'!$M$6:$M$305*'04_KE_HOACH_CD'!$S$6:$S$305)/SUMIF('04_KE_HOACH_CD'!$F$6:$F$305,R15,'04_KE_HOACH_CD'!$M$6:$M$305),0))</x:f>
      </x:c>
      <x:c r="T15" s="29" t="str">
        <x:f>IF(R15="","",IF(S15&gt;=1,"Hoàn thành",IF(COUNTIF('04_KE_HOACH_CD'!$F$6:$F$305,R15)=0,"Chưa có routing",IF(SUMIF('04_KE_HOACH_CD'!$F$6:$F$305,R15,'04_KE_HOACH_CD'!$R$6:$R$305)&gt;0,"Đang sản xuất","Chưa bắt đầu"))))</x:f>
      </x:c>
      <x:c r="U15" s="29" t="str">
        <x:f>IF(R15="","",IF(S15&gt;=1,"Bình thường",IF(N15&lt;TODAY(),"Quá hạn",IF(AND(N15-TODAY()&lt;=2,S15&lt;0.8),"Rủi ro cao",IF(AND(N15-TODAY()&lt;=5,S15&lt;0.5),"Cần theo dõi","Bình thường")))))</x:f>
      </x:c>
      <x:c r="V15" s="21"/>
    </x:row>
    <x:row r="16">
      <x:c r="A16" s="29" t="str">
        <x:f>IF(B16="","",COUNTA($B$6:B16))</x:f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3"/>
      <x:c r="L16" s="35"/>
      <x:c r="M16" s="35"/>
      <x:c r="N16" s="35"/>
      <x:c r="O16" s="35"/>
      <x:c r="P16" s="21"/>
      <x:c r="Q16" s="21"/>
      <x:c r="R16" s="29" t="str">
        <x:f>IF(OR(B16="",C16=""),"",B16&amp;"|"&amp;C16&amp;"|"&amp;IF(D16="","00",D16)&amp;"|"&amp;IF(E16="","01",E16))</x:f>
      </x:c>
      <x:c r="S16" s="37" t="str">
        <x:f>IF(R16="","",IFERROR(SUMPRODUCT(('04_KE_HOACH_CD'!$F$6:$F$305=R16)*'04_KE_HOACH_CD'!$M$6:$M$305*'04_KE_HOACH_CD'!$S$6:$S$305)/SUMIF('04_KE_HOACH_CD'!$F$6:$F$305,R16,'04_KE_HOACH_CD'!$M$6:$M$305),0))</x:f>
      </x:c>
      <x:c r="T16" s="29" t="str">
        <x:f>IF(R16="","",IF(S16&gt;=1,"Hoàn thành",IF(COUNTIF('04_KE_HOACH_CD'!$F$6:$F$305,R16)=0,"Chưa có routing",IF(SUMIF('04_KE_HOACH_CD'!$F$6:$F$305,R16,'04_KE_HOACH_CD'!$R$6:$R$305)&gt;0,"Đang sản xuất","Chưa bắt đầu"))))</x:f>
      </x:c>
      <x:c r="U16" s="29" t="str">
        <x:f>IF(R16="","",IF(S16&gt;=1,"Bình thường",IF(N16&lt;TODAY(),"Quá hạn",IF(AND(N16-TODAY()&lt;=2,S16&lt;0.8),"Rủi ro cao",IF(AND(N16-TODAY()&lt;=5,S16&lt;0.5),"Cần theo dõi","Bình thường")))))</x:f>
      </x:c>
      <x:c r="V16" s="21"/>
    </x:row>
    <x:row r="17">
      <x:c r="A17" s="29" t="str">
        <x:f>IF(B17="","",COUNTA($B$6:B17))</x:f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3"/>
      <x:c r="L17" s="35"/>
      <x:c r="M17" s="35"/>
      <x:c r="N17" s="35"/>
      <x:c r="O17" s="35"/>
      <x:c r="P17" s="21"/>
      <x:c r="Q17" s="21"/>
      <x:c r="R17" s="29" t="str">
        <x:f>IF(OR(B17="",C17=""),"",B17&amp;"|"&amp;C17&amp;"|"&amp;IF(D17="","00",D17)&amp;"|"&amp;IF(E17="","01",E17))</x:f>
      </x:c>
      <x:c r="S17" s="37" t="str">
        <x:f>IF(R17="","",IFERROR(SUMPRODUCT(('04_KE_HOACH_CD'!$F$6:$F$305=R17)*'04_KE_HOACH_CD'!$M$6:$M$305*'04_KE_HOACH_CD'!$S$6:$S$305)/SUMIF('04_KE_HOACH_CD'!$F$6:$F$305,R17,'04_KE_HOACH_CD'!$M$6:$M$305),0))</x:f>
      </x:c>
      <x:c r="T17" s="29" t="str">
        <x:f>IF(R17="","",IF(S17&gt;=1,"Hoàn thành",IF(COUNTIF('04_KE_HOACH_CD'!$F$6:$F$305,R17)=0,"Chưa có routing",IF(SUMIF('04_KE_HOACH_CD'!$F$6:$F$305,R17,'04_KE_HOACH_CD'!$R$6:$R$305)&gt;0,"Đang sản xuất","Chưa bắt đầu"))))</x:f>
      </x:c>
      <x:c r="U17" s="29" t="str">
        <x:f>IF(R17="","",IF(S17&gt;=1,"Bình thường",IF(N17&lt;TODAY(),"Quá hạn",IF(AND(N17-TODAY()&lt;=2,S17&lt;0.8),"Rủi ro cao",IF(AND(N17-TODAY()&lt;=5,S17&lt;0.5),"Cần theo dõi","Bình thường")))))</x:f>
      </x:c>
      <x:c r="V17" s="21"/>
    </x:row>
    <x:row r="18">
      <x:c r="A18" s="29" t="str">
        <x:f>IF(B18="","",COUNTA($B$6:B18))</x:f>
      </x:c>
      <x:c r="B18" s="21"/>
      <x:c r="C18" s="21"/>
      <x:c r="D18" s="21"/>
      <x:c r="E18" s="21"/>
      <x:c r="F18" s="21"/>
      <x:c r="G18" s="21"/>
      <x:c r="H18" s="21"/>
      <x:c r="I18" s="21"/>
      <x:c r="J18" s="21"/>
      <x:c r="K18" s="23"/>
      <x:c r="L18" s="35"/>
      <x:c r="M18" s="35"/>
      <x:c r="N18" s="35"/>
      <x:c r="O18" s="35"/>
      <x:c r="P18" s="21"/>
      <x:c r="Q18" s="21"/>
      <x:c r="R18" s="29" t="str">
        <x:f>IF(OR(B18="",C18=""),"",B18&amp;"|"&amp;C18&amp;"|"&amp;IF(D18="","00",D18)&amp;"|"&amp;IF(E18="","01",E18))</x:f>
      </x:c>
      <x:c r="S18" s="37" t="str">
        <x:f>IF(R18="","",IFERROR(SUMPRODUCT(('04_KE_HOACH_CD'!$F$6:$F$305=R18)*'04_KE_HOACH_CD'!$M$6:$M$305*'04_KE_HOACH_CD'!$S$6:$S$305)/SUMIF('04_KE_HOACH_CD'!$F$6:$F$305,R18,'04_KE_HOACH_CD'!$M$6:$M$305),0))</x:f>
      </x:c>
      <x:c r="T18" s="29" t="str">
        <x:f>IF(R18="","",IF(S18&gt;=1,"Hoàn thành",IF(COUNTIF('04_KE_HOACH_CD'!$F$6:$F$305,R18)=0,"Chưa có routing",IF(SUMIF('04_KE_HOACH_CD'!$F$6:$F$305,R18,'04_KE_HOACH_CD'!$R$6:$R$305)&gt;0,"Đang sản xuất","Chưa bắt đầu"))))</x:f>
      </x:c>
      <x:c r="U18" s="29" t="str">
        <x:f>IF(R18="","",IF(S18&gt;=1,"Bình thường",IF(N18&lt;TODAY(),"Quá hạn",IF(AND(N18-TODAY()&lt;=2,S18&lt;0.8),"Rủi ro cao",IF(AND(N18-TODAY()&lt;=5,S18&lt;0.5),"Cần theo dõi","Bình thường")))))</x:f>
      </x:c>
      <x:c r="V18" s="21"/>
    </x:row>
    <x:row r="19">
      <x:c r="A19" s="29" t="str">
        <x:f>IF(B19="","",COUNTA($B$6:B19))</x:f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3"/>
      <x:c r="L19" s="35"/>
      <x:c r="M19" s="35"/>
      <x:c r="N19" s="35"/>
      <x:c r="O19" s="35"/>
      <x:c r="P19" s="21"/>
      <x:c r="Q19" s="21"/>
      <x:c r="R19" s="29" t="str">
        <x:f>IF(OR(B19="",C19=""),"",B19&amp;"|"&amp;C19&amp;"|"&amp;IF(D19="","00",D19)&amp;"|"&amp;IF(E19="","01",E19))</x:f>
      </x:c>
      <x:c r="S19" s="37" t="str">
        <x:f>IF(R19="","",IFERROR(SUMPRODUCT(('04_KE_HOACH_CD'!$F$6:$F$305=R19)*'04_KE_HOACH_CD'!$M$6:$M$305*'04_KE_HOACH_CD'!$S$6:$S$305)/SUMIF('04_KE_HOACH_CD'!$F$6:$F$305,R19,'04_KE_HOACH_CD'!$M$6:$M$305),0))</x:f>
      </x:c>
      <x:c r="T19" s="29" t="str">
        <x:f>IF(R19="","",IF(S19&gt;=1,"Hoàn thành",IF(COUNTIF('04_KE_HOACH_CD'!$F$6:$F$305,R19)=0,"Chưa có routing",IF(SUMIF('04_KE_HOACH_CD'!$F$6:$F$305,R19,'04_KE_HOACH_CD'!$R$6:$R$305)&gt;0,"Đang sản xuất","Chưa bắt đầu"))))</x:f>
      </x:c>
      <x:c r="U19" s="29" t="str">
        <x:f>IF(R19="","",IF(S19&gt;=1,"Bình thường",IF(N19&lt;TODAY(),"Quá hạn",IF(AND(N19-TODAY()&lt;=2,S19&lt;0.8),"Rủi ro cao",IF(AND(N19-TODAY()&lt;=5,S19&lt;0.5),"Cần theo dõi","Bình thường")))))</x:f>
      </x:c>
      <x:c r="V19" s="21"/>
    </x:row>
    <x:row r="20">
      <x:c r="A20" s="29" t="str">
        <x:f>IF(B20="","",COUNTA($B$6:B20))</x:f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3"/>
      <x:c r="L20" s="35"/>
      <x:c r="M20" s="35"/>
      <x:c r="N20" s="35"/>
      <x:c r="O20" s="35"/>
      <x:c r="P20" s="21"/>
      <x:c r="Q20" s="21"/>
      <x:c r="R20" s="29" t="str">
        <x:f>IF(OR(B20="",C20=""),"",B20&amp;"|"&amp;C20&amp;"|"&amp;IF(D20="","00",D20)&amp;"|"&amp;IF(E20="","01",E20))</x:f>
      </x:c>
      <x:c r="S20" s="37" t="str">
        <x:f>IF(R20="","",IFERROR(SUMPRODUCT(('04_KE_HOACH_CD'!$F$6:$F$305=R20)*'04_KE_HOACH_CD'!$M$6:$M$305*'04_KE_HOACH_CD'!$S$6:$S$305)/SUMIF('04_KE_HOACH_CD'!$F$6:$F$305,R20,'04_KE_HOACH_CD'!$M$6:$M$305),0))</x:f>
      </x:c>
      <x:c r="T20" s="29" t="str">
        <x:f>IF(R20="","",IF(S20&gt;=1,"Hoàn thành",IF(COUNTIF('04_KE_HOACH_CD'!$F$6:$F$305,R20)=0,"Chưa có routing",IF(SUMIF('04_KE_HOACH_CD'!$F$6:$F$305,R20,'04_KE_HOACH_CD'!$R$6:$R$305)&gt;0,"Đang sản xuất","Chưa bắt đầu"))))</x:f>
      </x:c>
      <x:c r="U20" s="29" t="str">
        <x:f>IF(R20="","",IF(S20&gt;=1,"Bình thường",IF(N20&lt;TODAY(),"Quá hạn",IF(AND(N20-TODAY()&lt;=2,S20&lt;0.8),"Rủi ro cao",IF(AND(N20-TODAY()&lt;=5,S20&lt;0.5),"Cần theo dõi","Bình thường")))))</x:f>
      </x:c>
      <x:c r="V20" s="21"/>
    </x:row>
    <x:row r="21">
      <x:c r="A21" s="29" t="str">
        <x:f>IF(B21="","",COUNTA($B$6:B21))</x:f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3"/>
      <x:c r="L21" s="35"/>
      <x:c r="M21" s="35"/>
      <x:c r="N21" s="35"/>
      <x:c r="O21" s="35"/>
      <x:c r="P21" s="21"/>
      <x:c r="Q21" s="21"/>
      <x:c r="R21" s="29" t="str">
        <x:f>IF(OR(B21="",C21=""),"",B21&amp;"|"&amp;C21&amp;"|"&amp;IF(D21="","00",D21)&amp;"|"&amp;IF(E21="","01",E21))</x:f>
      </x:c>
      <x:c r="S21" s="37" t="str">
        <x:f>IF(R21="","",IFERROR(SUMPRODUCT(('04_KE_HOACH_CD'!$F$6:$F$305=R21)*'04_KE_HOACH_CD'!$M$6:$M$305*'04_KE_HOACH_CD'!$S$6:$S$305)/SUMIF('04_KE_HOACH_CD'!$F$6:$F$305,R21,'04_KE_HOACH_CD'!$M$6:$M$305),0))</x:f>
      </x:c>
      <x:c r="T21" s="29" t="str">
        <x:f>IF(R21="","",IF(S21&gt;=1,"Hoàn thành",IF(COUNTIF('04_KE_HOACH_CD'!$F$6:$F$305,R21)=0,"Chưa có routing",IF(SUMIF('04_KE_HOACH_CD'!$F$6:$F$305,R21,'04_KE_HOACH_CD'!$R$6:$R$305)&gt;0,"Đang sản xuất","Chưa bắt đầu"))))</x:f>
      </x:c>
      <x:c r="U21" s="29" t="str">
        <x:f>IF(R21="","",IF(S21&gt;=1,"Bình thường",IF(N21&lt;TODAY(),"Quá hạn",IF(AND(N21-TODAY()&lt;=2,S21&lt;0.8),"Rủi ro cao",IF(AND(N21-TODAY()&lt;=5,S21&lt;0.5),"Cần theo dõi","Bình thường")))))</x:f>
      </x:c>
      <x:c r="V21" s="21"/>
    </x:row>
    <x:row r="22">
      <x:c r="A22" s="29" t="str">
        <x:f>IF(B22="","",COUNTA($B$6:B22))</x:f>
      </x:c>
      <x:c r="B22" s="21"/>
      <x:c r="C22" s="21"/>
      <x:c r="D22" s="21"/>
      <x:c r="E22" s="21"/>
      <x:c r="F22" s="21"/>
      <x:c r="G22" s="21"/>
      <x:c r="H22" s="21"/>
      <x:c r="I22" s="21"/>
      <x:c r="J22" s="21"/>
      <x:c r="K22" s="23"/>
      <x:c r="L22" s="35"/>
      <x:c r="M22" s="35"/>
      <x:c r="N22" s="35"/>
      <x:c r="O22" s="35"/>
      <x:c r="P22" s="21"/>
      <x:c r="Q22" s="21"/>
      <x:c r="R22" s="29" t="str">
        <x:f>IF(OR(B22="",C22=""),"",B22&amp;"|"&amp;C22&amp;"|"&amp;IF(D22="","00",D22)&amp;"|"&amp;IF(E22="","01",E22))</x:f>
      </x:c>
      <x:c r="S22" s="37" t="str">
        <x:f>IF(R22="","",IFERROR(SUMPRODUCT(('04_KE_HOACH_CD'!$F$6:$F$305=R22)*'04_KE_HOACH_CD'!$M$6:$M$305*'04_KE_HOACH_CD'!$S$6:$S$305)/SUMIF('04_KE_HOACH_CD'!$F$6:$F$305,R22,'04_KE_HOACH_CD'!$M$6:$M$305),0))</x:f>
      </x:c>
      <x:c r="T22" s="29" t="str">
        <x:f>IF(R22="","",IF(S22&gt;=1,"Hoàn thành",IF(COUNTIF('04_KE_HOACH_CD'!$F$6:$F$305,R22)=0,"Chưa có routing",IF(SUMIF('04_KE_HOACH_CD'!$F$6:$F$305,R22,'04_KE_HOACH_CD'!$R$6:$R$305)&gt;0,"Đang sản xuất","Chưa bắt đầu"))))</x:f>
      </x:c>
      <x:c r="U22" s="29" t="str">
        <x:f>IF(R22="","",IF(S22&gt;=1,"Bình thường",IF(N22&lt;TODAY(),"Quá hạn",IF(AND(N22-TODAY()&lt;=2,S22&lt;0.8),"Rủi ro cao",IF(AND(N22-TODAY()&lt;=5,S22&lt;0.5),"Cần theo dõi","Bình thường")))))</x:f>
      </x:c>
      <x:c r="V22" s="21"/>
    </x:row>
    <x:row r="23">
      <x:c r="A23" s="29" t="str">
        <x:f>IF(B23="","",COUNTA($B$6:B23))</x:f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3"/>
      <x:c r="L23" s="35"/>
      <x:c r="M23" s="35"/>
      <x:c r="N23" s="35"/>
      <x:c r="O23" s="35"/>
      <x:c r="P23" s="21"/>
      <x:c r="Q23" s="21"/>
      <x:c r="R23" s="29" t="str">
        <x:f>IF(OR(B23="",C23=""),"",B23&amp;"|"&amp;C23&amp;"|"&amp;IF(D23="","00",D23)&amp;"|"&amp;IF(E23="","01",E23))</x:f>
      </x:c>
      <x:c r="S23" s="37" t="str">
        <x:f>IF(R23="","",IFERROR(SUMPRODUCT(('04_KE_HOACH_CD'!$F$6:$F$305=R23)*'04_KE_HOACH_CD'!$M$6:$M$305*'04_KE_HOACH_CD'!$S$6:$S$305)/SUMIF('04_KE_HOACH_CD'!$F$6:$F$305,R23,'04_KE_HOACH_CD'!$M$6:$M$305),0))</x:f>
      </x:c>
      <x:c r="T23" s="29" t="str">
        <x:f>IF(R23="","",IF(S23&gt;=1,"Hoàn thành",IF(COUNTIF('04_KE_HOACH_CD'!$F$6:$F$305,R23)=0,"Chưa có routing",IF(SUMIF('04_KE_HOACH_CD'!$F$6:$F$305,R23,'04_KE_HOACH_CD'!$R$6:$R$305)&gt;0,"Đang sản xuất","Chưa bắt đầu"))))</x:f>
      </x:c>
      <x:c r="U23" s="29" t="str">
        <x:f>IF(R23="","",IF(S23&gt;=1,"Bình thường",IF(N23&lt;TODAY(),"Quá hạn",IF(AND(N23-TODAY()&lt;=2,S23&lt;0.8),"Rủi ro cao",IF(AND(N23-TODAY()&lt;=5,S23&lt;0.5),"Cần theo dõi","Bình thường")))))</x:f>
      </x:c>
      <x:c r="V23" s="21"/>
    </x:row>
    <x:row r="24">
      <x:c r="A24" s="29" t="str">
        <x:f>IF(B24="","",COUNTA($B$6:B24))</x:f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3"/>
      <x:c r="L24" s="35"/>
      <x:c r="M24" s="35"/>
      <x:c r="N24" s="35"/>
      <x:c r="O24" s="35"/>
      <x:c r="P24" s="21"/>
      <x:c r="Q24" s="21"/>
      <x:c r="R24" s="29" t="str">
        <x:f>IF(OR(B24="",C24=""),"",B24&amp;"|"&amp;C24&amp;"|"&amp;IF(D24="","00",D24)&amp;"|"&amp;IF(E24="","01",E24))</x:f>
      </x:c>
      <x:c r="S24" s="37" t="str">
        <x:f>IF(R24="","",IFERROR(SUMPRODUCT(('04_KE_HOACH_CD'!$F$6:$F$305=R24)*'04_KE_HOACH_CD'!$M$6:$M$305*'04_KE_HOACH_CD'!$S$6:$S$305)/SUMIF('04_KE_HOACH_CD'!$F$6:$F$305,R24,'04_KE_HOACH_CD'!$M$6:$M$305),0))</x:f>
      </x:c>
      <x:c r="T24" s="29" t="str">
        <x:f>IF(R24="","",IF(S24&gt;=1,"Hoàn thành",IF(COUNTIF('04_KE_HOACH_CD'!$F$6:$F$305,R24)=0,"Chưa có routing",IF(SUMIF('04_KE_HOACH_CD'!$F$6:$F$305,R24,'04_KE_HOACH_CD'!$R$6:$R$305)&gt;0,"Đang sản xuất","Chưa bắt đầu"))))</x:f>
      </x:c>
      <x:c r="U24" s="29" t="str">
        <x:f>IF(R24="","",IF(S24&gt;=1,"Bình thường",IF(N24&lt;TODAY(),"Quá hạn",IF(AND(N24-TODAY()&lt;=2,S24&lt;0.8),"Rủi ro cao",IF(AND(N24-TODAY()&lt;=5,S24&lt;0.5),"Cần theo dõi","Bình thường")))))</x:f>
      </x:c>
      <x:c r="V24" s="21"/>
    </x:row>
    <x:row r="25">
      <x:c r="A25" s="29" t="str">
        <x:f>IF(B25="","",COUNTA($B$6:B25))</x:f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3"/>
      <x:c r="L25" s="35"/>
      <x:c r="M25" s="35"/>
      <x:c r="N25" s="35"/>
      <x:c r="O25" s="35"/>
      <x:c r="P25" s="21"/>
      <x:c r="Q25" s="21"/>
      <x:c r="R25" s="29" t="str">
        <x:f>IF(OR(B25="",C25=""),"",B25&amp;"|"&amp;C25&amp;"|"&amp;IF(D25="","00",D25)&amp;"|"&amp;IF(E25="","01",E25))</x:f>
      </x:c>
      <x:c r="S25" s="37" t="str">
        <x:f>IF(R25="","",IFERROR(SUMPRODUCT(('04_KE_HOACH_CD'!$F$6:$F$305=R25)*'04_KE_HOACH_CD'!$M$6:$M$305*'04_KE_HOACH_CD'!$S$6:$S$305)/SUMIF('04_KE_HOACH_CD'!$F$6:$F$305,R25,'04_KE_HOACH_CD'!$M$6:$M$305),0))</x:f>
      </x:c>
      <x:c r="T25" s="29" t="str">
        <x:f>IF(R25="","",IF(S25&gt;=1,"Hoàn thành",IF(COUNTIF('04_KE_HOACH_CD'!$F$6:$F$305,R25)=0,"Chưa có routing",IF(SUMIF('04_KE_HOACH_CD'!$F$6:$F$305,R25,'04_KE_HOACH_CD'!$R$6:$R$305)&gt;0,"Đang sản xuất","Chưa bắt đầu"))))</x:f>
      </x:c>
      <x:c r="U25" s="29" t="str">
        <x:f>IF(R25="","",IF(S25&gt;=1,"Bình thường",IF(N25&lt;TODAY(),"Quá hạn",IF(AND(N25-TODAY()&lt;=2,S25&lt;0.8),"Rủi ro cao",IF(AND(N25-TODAY()&lt;=5,S25&lt;0.5),"Cần theo dõi","Bình thường")))))</x:f>
      </x:c>
      <x:c r="V25" s="21"/>
    </x:row>
    <x:row r="26">
      <x:c r="A26" s="29" t="str">
        <x:f>IF(B26="","",COUNTA($B$6:B26))</x:f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3"/>
      <x:c r="L26" s="35"/>
      <x:c r="M26" s="35"/>
      <x:c r="N26" s="35"/>
      <x:c r="O26" s="35"/>
      <x:c r="P26" s="21"/>
      <x:c r="Q26" s="21"/>
      <x:c r="R26" s="29" t="str">
        <x:f>IF(OR(B26="",C26=""),"",B26&amp;"|"&amp;C26&amp;"|"&amp;IF(D26="","00",D26)&amp;"|"&amp;IF(E26="","01",E26))</x:f>
      </x:c>
      <x:c r="S26" s="37" t="str">
        <x:f>IF(R26="","",IFERROR(SUMPRODUCT(('04_KE_HOACH_CD'!$F$6:$F$305=R26)*'04_KE_HOACH_CD'!$M$6:$M$305*'04_KE_HOACH_CD'!$S$6:$S$305)/SUMIF('04_KE_HOACH_CD'!$F$6:$F$305,R26,'04_KE_HOACH_CD'!$M$6:$M$305),0))</x:f>
      </x:c>
      <x:c r="T26" s="29" t="str">
        <x:f>IF(R26="","",IF(S26&gt;=1,"Hoàn thành",IF(COUNTIF('04_KE_HOACH_CD'!$F$6:$F$305,R26)=0,"Chưa có routing",IF(SUMIF('04_KE_HOACH_CD'!$F$6:$F$305,R26,'04_KE_HOACH_CD'!$R$6:$R$305)&gt;0,"Đang sản xuất","Chưa bắt đầu"))))</x:f>
      </x:c>
      <x:c r="U26" s="29" t="str">
        <x:f>IF(R26="","",IF(S26&gt;=1,"Bình thường",IF(N26&lt;TODAY(),"Quá hạn",IF(AND(N26-TODAY()&lt;=2,S26&lt;0.8),"Rủi ro cao",IF(AND(N26-TODAY()&lt;=5,S26&lt;0.5),"Cần theo dõi","Bình thường")))))</x:f>
      </x:c>
      <x:c r="V26" s="21"/>
    </x:row>
    <x:row r="27">
      <x:c r="A27" s="29" t="str">
        <x:f>IF(B27="","",COUNTA($B$6:B27))</x:f>
      </x:c>
      <x:c r="B27" s="21"/>
      <x:c r="C27" s="21"/>
      <x:c r="D27" s="21"/>
      <x:c r="E27" s="21"/>
      <x:c r="F27" s="21"/>
      <x:c r="G27" s="21"/>
      <x:c r="H27" s="21"/>
      <x:c r="I27" s="21"/>
      <x:c r="J27" s="21"/>
      <x:c r="K27" s="23"/>
      <x:c r="L27" s="35"/>
      <x:c r="M27" s="35"/>
      <x:c r="N27" s="35"/>
      <x:c r="O27" s="35"/>
      <x:c r="P27" s="21"/>
      <x:c r="Q27" s="21"/>
      <x:c r="R27" s="29" t="str">
        <x:f>IF(OR(B27="",C27=""),"",B27&amp;"|"&amp;C27&amp;"|"&amp;IF(D27="","00",D27)&amp;"|"&amp;IF(E27="","01",E27))</x:f>
      </x:c>
      <x:c r="S27" s="37" t="str">
        <x:f>IF(R27="","",IFERROR(SUMPRODUCT(('04_KE_HOACH_CD'!$F$6:$F$305=R27)*'04_KE_HOACH_CD'!$M$6:$M$305*'04_KE_HOACH_CD'!$S$6:$S$305)/SUMIF('04_KE_HOACH_CD'!$F$6:$F$305,R27,'04_KE_HOACH_CD'!$M$6:$M$305),0))</x:f>
      </x:c>
      <x:c r="T27" s="29" t="str">
        <x:f>IF(R27="","",IF(S27&gt;=1,"Hoàn thành",IF(COUNTIF('04_KE_HOACH_CD'!$F$6:$F$305,R27)=0,"Chưa có routing",IF(SUMIF('04_KE_HOACH_CD'!$F$6:$F$305,R27,'04_KE_HOACH_CD'!$R$6:$R$305)&gt;0,"Đang sản xuất","Chưa bắt đầu"))))</x:f>
      </x:c>
      <x:c r="U27" s="29" t="str">
        <x:f>IF(R27="","",IF(S27&gt;=1,"Bình thường",IF(N27&lt;TODAY(),"Quá hạn",IF(AND(N27-TODAY()&lt;=2,S27&lt;0.8),"Rủi ro cao",IF(AND(N27-TODAY()&lt;=5,S27&lt;0.5),"Cần theo dõi","Bình thường")))))</x:f>
      </x:c>
      <x:c r="V27" s="21"/>
    </x:row>
    <x:row r="28">
      <x:c r="A28" s="29" t="str">
        <x:f>IF(B28="","",COUNTA($B$6:B28))</x:f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3"/>
      <x:c r="L28" s="35"/>
      <x:c r="M28" s="35"/>
      <x:c r="N28" s="35"/>
      <x:c r="O28" s="35"/>
      <x:c r="P28" s="21"/>
      <x:c r="Q28" s="21"/>
      <x:c r="R28" s="29" t="str">
        <x:f>IF(OR(B28="",C28=""),"",B28&amp;"|"&amp;C28&amp;"|"&amp;IF(D28="","00",D28)&amp;"|"&amp;IF(E28="","01",E28))</x:f>
      </x:c>
      <x:c r="S28" s="37" t="str">
        <x:f>IF(R28="","",IFERROR(SUMPRODUCT(('04_KE_HOACH_CD'!$F$6:$F$305=R28)*'04_KE_HOACH_CD'!$M$6:$M$305*'04_KE_HOACH_CD'!$S$6:$S$305)/SUMIF('04_KE_HOACH_CD'!$F$6:$F$305,R28,'04_KE_HOACH_CD'!$M$6:$M$305),0))</x:f>
      </x:c>
      <x:c r="T28" s="29" t="str">
        <x:f>IF(R28="","",IF(S28&gt;=1,"Hoàn thành",IF(COUNTIF('04_KE_HOACH_CD'!$F$6:$F$305,R28)=0,"Chưa có routing",IF(SUMIF('04_KE_HOACH_CD'!$F$6:$F$305,R28,'04_KE_HOACH_CD'!$R$6:$R$305)&gt;0,"Đang sản xuất","Chưa bắt đầu"))))</x:f>
      </x:c>
      <x:c r="U28" s="29" t="str">
        <x:f>IF(R28="","",IF(S28&gt;=1,"Bình thường",IF(N28&lt;TODAY(),"Quá hạn",IF(AND(N28-TODAY()&lt;=2,S28&lt;0.8),"Rủi ro cao",IF(AND(N28-TODAY()&lt;=5,S28&lt;0.5),"Cần theo dõi","Bình thường")))))</x:f>
      </x:c>
      <x:c r="V28" s="21"/>
    </x:row>
    <x:row r="29">
      <x:c r="A29" s="29" t="str">
        <x:f>IF(B29="","",COUNTA($B$6:B29))</x:f>
      </x:c>
      <x:c r="B29" s="21"/>
      <x:c r="C29" s="21"/>
      <x:c r="D29" s="21"/>
      <x:c r="E29" s="21"/>
      <x:c r="F29" s="21"/>
      <x:c r="G29" s="21"/>
      <x:c r="H29" s="21"/>
      <x:c r="I29" s="21"/>
      <x:c r="J29" s="21"/>
      <x:c r="K29" s="23"/>
      <x:c r="L29" s="35"/>
      <x:c r="M29" s="35"/>
      <x:c r="N29" s="35"/>
      <x:c r="O29" s="35"/>
      <x:c r="P29" s="21"/>
      <x:c r="Q29" s="21"/>
      <x:c r="R29" s="29" t="str">
        <x:f>IF(OR(B29="",C29=""),"",B29&amp;"|"&amp;C29&amp;"|"&amp;IF(D29="","00",D29)&amp;"|"&amp;IF(E29="","01",E29))</x:f>
      </x:c>
      <x:c r="S29" s="37" t="str">
        <x:f>IF(R29="","",IFERROR(SUMPRODUCT(('04_KE_HOACH_CD'!$F$6:$F$305=R29)*'04_KE_HOACH_CD'!$M$6:$M$305*'04_KE_HOACH_CD'!$S$6:$S$305)/SUMIF('04_KE_HOACH_CD'!$F$6:$F$305,R29,'04_KE_HOACH_CD'!$M$6:$M$305),0))</x:f>
      </x:c>
      <x:c r="T29" s="29" t="str">
        <x:f>IF(R29="","",IF(S29&gt;=1,"Hoàn thành",IF(COUNTIF('04_KE_HOACH_CD'!$F$6:$F$305,R29)=0,"Chưa có routing",IF(SUMIF('04_KE_HOACH_CD'!$F$6:$F$305,R29,'04_KE_HOACH_CD'!$R$6:$R$305)&gt;0,"Đang sản xuất","Chưa bắt đầu"))))</x:f>
      </x:c>
      <x:c r="U29" s="29" t="str">
        <x:f>IF(R29="","",IF(S29&gt;=1,"Bình thường",IF(N29&lt;TODAY(),"Quá hạn",IF(AND(N29-TODAY()&lt;=2,S29&lt;0.8),"Rủi ro cao",IF(AND(N29-TODAY()&lt;=5,S29&lt;0.5),"Cần theo dõi","Bình thường")))))</x:f>
      </x:c>
      <x:c r="V29" s="21"/>
    </x:row>
    <x:row r="30">
      <x:c r="A30" s="29" t="str">
        <x:f>IF(B30="","",COUNTA($B$6:B30))</x:f>
      </x:c>
      <x:c r="B30" s="21"/>
      <x:c r="C30" s="21"/>
      <x:c r="D30" s="21"/>
      <x:c r="E30" s="21"/>
      <x:c r="F30" s="21"/>
      <x:c r="G30" s="21"/>
      <x:c r="H30" s="21"/>
      <x:c r="I30" s="21"/>
      <x:c r="J30" s="21"/>
      <x:c r="K30" s="23"/>
      <x:c r="L30" s="35"/>
      <x:c r="M30" s="35"/>
      <x:c r="N30" s="35"/>
      <x:c r="O30" s="35"/>
      <x:c r="P30" s="21"/>
      <x:c r="Q30" s="21"/>
      <x:c r="R30" s="29" t="str">
        <x:f>IF(OR(B30="",C30=""),"",B30&amp;"|"&amp;C30&amp;"|"&amp;IF(D30="","00",D30)&amp;"|"&amp;IF(E30="","01",E30))</x:f>
      </x:c>
      <x:c r="S30" s="37" t="str">
        <x:f>IF(R30="","",IFERROR(SUMPRODUCT(('04_KE_HOACH_CD'!$F$6:$F$305=R30)*'04_KE_HOACH_CD'!$M$6:$M$305*'04_KE_HOACH_CD'!$S$6:$S$305)/SUMIF('04_KE_HOACH_CD'!$F$6:$F$305,R30,'04_KE_HOACH_CD'!$M$6:$M$305),0))</x:f>
      </x:c>
      <x:c r="T30" s="29" t="str">
        <x:f>IF(R30="","",IF(S30&gt;=1,"Hoàn thành",IF(COUNTIF('04_KE_HOACH_CD'!$F$6:$F$305,R30)=0,"Chưa có routing",IF(SUMIF('04_KE_HOACH_CD'!$F$6:$F$305,R30,'04_KE_HOACH_CD'!$R$6:$R$305)&gt;0,"Đang sản xuất","Chưa bắt đầu"))))</x:f>
      </x:c>
      <x:c r="U30" s="29" t="str">
        <x:f>IF(R30="","",IF(S30&gt;=1,"Bình thường",IF(N30&lt;TODAY(),"Quá hạn",IF(AND(N30-TODAY()&lt;=2,S30&lt;0.8),"Rủi ro cao",IF(AND(N30-TODAY()&lt;=5,S30&lt;0.5),"Cần theo dõi","Bình thường")))))</x:f>
      </x:c>
      <x:c r="V30" s="21"/>
    </x:row>
    <x:row r="31">
      <x:c r="A31" s="29" t="str">
        <x:f>IF(B31="","",COUNTA($B$6:B31))</x:f>
      </x:c>
      <x:c r="B31" s="21"/>
      <x:c r="C31" s="21"/>
      <x:c r="D31" s="21"/>
      <x:c r="E31" s="21"/>
      <x:c r="F31" s="21"/>
      <x:c r="G31" s="21"/>
      <x:c r="H31" s="21"/>
      <x:c r="I31" s="21"/>
      <x:c r="J31" s="21"/>
      <x:c r="K31" s="23"/>
      <x:c r="L31" s="35"/>
      <x:c r="M31" s="35"/>
      <x:c r="N31" s="35"/>
      <x:c r="O31" s="35"/>
      <x:c r="P31" s="21"/>
      <x:c r="Q31" s="21"/>
      <x:c r="R31" s="29" t="str">
        <x:f>IF(OR(B31="",C31=""),"",B31&amp;"|"&amp;C31&amp;"|"&amp;IF(D31="","00",D31)&amp;"|"&amp;IF(E31="","01",E31))</x:f>
      </x:c>
      <x:c r="S31" s="37" t="str">
        <x:f>IF(R31="","",IFERROR(SUMPRODUCT(('04_KE_HOACH_CD'!$F$6:$F$305=R31)*'04_KE_HOACH_CD'!$M$6:$M$305*'04_KE_HOACH_CD'!$S$6:$S$305)/SUMIF('04_KE_HOACH_CD'!$F$6:$F$305,R31,'04_KE_HOACH_CD'!$M$6:$M$305),0))</x:f>
      </x:c>
      <x:c r="T31" s="29" t="str">
        <x:f>IF(R31="","",IF(S31&gt;=1,"Hoàn thành",IF(COUNTIF('04_KE_HOACH_CD'!$F$6:$F$305,R31)=0,"Chưa có routing",IF(SUMIF('04_KE_HOACH_CD'!$F$6:$F$305,R31,'04_KE_HOACH_CD'!$R$6:$R$305)&gt;0,"Đang sản xuất","Chưa bắt đầu"))))</x:f>
      </x:c>
      <x:c r="U31" s="29" t="str">
        <x:f>IF(R31="","",IF(S31&gt;=1,"Bình thường",IF(N31&lt;TODAY(),"Quá hạn",IF(AND(N31-TODAY()&lt;=2,S31&lt;0.8),"Rủi ro cao",IF(AND(N31-TODAY()&lt;=5,S31&lt;0.5),"Cần theo dõi","Bình thường")))))</x:f>
      </x:c>
      <x:c r="V31" s="21"/>
    </x:row>
    <x:row r="32">
      <x:c r="A32" s="29" t="str">
        <x:f>IF(B32="","",COUNTA($B$6:B32))</x:f>
      </x:c>
      <x:c r="B32" s="21"/>
      <x:c r="C32" s="21"/>
      <x:c r="D32" s="21"/>
      <x:c r="E32" s="21"/>
      <x:c r="F32" s="21"/>
      <x:c r="G32" s="21"/>
      <x:c r="H32" s="21"/>
      <x:c r="I32" s="21"/>
      <x:c r="J32" s="21"/>
      <x:c r="K32" s="23"/>
      <x:c r="L32" s="35"/>
      <x:c r="M32" s="35"/>
      <x:c r="N32" s="35"/>
      <x:c r="O32" s="35"/>
      <x:c r="P32" s="21"/>
      <x:c r="Q32" s="21"/>
      <x:c r="R32" s="29" t="str">
        <x:f>IF(OR(B32="",C32=""),"",B32&amp;"|"&amp;C32&amp;"|"&amp;IF(D32="","00",D32)&amp;"|"&amp;IF(E32="","01",E32))</x:f>
      </x:c>
      <x:c r="S32" s="37" t="str">
        <x:f>IF(R32="","",IFERROR(SUMPRODUCT(('04_KE_HOACH_CD'!$F$6:$F$305=R32)*'04_KE_HOACH_CD'!$M$6:$M$305*'04_KE_HOACH_CD'!$S$6:$S$305)/SUMIF('04_KE_HOACH_CD'!$F$6:$F$305,R32,'04_KE_HOACH_CD'!$M$6:$M$305),0))</x:f>
      </x:c>
      <x:c r="T32" s="29" t="str">
        <x:f>IF(R32="","",IF(S32&gt;=1,"Hoàn thành",IF(COUNTIF('04_KE_HOACH_CD'!$F$6:$F$305,R32)=0,"Chưa có routing",IF(SUMIF('04_KE_HOACH_CD'!$F$6:$F$305,R32,'04_KE_HOACH_CD'!$R$6:$R$305)&gt;0,"Đang sản xuất","Chưa bắt đầu"))))</x:f>
      </x:c>
      <x:c r="U32" s="29" t="str">
        <x:f>IF(R32="","",IF(S32&gt;=1,"Bình thường",IF(N32&lt;TODAY(),"Quá hạn",IF(AND(N32-TODAY()&lt;=2,S32&lt;0.8),"Rủi ro cao",IF(AND(N32-TODAY()&lt;=5,S32&lt;0.5),"Cần theo dõi","Bình thường")))))</x:f>
      </x:c>
      <x:c r="V32" s="21"/>
    </x:row>
    <x:row r="33">
      <x:c r="A33" s="29" t="str">
        <x:f>IF(B33="","",COUNTA($B$6:B33))</x:f>
      </x:c>
      <x:c r="B33" s="21"/>
      <x:c r="C33" s="21"/>
      <x:c r="D33" s="21"/>
      <x:c r="E33" s="21"/>
      <x:c r="F33" s="21"/>
      <x:c r="G33" s="21"/>
      <x:c r="H33" s="21"/>
      <x:c r="I33" s="21"/>
      <x:c r="J33" s="21"/>
      <x:c r="K33" s="23"/>
      <x:c r="L33" s="35"/>
      <x:c r="M33" s="35"/>
      <x:c r="N33" s="35"/>
      <x:c r="O33" s="35"/>
      <x:c r="P33" s="21"/>
      <x:c r="Q33" s="21"/>
      <x:c r="R33" s="29" t="str">
        <x:f>IF(OR(B33="",C33=""),"",B33&amp;"|"&amp;C33&amp;"|"&amp;IF(D33="","00",D33)&amp;"|"&amp;IF(E33="","01",E33))</x:f>
      </x:c>
      <x:c r="S33" s="37" t="str">
        <x:f>IF(R33="","",IFERROR(SUMPRODUCT(('04_KE_HOACH_CD'!$F$6:$F$305=R33)*'04_KE_HOACH_CD'!$M$6:$M$305*'04_KE_HOACH_CD'!$S$6:$S$305)/SUMIF('04_KE_HOACH_CD'!$F$6:$F$305,R33,'04_KE_HOACH_CD'!$M$6:$M$305),0))</x:f>
      </x:c>
      <x:c r="T33" s="29" t="str">
        <x:f>IF(R33="","",IF(S33&gt;=1,"Hoàn thành",IF(COUNTIF('04_KE_HOACH_CD'!$F$6:$F$305,R33)=0,"Chưa có routing",IF(SUMIF('04_KE_HOACH_CD'!$F$6:$F$305,R33,'04_KE_HOACH_CD'!$R$6:$R$305)&gt;0,"Đang sản xuất","Chưa bắt đầu"))))</x:f>
      </x:c>
      <x:c r="U33" s="29" t="str">
        <x:f>IF(R33="","",IF(S33&gt;=1,"Bình thường",IF(N33&lt;TODAY(),"Quá hạn",IF(AND(N33-TODAY()&lt;=2,S33&lt;0.8),"Rủi ro cao",IF(AND(N33-TODAY()&lt;=5,S33&lt;0.5),"Cần theo dõi","Bình thường")))))</x:f>
      </x:c>
      <x:c r="V33" s="21"/>
    </x:row>
    <x:row r="34">
      <x:c r="A34" s="29" t="str">
        <x:f>IF(B34="","",COUNTA($B$6:B34))</x:f>
      </x:c>
      <x:c r="B34" s="21"/>
      <x:c r="C34" s="21"/>
      <x:c r="D34" s="21"/>
      <x:c r="E34" s="21"/>
      <x:c r="F34" s="21"/>
      <x:c r="G34" s="21"/>
      <x:c r="H34" s="21"/>
      <x:c r="I34" s="21"/>
      <x:c r="J34" s="21"/>
      <x:c r="K34" s="23"/>
      <x:c r="L34" s="35"/>
      <x:c r="M34" s="35"/>
      <x:c r="N34" s="35"/>
      <x:c r="O34" s="35"/>
      <x:c r="P34" s="21"/>
      <x:c r="Q34" s="21"/>
      <x:c r="R34" s="29" t="str">
        <x:f>IF(OR(B34="",C34=""),"",B34&amp;"|"&amp;C34&amp;"|"&amp;IF(D34="","00",D34)&amp;"|"&amp;IF(E34="","01",E34))</x:f>
      </x:c>
      <x:c r="S34" s="37" t="str">
        <x:f>IF(R34="","",IFERROR(SUMPRODUCT(('04_KE_HOACH_CD'!$F$6:$F$305=R34)*'04_KE_HOACH_CD'!$M$6:$M$305*'04_KE_HOACH_CD'!$S$6:$S$305)/SUMIF('04_KE_HOACH_CD'!$F$6:$F$305,R34,'04_KE_HOACH_CD'!$M$6:$M$305),0))</x:f>
      </x:c>
      <x:c r="T34" s="29" t="str">
        <x:f>IF(R34="","",IF(S34&gt;=1,"Hoàn thành",IF(COUNTIF('04_KE_HOACH_CD'!$F$6:$F$305,R34)=0,"Chưa có routing",IF(SUMIF('04_KE_HOACH_CD'!$F$6:$F$305,R34,'04_KE_HOACH_CD'!$R$6:$R$305)&gt;0,"Đang sản xuất","Chưa bắt đầu"))))</x:f>
      </x:c>
      <x:c r="U34" s="29" t="str">
        <x:f>IF(R34="","",IF(S34&gt;=1,"Bình thường",IF(N34&lt;TODAY(),"Quá hạn",IF(AND(N34-TODAY()&lt;=2,S34&lt;0.8),"Rủi ro cao",IF(AND(N34-TODAY()&lt;=5,S34&lt;0.5),"Cần theo dõi","Bình thường")))))</x:f>
      </x:c>
      <x:c r="V34" s="21"/>
    </x:row>
    <x:row r="35">
      <x:c r="A35" s="29" t="str">
        <x:f>IF(B35="","",COUNTA($B$6:B35))</x:f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3"/>
      <x:c r="L35" s="35"/>
      <x:c r="M35" s="35"/>
      <x:c r="N35" s="35"/>
      <x:c r="O35" s="35"/>
      <x:c r="P35" s="21"/>
      <x:c r="Q35" s="21"/>
      <x:c r="R35" s="29" t="str">
        <x:f>IF(OR(B35="",C35=""),"",B35&amp;"|"&amp;C35&amp;"|"&amp;IF(D35="","00",D35)&amp;"|"&amp;IF(E35="","01",E35))</x:f>
      </x:c>
      <x:c r="S35" s="37" t="str">
        <x:f>IF(R35="","",IFERROR(SUMPRODUCT(('04_KE_HOACH_CD'!$F$6:$F$305=R35)*'04_KE_HOACH_CD'!$M$6:$M$305*'04_KE_HOACH_CD'!$S$6:$S$305)/SUMIF('04_KE_HOACH_CD'!$F$6:$F$305,R35,'04_KE_HOACH_CD'!$M$6:$M$305),0))</x:f>
      </x:c>
      <x:c r="T35" s="29" t="str">
        <x:f>IF(R35="","",IF(S35&gt;=1,"Hoàn thành",IF(COUNTIF('04_KE_HOACH_CD'!$F$6:$F$305,R35)=0,"Chưa có routing",IF(SUMIF('04_KE_HOACH_CD'!$F$6:$F$305,R35,'04_KE_HOACH_CD'!$R$6:$R$305)&gt;0,"Đang sản xuất","Chưa bắt đầu"))))</x:f>
      </x:c>
      <x:c r="U35" s="29" t="str">
        <x:f>IF(R35="","",IF(S35&gt;=1,"Bình thường",IF(N35&lt;TODAY(),"Quá hạn",IF(AND(N35-TODAY()&lt;=2,S35&lt;0.8),"Rủi ro cao",IF(AND(N35-TODAY()&lt;=5,S35&lt;0.5),"Cần theo dõi","Bình thường")))))</x:f>
      </x:c>
      <x:c r="V35" s="21"/>
    </x:row>
    <x:row r="36">
      <x:c r="A36" s="29" t="str">
        <x:f>IF(B36="","",COUNTA($B$6:B36))</x:f>
      </x:c>
      <x:c r="B36" s="21"/>
      <x:c r="C36" s="21"/>
      <x:c r="D36" s="21"/>
      <x:c r="E36" s="21"/>
      <x:c r="F36" s="21"/>
      <x:c r="G36" s="21"/>
      <x:c r="H36" s="21"/>
      <x:c r="I36" s="21"/>
      <x:c r="J36" s="21"/>
      <x:c r="K36" s="23"/>
      <x:c r="L36" s="35"/>
      <x:c r="M36" s="35"/>
      <x:c r="N36" s="35"/>
      <x:c r="O36" s="35"/>
      <x:c r="P36" s="21"/>
      <x:c r="Q36" s="21"/>
      <x:c r="R36" s="29" t="str">
        <x:f>IF(OR(B36="",C36=""),"",B36&amp;"|"&amp;C36&amp;"|"&amp;IF(D36="","00",D36)&amp;"|"&amp;IF(E36="","01",E36))</x:f>
      </x:c>
      <x:c r="S36" s="37" t="str">
        <x:f>IF(R36="","",IFERROR(SUMPRODUCT(('04_KE_HOACH_CD'!$F$6:$F$305=R36)*'04_KE_HOACH_CD'!$M$6:$M$305*'04_KE_HOACH_CD'!$S$6:$S$305)/SUMIF('04_KE_HOACH_CD'!$F$6:$F$305,R36,'04_KE_HOACH_CD'!$M$6:$M$305),0))</x:f>
      </x:c>
      <x:c r="T36" s="29" t="str">
        <x:f>IF(R36="","",IF(S36&gt;=1,"Hoàn thành",IF(COUNTIF('04_KE_HOACH_CD'!$F$6:$F$305,R36)=0,"Chưa có routing",IF(SUMIF('04_KE_HOACH_CD'!$F$6:$F$305,R36,'04_KE_HOACH_CD'!$R$6:$R$305)&gt;0,"Đang sản xuất","Chưa bắt đầu"))))</x:f>
      </x:c>
      <x:c r="U36" s="29" t="str">
        <x:f>IF(R36="","",IF(S36&gt;=1,"Bình thường",IF(N36&lt;TODAY(),"Quá hạn",IF(AND(N36-TODAY()&lt;=2,S36&lt;0.8),"Rủi ro cao",IF(AND(N36-TODAY()&lt;=5,S36&lt;0.5),"Cần theo dõi","Bình thường")))))</x:f>
      </x:c>
      <x:c r="V36" s="21"/>
    </x:row>
    <x:row r="37">
      <x:c r="A37" s="29" t="str">
        <x:f>IF(B37="","",COUNTA($B$6:B37))</x:f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3"/>
      <x:c r="L37" s="35"/>
      <x:c r="M37" s="35"/>
      <x:c r="N37" s="35"/>
      <x:c r="O37" s="35"/>
      <x:c r="P37" s="21"/>
      <x:c r="Q37" s="21"/>
      <x:c r="R37" s="29" t="str">
        <x:f>IF(OR(B37="",C37=""),"",B37&amp;"|"&amp;C37&amp;"|"&amp;IF(D37="","00",D37)&amp;"|"&amp;IF(E37="","01",E37))</x:f>
      </x:c>
      <x:c r="S37" s="37" t="str">
        <x:f>IF(R37="","",IFERROR(SUMPRODUCT(('04_KE_HOACH_CD'!$F$6:$F$305=R37)*'04_KE_HOACH_CD'!$M$6:$M$305*'04_KE_HOACH_CD'!$S$6:$S$305)/SUMIF('04_KE_HOACH_CD'!$F$6:$F$305,R37,'04_KE_HOACH_CD'!$M$6:$M$305),0))</x:f>
      </x:c>
      <x:c r="T37" s="29" t="str">
        <x:f>IF(R37="","",IF(S37&gt;=1,"Hoàn thành",IF(COUNTIF('04_KE_HOACH_CD'!$F$6:$F$305,R37)=0,"Chưa có routing",IF(SUMIF('04_KE_HOACH_CD'!$F$6:$F$305,R37,'04_KE_HOACH_CD'!$R$6:$R$305)&gt;0,"Đang sản xuất","Chưa bắt đầu"))))</x:f>
      </x:c>
      <x:c r="U37" s="29" t="str">
        <x:f>IF(R37="","",IF(S37&gt;=1,"Bình thường",IF(N37&lt;TODAY(),"Quá hạn",IF(AND(N37-TODAY()&lt;=2,S37&lt;0.8),"Rủi ro cao",IF(AND(N37-TODAY()&lt;=5,S37&lt;0.5),"Cần theo dõi","Bình thường")))))</x:f>
      </x:c>
      <x:c r="V37" s="21"/>
    </x:row>
    <x:row r="38">
      <x:c r="A38" s="29" t="str">
        <x:f>IF(B38="","",COUNTA($B$6:B38))</x:f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3"/>
      <x:c r="L38" s="35"/>
      <x:c r="M38" s="35"/>
      <x:c r="N38" s="35"/>
      <x:c r="O38" s="35"/>
      <x:c r="P38" s="21"/>
      <x:c r="Q38" s="21"/>
      <x:c r="R38" s="29" t="str">
        <x:f>IF(OR(B38="",C38=""),"",B38&amp;"|"&amp;C38&amp;"|"&amp;IF(D38="","00",D38)&amp;"|"&amp;IF(E38="","01",E38))</x:f>
      </x:c>
      <x:c r="S38" s="37" t="str">
        <x:f>IF(R38="","",IFERROR(SUMPRODUCT(('04_KE_HOACH_CD'!$F$6:$F$305=R38)*'04_KE_HOACH_CD'!$M$6:$M$305*'04_KE_HOACH_CD'!$S$6:$S$305)/SUMIF('04_KE_HOACH_CD'!$F$6:$F$305,R38,'04_KE_HOACH_CD'!$M$6:$M$305),0))</x:f>
      </x:c>
      <x:c r="T38" s="29" t="str">
        <x:f>IF(R38="","",IF(S38&gt;=1,"Hoàn thành",IF(COUNTIF('04_KE_HOACH_CD'!$F$6:$F$305,R38)=0,"Chưa có routing",IF(SUMIF('04_KE_HOACH_CD'!$F$6:$F$305,R38,'04_KE_HOACH_CD'!$R$6:$R$305)&gt;0,"Đang sản xuất","Chưa bắt đầu"))))</x:f>
      </x:c>
      <x:c r="U38" s="29" t="str">
        <x:f>IF(R38="","",IF(S38&gt;=1,"Bình thường",IF(N38&lt;TODAY(),"Quá hạn",IF(AND(N38-TODAY()&lt;=2,S38&lt;0.8),"Rủi ro cao",IF(AND(N38-TODAY()&lt;=5,S38&lt;0.5),"Cần theo dõi","Bình thường")))))</x:f>
      </x:c>
      <x:c r="V38" s="21"/>
    </x:row>
    <x:row r="39">
      <x:c r="A39" s="29" t="str">
        <x:f>IF(B39="","",COUNTA($B$6:B39))</x:f>
      </x:c>
      <x:c r="B39" s="21"/>
      <x:c r="C39" s="21"/>
      <x:c r="D39" s="21"/>
      <x:c r="E39" s="21"/>
      <x:c r="F39" s="21"/>
      <x:c r="G39" s="21"/>
      <x:c r="H39" s="21"/>
      <x:c r="I39" s="21"/>
      <x:c r="J39" s="21"/>
      <x:c r="K39" s="23"/>
      <x:c r="L39" s="35"/>
      <x:c r="M39" s="35"/>
      <x:c r="N39" s="35"/>
      <x:c r="O39" s="35"/>
      <x:c r="P39" s="21"/>
      <x:c r="Q39" s="21"/>
      <x:c r="R39" s="29" t="str">
        <x:f>IF(OR(B39="",C39=""),"",B39&amp;"|"&amp;C39&amp;"|"&amp;IF(D39="","00",D39)&amp;"|"&amp;IF(E39="","01",E39))</x:f>
      </x:c>
      <x:c r="S39" s="37" t="str">
        <x:f>IF(R39="","",IFERROR(SUMPRODUCT(('04_KE_HOACH_CD'!$F$6:$F$305=R39)*'04_KE_HOACH_CD'!$M$6:$M$305*'04_KE_HOACH_CD'!$S$6:$S$305)/SUMIF('04_KE_HOACH_CD'!$F$6:$F$305,R39,'04_KE_HOACH_CD'!$M$6:$M$305),0))</x:f>
      </x:c>
      <x:c r="T39" s="29" t="str">
        <x:f>IF(R39="","",IF(S39&gt;=1,"Hoàn thành",IF(COUNTIF('04_KE_HOACH_CD'!$F$6:$F$305,R39)=0,"Chưa có routing",IF(SUMIF('04_KE_HOACH_CD'!$F$6:$F$305,R39,'04_KE_HOACH_CD'!$R$6:$R$305)&gt;0,"Đang sản xuất","Chưa bắt đầu"))))</x:f>
      </x:c>
      <x:c r="U39" s="29" t="str">
        <x:f>IF(R39="","",IF(S39&gt;=1,"Bình thường",IF(N39&lt;TODAY(),"Quá hạn",IF(AND(N39-TODAY()&lt;=2,S39&lt;0.8),"Rủi ro cao",IF(AND(N39-TODAY()&lt;=5,S39&lt;0.5),"Cần theo dõi","Bình thường")))))</x:f>
      </x:c>
      <x:c r="V39" s="21"/>
    </x:row>
    <x:row r="40">
      <x:c r="A40" s="29" t="str">
        <x:f>IF(B40="","",COUNTA($B$6:B40))</x:f>
      </x:c>
      <x:c r="B40" s="21"/>
      <x:c r="C40" s="21"/>
      <x:c r="D40" s="21"/>
      <x:c r="E40" s="21"/>
      <x:c r="F40" s="21"/>
      <x:c r="G40" s="21"/>
      <x:c r="H40" s="21"/>
      <x:c r="I40" s="21"/>
      <x:c r="J40" s="21"/>
      <x:c r="K40" s="23"/>
      <x:c r="L40" s="35"/>
      <x:c r="M40" s="35"/>
      <x:c r="N40" s="35"/>
      <x:c r="O40" s="35"/>
      <x:c r="P40" s="21"/>
      <x:c r="Q40" s="21"/>
      <x:c r="R40" s="29" t="str">
        <x:f>IF(OR(B40="",C40=""),"",B40&amp;"|"&amp;C40&amp;"|"&amp;IF(D40="","00",D40)&amp;"|"&amp;IF(E40="","01",E40))</x:f>
      </x:c>
      <x:c r="S40" s="37" t="str">
        <x:f>IF(R40="","",IFERROR(SUMPRODUCT(('04_KE_HOACH_CD'!$F$6:$F$305=R40)*'04_KE_HOACH_CD'!$M$6:$M$305*'04_KE_HOACH_CD'!$S$6:$S$305)/SUMIF('04_KE_HOACH_CD'!$F$6:$F$305,R40,'04_KE_HOACH_CD'!$M$6:$M$305),0))</x:f>
      </x:c>
      <x:c r="T40" s="29" t="str">
        <x:f>IF(R40="","",IF(S40&gt;=1,"Hoàn thành",IF(COUNTIF('04_KE_HOACH_CD'!$F$6:$F$305,R40)=0,"Chưa có routing",IF(SUMIF('04_KE_HOACH_CD'!$F$6:$F$305,R40,'04_KE_HOACH_CD'!$R$6:$R$305)&gt;0,"Đang sản xuất","Chưa bắt đầu"))))</x:f>
      </x:c>
      <x:c r="U40" s="29" t="str">
        <x:f>IF(R40="","",IF(S40&gt;=1,"Bình thường",IF(N40&lt;TODAY(),"Quá hạn",IF(AND(N40-TODAY()&lt;=2,S40&lt;0.8),"Rủi ro cao",IF(AND(N40-TODAY()&lt;=5,S40&lt;0.5),"Cần theo dõi","Bình thường")))))</x:f>
      </x:c>
      <x:c r="V40" s="21"/>
    </x:row>
    <x:row r="41">
      <x:c r="A41" s="29" t="str">
        <x:f>IF(B41="","",COUNTA($B$6:B41))</x:f>
      </x:c>
      <x:c r="B41" s="21"/>
      <x:c r="C41" s="21"/>
      <x:c r="D41" s="21"/>
      <x:c r="E41" s="21"/>
      <x:c r="F41" s="21"/>
      <x:c r="G41" s="21"/>
      <x:c r="H41" s="21"/>
      <x:c r="I41" s="21"/>
      <x:c r="J41" s="21"/>
      <x:c r="K41" s="23"/>
      <x:c r="L41" s="35"/>
      <x:c r="M41" s="35"/>
      <x:c r="N41" s="35"/>
      <x:c r="O41" s="35"/>
      <x:c r="P41" s="21"/>
      <x:c r="Q41" s="21"/>
      <x:c r="R41" s="29" t="str">
        <x:f>IF(OR(B41="",C41=""),"",B41&amp;"|"&amp;C41&amp;"|"&amp;IF(D41="","00",D41)&amp;"|"&amp;IF(E41="","01",E41))</x:f>
      </x:c>
      <x:c r="S41" s="37" t="str">
        <x:f>IF(R41="","",IFERROR(SUMPRODUCT(('04_KE_HOACH_CD'!$F$6:$F$305=R41)*'04_KE_HOACH_CD'!$M$6:$M$305*'04_KE_HOACH_CD'!$S$6:$S$305)/SUMIF('04_KE_HOACH_CD'!$F$6:$F$305,R41,'04_KE_HOACH_CD'!$M$6:$M$305),0))</x:f>
      </x:c>
      <x:c r="T41" s="29" t="str">
        <x:f>IF(R41="","",IF(S41&gt;=1,"Hoàn thành",IF(COUNTIF('04_KE_HOACH_CD'!$F$6:$F$305,R41)=0,"Chưa có routing",IF(SUMIF('04_KE_HOACH_CD'!$F$6:$F$305,R41,'04_KE_HOACH_CD'!$R$6:$R$305)&gt;0,"Đang sản xuất","Chưa bắt đầu"))))</x:f>
      </x:c>
      <x:c r="U41" s="29" t="str">
        <x:f>IF(R41="","",IF(S41&gt;=1,"Bình thường",IF(N41&lt;TODAY(),"Quá hạn",IF(AND(N41-TODAY()&lt;=2,S41&lt;0.8),"Rủi ro cao",IF(AND(N41-TODAY()&lt;=5,S41&lt;0.5),"Cần theo dõi","Bình thường")))))</x:f>
      </x:c>
      <x:c r="V41" s="21"/>
    </x:row>
    <x:row r="42">
      <x:c r="A42" s="29" t="str">
        <x:f>IF(B42="","",COUNTA($B$6:B42))</x:f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3"/>
      <x:c r="L42" s="35"/>
      <x:c r="M42" s="35"/>
      <x:c r="N42" s="35"/>
      <x:c r="O42" s="35"/>
      <x:c r="P42" s="21"/>
      <x:c r="Q42" s="21"/>
      <x:c r="R42" s="29" t="str">
        <x:f>IF(OR(B42="",C42=""),"",B42&amp;"|"&amp;C42&amp;"|"&amp;IF(D42="","00",D42)&amp;"|"&amp;IF(E42="","01",E42))</x:f>
      </x:c>
      <x:c r="S42" s="37" t="str">
        <x:f>IF(R42="","",IFERROR(SUMPRODUCT(('04_KE_HOACH_CD'!$F$6:$F$305=R42)*'04_KE_HOACH_CD'!$M$6:$M$305*'04_KE_HOACH_CD'!$S$6:$S$305)/SUMIF('04_KE_HOACH_CD'!$F$6:$F$305,R42,'04_KE_HOACH_CD'!$M$6:$M$305),0))</x:f>
      </x:c>
      <x:c r="T42" s="29" t="str">
        <x:f>IF(R42="","",IF(S42&gt;=1,"Hoàn thành",IF(COUNTIF('04_KE_HOACH_CD'!$F$6:$F$305,R42)=0,"Chưa có routing",IF(SUMIF('04_KE_HOACH_CD'!$F$6:$F$305,R42,'04_KE_HOACH_CD'!$R$6:$R$305)&gt;0,"Đang sản xuất","Chưa bắt đầu"))))</x:f>
      </x:c>
      <x:c r="U42" s="29" t="str">
        <x:f>IF(R42="","",IF(S42&gt;=1,"Bình thường",IF(N42&lt;TODAY(),"Quá hạn",IF(AND(N42-TODAY()&lt;=2,S42&lt;0.8),"Rủi ro cao",IF(AND(N42-TODAY()&lt;=5,S42&lt;0.5),"Cần theo dõi","Bình thường")))))</x:f>
      </x:c>
      <x:c r="V42" s="21"/>
    </x:row>
    <x:row r="43">
      <x:c r="A43" s="29" t="str">
        <x:f>IF(B43="","",COUNTA($B$6:B43))</x:f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3"/>
      <x:c r="L43" s="35"/>
      <x:c r="M43" s="35"/>
      <x:c r="N43" s="35"/>
      <x:c r="O43" s="35"/>
      <x:c r="P43" s="21"/>
      <x:c r="Q43" s="21"/>
      <x:c r="R43" s="29" t="str">
        <x:f>IF(OR(B43="",C43=""),"",B43&amp;"|"&amp;C43&amp;"|"&amp;IF(D43="","00",D43)&amp;"|"&amp;IF(E43="","01",E43))</x:f>
      </x:c>
      <x:c r="S43" s="37" t="str">
        <x:f>IF(R43="","",IFERROR(SUMPRODUCT(('04_KE_HOACH_CD'!$F$6:$F$305=R43)*'04_KE_HOACH_CD'!$M$6:$M$305*'04_KE_HOACH_CD'!$S$6:$S$305)/SUMIF('04_KE_HOACH_CD'!$F$6:$F$305,R43,'04_KE_HOACH_CD'!$M$6:$M$305),0))</x:f>
      </x:c>
      <x:c r="T43" s="29" t="str">
        <x:f>IF(R43="","",IF(S43&gt;=1,"Hoàn thành",IF(COUNTIF('04_KE_HOACH_CD'!$F$6:$F$305,R43)=0,"Chưa có routing",IF(SUMIF('04_KE_HOACH_CD'!$F$6:$F$305,R43,'04_KE_HOACH_CD'!$R$6:$R$305)&gt;0,"Đang sản xuất","Chưa bắt đầu"))))</x:f>
      </x:c>
      <x:c r="U43" s="29" t="str">
        <x:f>IF(R43="","",IF(S43&gt;=1,"Bình thường",IF(N43&lt;TODAY(),"Quá hạn",IF(AND(N43-TODAY()&lt;=2,S43&lt;0.8),"Rủi ro cao",IF(AND(N43-TODAY()&lt;=5,S43&lt;0.5),"Cần theo dõi","Bình thường")))))</x:f>
      </x:c>
      <x:c r="V43" s="21"/>
    </x:row>
    <x:row r="44">
      <x:c r="A44" s="29" t="str">
        <x:f>IF(B44="","",COUNTA($B$6:B44))</x:f>
      </x:c>
      <x:c r="B44" s="21"/>
      <x:c r="C44" s="21"/>
      <x:c r="D44" s="21"/>
      <x:c r="E44" s="21"/>
      <x:c r="F44" s="21"/>
      <x:c r="G44" s="21"/>
      <x:c r="H44" s="21"/>
      <x:c r="I44" s="21"/>
      <x:c r="J44" s="21"/>
      <x:c r="K44" s="23"/>
      <x:c r="L44" s="35"/>
      <x:c r="M44" s="35"/>
      <x:c r="N44" s="35"/>
      <x:c r="O44" s="35"/>
      <x:c r="P44" s="21"/>
      <x:c r="Q44" s="21"/>
      <x:c r="R44" s="29" t="str">
        <x:f>IF(OR(B44="",C44=""),"",B44&amp;"|"&amp;C44&amp;"|"&amp;IF(D44="","00",D44)&amp;"|"&amp;IF(E44="","01",E44))</x:f>
      </x:c>
      <x:c r="S44" s="37" t="str">
        <x:f>IF(R44="","",IFERROR(SUMPRODUCT(('04_KE_HOACH_CD'!$F$6:$F$305=R44)*'04_KE_HOACH_CD'!$M$6:$M$305*'04_KE_HOACH_CD'!$S$6:$S$305)/SUMIF('04_KE_HOACH_CD'!$F$6:$F$305,R44,'04_KE_HOACH_CD'!$M$6:$M$305),0))</x:f>
      </x:c>
      <x:c r="T44" s="29" t="str">
        <x:f>IF(R44="","",IF(S44&gt;=1,"Hoàn thành",IF(COUNTIF('04_KE_HOACH_CD'!$F$6:$F$305,R44)=0,"Chưa có routing",IF(SUMIF('04_KE_HOACH_CD'!$F$6:$F$305,R44,'04_KE_HOACH_CD'!$R$6:$R$305)&gt;0,"Đang sản xuất","Chưa bắt đầu"))))</x:f>
      </x:c>
      <x:c r="U44" s="29" t="str">
        <x:f>IF(R44="","",IF(S44&gt;=1,"Bình thường",IF(N44&lt;TODAY(),"Quá hạn",IF(AND(N44-TODAY()&lt;=2,S44&lt;0.8),"Rủi ro cao",IF(AND(N44-TODAY()&lt;=5,S44&lt;0.5),"Cần theo dõi","Bình thường")))))</x:f>
      </x:c>
      <x:c r="V44" s="21"/>
    </x:row>
    <x:row r="45">
      <x:c r="A45" s="29" t="str">
        <x:f>IF(B45="","",COUNTA($B$6:B45))</x:f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3"/>
      <x:c r="L45" s="35"/>
      <x:c r="M45" s="35"/>
      <x:c r="N45" s="35"/>
      <x:c r="O45" s="35"/>
      <x:c r="P45" s="21"/>
      <x:c r="Q45" s="21"/>
      <x:c r="R45" s="29" t="str">
        <x:f>IF(OR(B45="",C45=""),"",B45&amp;"|"&amp;C45&amp;"|"&amp;IF(D45="","00",D45)&amp;"|"&amp;IF(E45="","01",E45))</x:f>
      </x:c>
      <x:c r="S45" s="37" t="str">
        <x:f>IF(R45="","",IFERROR(SUMPRODUCT(('04_KE_HOACH_CD'!$F$6:$F$305=R45)*'04_KE_HOACH_CD'!$M$6:$M$305*'04_KE_HOACH_CD'!$S$6:$S$305)/SUMIF('04_KE_HOACH_CD'!$F$6:$F$305,R45,'04_KE_HOACH_CD'!$M$6:$M$305),0))</x:f>
      </x:c>
      <x:c r="T45" s="29" t="str">
        <x:f>IF(R45="","",IF(S45&gt;=1,"Hoàn thành",IF(COUNTIF('04_KE_HOACH_CD'!$F$6:$F$305,R45)=0,"Chưa có routing",IF(SUMIF('04_KE_HOACH_CD'!$F$6:$F$305,R45,'04_KE_HOACH_CD'!$R$6:$R$305)&gt;0,"Đang sản xuất","Chưa bắt đầu"))))</x:f>
      </x:c>
      <x:c r="U45" s="29" t="str">
        <x:f>IF(R45="","",IF(S45&gt;=1,"Bình thường",IF(N45&lt;TODAY(),"Quá hạn",IF(AND(N45-TODAY()&lt;=2,S45&lt;0.8),"Rủi ro cao",IF(AND(N45-TODAY()&lt;=5,S45&lt;0.5),"Cần theo dõi","Bình thường")))))</x:f>
      </x:c>
      <x:c r="V45" s="21"/>
    </x:row>
    <x:row r="46">
      <x:c r="A46" s="29" t="str">
        <x:f>IF(B46="","",COUNTA($B$6:B46))</x:f>
      </x:c>
      <x:c r="B46" s="21"/>
      <x:c r="C46" s="21"/>
      <x:c r="D46" s="21"/>
      <x:c r="E46" s="21"/>
      <x:c r="F46" s="21"/>
      <x:c r="G46" s="21"/>
      <x:c r="H46" s="21"/>
      <x:c r="I46" s="21"/>
      <x:c r="J46" s="21"/>
      <x:c r="K46" s="23"/>
      <x:c r="L46" s="35"/>
      <x:c r="M46" s="35"/>
      <x:c r="N46" s="35"/>
      <x:c r="O46" s="35"/>
      <x:c r="P46" s="21"/>
      <x:c r="Q46" s="21"/>
      <x:c r="R46" s="29" t="str">
        <x:f>IF(OR(B46="",C46=""),"",B46&amp;"|"&amp;C46&amp;"|"&amp;IF(D46="","00",D46)&amp;"|"&amp;IF(E46="","01",E46))</x:f>
      </x:c>
      <x:c r="S46" s="37" t="str">
        <x:f>IF(R46="","",IFERROR(SUMPRODUCT(('04_KE_HOACH_CD'!$F$6:$F$305=R46)*'04_KE_HOACH_CD'!$M$6:$M$305*'04_KE_HOACH_CD'!$S$6:$S$305)/SUMIF('04_KE_HOACH_CD'!$F$6:$F$305,R46,'04_KE_HOACH_CD'!$M$6:$M$305),0))</x:f>
      </x:c>
      <x:c r="T46" s="29" t="str">
        <x:f>IF(R46="","",IF(S46&gt;=1,"Hoàn thành",IF(COUNTIF('04_KE_HOACH_CD'!$F$6:$F$305,R46)=0,"Chưa có routing",IF(SUMIF('04_KE_HOACH_CD'!$F$6:$F$305,R46,'04_KE_HOACH_CD'!$R$6:$R$305)&gt;0,"Đang sản xuất","Chưa bắt đầu"))))</x:f>
      </x:c>
      <x:c r="U46" s="29" t="str">
        <x:f>IF(R46="","",IF(S46&gt;=1,"Bình thường",IF(N46&lt;TODAY(),"Quá hạn",IF(AND(N46-TODAY()&lt;=2,S46&lt;0.8),"Rủi ro cao",IF(AND(N46-TODAY()&lt;=5,S46&lt;0.5),"Cần theo dõi","Bình thường")))))</x:f>
      </x:c>
      <x:c r="V46" s="21"/>
    </x:row>
    <x:row r="47">
      <x:c r="A47" s="29" t="str">
        <x:f>IF(B47="","",COUNTA($B$6:B47))</x:f>
      </x:c>
      <x:c r="B47" s="21"/>
      <x:c r="C47" s="21"/>
      <x:c r="D47" s="21"/>
      <x:c r="E47" s="21"/>
      <x:c r="F47" s="21"/>
      <x:c r="G47" s="21"/>
      <x:c r="H47" s="21"/>
      <x:c r="I47" s="21"/>
      <x:c r="J47" s="21"/>
      <x:c r="K47" s="23"/>
      <x:c r="L47" s="35"/>
      <x:c r="M47" s="35"/>
      <x:c r="N47" s="35"/>
      <x:c r="O47" s="35"/>
      <x:c r="P47" s="21"/>
      <x:c r="Q47" s="21"/>
      <x:c r="R47" s="29" t="str">
        <x:f>IF(OR(B47="",C47=""),"",B47&amp;"|"&amp;C47&amp;"|"&amp;IF(D47="","00",D47)&amp;"|"&amp;IF(E47="","01",E47))</x:f>
      </x:c>
      <x:c r="S47" s="37" t="str">
        <x:f>IF(R47="","",IFERROR(SUMPRODUCT(('04_KE_HOACH_CD'!$F$6:$F$305=R47)*'04_KE_HOACH_CD'!$M$6:$M$305*'04_KE_HOACH_CD'!$S$6:$S$305)/SUMIF('04_KE_HOACH_CD'!$F$6:$F$305,R47,'04_KE_HOACH_CD'!$M$6:$M$305),0))</x:f>
      </x:c>
      <x:c r="T47" s="29" t="str">
        <x:f>IF(R47="","",IF(S47&gt;=1,"Hoàn thành",IF(COUNTIF('04_KE_HOACH_CD'!$F$6:$F$305,R47)=0,"Chưa có routing",IF(SUMIF('04_KE_HOACH_CD'!$F$6:$F$305,R47,'04_KE_HOACH_CD'!$R$6:$R$305)&gt;0,"Đang sản xuất","Chưa bắt đầu"))))</x:f>
      </x:c>
      <x:c r="U47" s="29" t="str">
        <x:f>IF(R47="","",IF(S47&gt;=1,"Bình thường",IF(N47&lt;TODAY(),"Quá hạn",IF(AND(N47-TODAY()&lt;=2,S47&lt;0.8),"Rủi ro cao",IF(AND(N47-TODAY()&lt;=5,S47&lt;0.5),"Cần theo dõi","Bình thường")))))</x:f>
      </x:c>
      <x:c r="V47" s="21"/>
    </x:row>
    <x:row r="48">
      <x:c r="A48" s="29" t="str">
        <x:f>IF(B48="","",COUNTA($B$6:B48))</x:f>
      </x:c>
      <x:c r="B48" s="21"/>
      <x:c r="C48" s="21"/>
      <x:c r="D48" s="21"/>
      <x:c r="E48" s="21"/>
      <x:c r="F48" s="21"/>
      <x:c r="G48" s="21"/>
      <x:c r="H48" s="21"/>
      <x:c r="I48" s="21"/>
      <x:c r="J48" s="21"/>
      <x:c r="K48" s="23"/>
      <x:c r="L48" s="35"/>
      <x:c r="M48" s="35"/>
      <x:c r="N48" s="35"/>
      <x:c r="O48" s="35"/>
      <x:c r="P48" s="21"/>
      <x:c r="Q48" s="21"/>
      <x:c r="R48" s="29" t="str">
        <x:f>IF(OR(B48="",C48=""),"",B48&amp;"|"&amp;C48&amp;"|"&amp;IF(D48="","00",D48)&amp;"|"&amp;IF(E48="","01",E48))</x:f>
      </x:c>
      <x:c r="S48" s="37" t="str">
        <x:f>IF(R48="","",IFERROR(SUMPRODUCT(('04_KE_HOACH_CD'!$F$6:$F$305=R48)*'04_KE_HOACH_CD'!$M$6:$M$305*'04_KE_HOACH_CD'!$S$6:$S$305)/SUMIF('04_KE_HOACH_CD'!$F$6:$F$305,R48,'04_KE_HOACH_CD'!$M$6:$M$305),0))</x:f>
      </x:c>
      <x:c r="T48" s="29" t="str">
        <x:f>IF(R48="","",IF(S48&gt;=1,"Hoàn thành",IF(COUNTIF('04_KE_HOACH_CD'!$F$6:$F$305,R48)=0,"Chưa có routing",IF(SUMIF('04_KE_HOACH_CD'!$F$6:$F$305,R48,'04_KE_HOACH_CD'!$R$6:$R$305)&gt;0,"Đang sản xuất","Chưa bắt đầu"))))</x:f>
      </x:c>
      <x:c r="U48" s="29" t="str">
        <x:f>IF(R48="","",IF(S48&gt;=1,"Bình thường",IF(N48&lt;TODAY(),"Quá hạn",IF(AND(N48-TODAY()&lt;=2,S48&lt;0.8),"Rủi ro cao",IF(AND(N48-TODAY()&lt;=5,S48&lt;0.5),"Cần theo dõi","Bình thường")))))</x:f>
      </x:c>
      <x:c r="V48" s="21"/>
    </x:row>
    <x:row r="49">
      <x:c r="A49" s="29" t="str">
        <x:f>IF(B49="","",COUNTA($B$6:B49))</x:f>
      </x:c>
      <x:c r="B49" s="21"/>
      <x:c r="C49" s="21"/>
      <x:c r="D49" s="21"/>
      <x:c r="E49" s="21"/>
      <x:c r="F49" s="21"/>
      <x:c r="G49" s="21"/>
      <x:c r="H49" s="21"/>
      <x:c r="I49" s="21"/>
      <x:c r="J49" s="21"/>
      <x:c r="K49" s="23"/>
      <x:c r="L49" s="35"/>
      <x:c r="M49" s="35"/>
      <x:c r="N49" s="35"/>
      <x:c r="O49" s="35"/>
      <x:c r="P49" s="21"/>
      <x:c r="Q49" s="21"/>
      <x:c r="R49" s="29" t="str">
        <x:f>IF(OR(B49="",C49=""),"",B49&amp;"|"&amp;C49&amp;"|"&amp;IF(D49="","00",D49)&amp;"|"&amp;IF(E49="","01",E49))</x:f>
      </x:c>
      <x:c r="S49" s="37" t="str">
        <x:f>IF(R49="","",IFERROR(SUMPRODUCT(('04_KE_HOACH_CD'!$F$6:$F$305=R49)*'04_KE_HOACH_CD'!$M$6:$M$305*'04_KE_HOACH_CD'!$S$6:$S$305)/SUMIF('04_KE_HOACH_CD'!$F$6:$F$305,R49,'04_KE_HOACH_CD'!$M$6:$M$305),0))</x:f>
      </x:c>
      <x:c r="T49" s="29" t="str">
        <x:f>IF(R49="","",IF(S49&gt;=1,"Hoàn thành",IF(COUNTIF('04_KE_HOACH_CD'!$F$6:$F$305,R49)=0,"Chưa có routing",IF(SUMIF('04_KE_HOACH_CD'!$F$6:$F$305,R49,'04_KE_HOACH_CD'!$R$6:$R$305)&gt;0,"Đang sản xuất","Chưa bắt đầu"))))</x:f>
      </x:c>
      <x:c r="U49" s="29" t="str">
        <x:f>IF(R49="","",IF(S49&gt;=1,"Bình thường",IF(N49&lt;TODAY(),"Quá hạn",IF(AND(N49-TODAY()&lt;=2,S49&lt;0.8),"Rủi ro cao",IF(AND(N49-TODAY()&lt;=5,S49&lt;0.5),"Cần theo dõi","Bình thường")))))</x:f>
      </x:c>
      <x:c r="V49" s="21"/>
    </x:row>
    <x:row r="50">
      <x:c r="A50" s="29" t="str">
        <x:f>IF(B50="","",COUNTA($B$6:B50))</x:f>
      </x:c>
      <x:c r="B50" s="21"/>
      <x:c r="C50" s="21"/>
      <x:c r="D50" s="21"/>
      <x:c r="E50" s="21"/>
      <x:c r="F50" s="21"/>
      <x:c r="G50" s="21"/>
      <x:c r="H50" s="21"/>
      <x:c r="I50" s="21"/>
      <x:c r="J50" s="21"/>
      <x:c r="K50" s="23"/>
      <x:c r="L50" s="35"/>
      <x:c r="M50" s="35"/>
      <x:c r="N50" s="35"/>
      <x:c r="O50" s="35"/>
      <x:c r="P50" s="21"/>
      <x:c r="Q50" s="21"/>
      <x:c r="R50" s="29" t="str">
        <x:f>IF(OR(B50="",C50=""),"",B50&amp;"|"&amp;C50&amp;"|"&amp;IF(D50="","00",D50)&amp;"|"&amp;IF(E50="","01",E50))</x:f>
      </x:c>
      <x:c r="S50" s="37" t="str">
        <x:f>IF(R50="","",IFERROR(SUMPRODUCT(('04_KE_HOACH_CD'!$F$6:$F$305=R50)*'04_KE_HOACH_CD'!$M$6:$M$305*'04_KE_HOACH_CD'!$S$6:$S$305)/SUMIF('04_KE_HOACH_CD'!$F$6:$F$305,R50,'04_KE_HOACH_CD'!$M$6:$M$305),0))</x:f>
      </x:c>
      <x:c r="T50" s="29" t="str">
        <x:f>IF(R50="","",IF(S50&gt;=1,"Hoàn thành",IF(COUNTIF('04_KE_HOACH_CD'!$F$6:$F$305,R50)=0,"Chưa có routing",IF(SUMIF('04_KE_HOACH_CD'!$F$6:$F$305,R50,'04_KE_HOACH_CD'!$R$6:$R$305)&gt;0,"Đang sản xuất","Chưa bắt đầu"))))</x:f>
      </x:c>
      <x:c r="U50" s="29" t="str">
        <x:f>IF(R50="","",IF(S50&gt;=1,"Bình thường",IF(N50&lt;TODAY(),"Quá hạn",IF(AND(N50-TODAY()&lt;=2,S50&lt;0.8),"Rủi ro cao",IF(AND(N50-TODAY()&lt;=5,S50&lt;0.5),"Cần theo dõi","Bình thường")))))</x:f>
      </x:c>
      <x:c r="V50" s="21"/>
    </x:row>
    <x:row r="51">
      <x:c r="A51" s="29" t="str">
        <x:f>IF(B51="","",COUNTA($B$6:B51))</x:f>
      </x:c>
      <x:c r="B51" s="21"/>
      <x:c r="C51" s="21"/>
      <x:c r="D51" s="21"/>
      <x:c r="E51" s="21"/>
      <x:c r="F51" s="21"/>
      <x:c r="G51" s="21"/>
      <x:c r="H51" s="21"/>
      <x:c r="I51" s="21"/>
      <x:c r="J51" s="21"/>
      <x:c r="K51" s="23"/>
      <x:c r="L51" s="35"/>
      <x:c r="M51" s="35"/>
      <x:c r="N51" s="35"/>
      <x:c r="O51" s="35"/>
      <x:c r="P51" s="21"/>
      <x:c r="Q51" s="21"/>
      <x:c r="R51" s="29" t="str">
        <x:f>IF(OR(B51="",C51=""),"",B51&amp;"|"&amp;C51&amp;"|"&amp;IF(D51="","00",D51)&amp;"|"&amp;IF(E51="","01",E51))</x:f>
      </x:c>
      <x:c r="S51" s="37" t="str">
        <x:f>IF(R51="","",IFERROR(SUMPRODUCT(('04_KE_HOACH_CD'!$F$6:$F$305=R51)*'04_KE_HOACH_CD'!$M$6:$M$305*'04_KE_HOACH_CD'!$S$6:$S$305)/SUMIF('04_KE_HOACH_CD'!$F$6:$F$305,R51,'04_KE_HOACH_CD'!$M$6:$M$305),0))</x:f>
      </x:c>
      <x:c r="T51" s="29" t="str">
        <x:f>IF(R51="","",IF(S51&gt;=1,"Hoàn thành",IF(COUNTIF('04_KE_HOACH_CD'!$F$6:$F$305,R51)=0,"Chưa có routing",IF(SUMIF('04_KE_HOACH_CD'!$F$6:$F$305,R51,'04_KE_HOACH_CD'!$R$6:$R$305)&gt;0,"Đang sản xuất","Chưa bắt đầu"))))</x:f>
      </x:c>
      <x:c r="U51" s="29" t="str">
        <x:f>IF(R51="","",IF(S51&gt;=1,"Bình thường",IF(N51&lt;TODAY(),"Quá hạn",IF(AND(N51-TODAY()&lt;=2,S51&lt;0.8),"Rủi ro cao",IF(AND(N51-TODAY()&lt;=5,S51&lt;0.5),"Cần theo dõi","Bình thường")))))</x:f>
      </x:c>
      <x:c r="V51" s="21"/>
    </x:row>
    <x:row r="52">
      <x:c r="A52" s="29" t="str">
        <x:f>IF(B52="","",COUNTA($B$6:B52))</x:f>
      </x:c>
      <x:c r="B52" s="21"/>
      <x:c r="C52" s="21"/>
      <x:c r="D52" s="21"/>
      <x:c r="E52" s="21"/>
      <x:c r="F52" s="21"/>
      <x:c r="G52" s="21"/>
      <x:c r="H52" s="21"/>
      <x:c r="I52" s="21"/>
      <x:c r="J52" s="21"/>
      <x:c r="K52" s="23"/>
      <x:c r="L52" s="35"/>
      <x:c r="M52" s="35"/>
      <x:c r="N52" s="35"/>
      <x:c r="O52" s="35"/>
      <x:c r="P52" s="21"/>
      <x:c r="Q52" s="21"/>
      <x:c r="R52" s="29" t="str">
        <x:f>IF(OR(B52="",C52=""),"",B52&amp;"|"&amp;C52&amp;"|"&amp;IF(D52="","00",D52)&amp;"|"&amp;IF(E52="","01",E52))</x:f>
      </x:c>
      <x:c r="S52" s="37" t="str">
        <x:f>IF(R52="","",IFERROR(SUMPRODUCT(('04_KE_HOACH_CD'!$F$6:$F$305=R52)*'04_KE_HOACH_CD'!$M$6:$M$305*'04_KE_HOACH_CD'!$S$6:$S$305)/SUMIF('04_KE_HOACH_CD'!$F$6:$F$305,R52,'04_KE_HOACH_CD'!$M$6:$M$305),0))</x:f>
      </x:c>
      <x:c r="T52" s="29" t="str">
        <x:f>IF(R52="","",IF(S52&gt;=1,"Hoàn thành",IF(COUNTIF('04_KE_HOACH_CD'!$F$6:$F$305,R52)=0,"Chưa có routing",IF(SUMIF('04_KE_HOACH_CD'!$F$6:$F$305,R52,'04_KE_HOACH_CD'!$R$6:$R$305)&gt;0,"Đang sản xuất","Chưa bắt đầu"))))</x:f>
      </x:c>
      <x:c r="U52" s="29" t="str">
        <x:f>IF(R52="","",IF(S52&gt;=1,"Bình thường",IF(N52&lt;TODAY(),"Quá hạn",IF(AND(N52-TODAY()&lt;=2,S52&lt;0.8),"Rủi ro cao",IF(AND(N52-TODAY()&lt;=5,S52&lt;0.5),"Cần theo dõi","Bình thường")))))</x:f>
      </x:c>
      <x:c r="V52" s="21"/>
    </x:row>
    <x:row r="53">
      <x:c r="A53" s="29" t="str">
        <x:f>IF(B53="","",COUNTA($B$6:B53))</x:f>
      </x:c>
      <x:c r="B53" s="21"/>
      <x:c r="C53" s="21"/>
      <x:c r="D53" s="21"/>
      <x:c r="E53" s="21"/>
      <x:c r="F53" s="21"/>
      <x:c r="G53" s="21"/>
      <x:c r="H53" s="21"/>
      <x:c r="I53" s="21"/>
      <x:c r="J53" s="21"/>
      <x:c r="K53" s="23"/>
      <x:c r="L53" s="35"/>
      <x:c r="M53" s="35"/>
      <x:c r="N53" s="35"/>
      <x:c r="O53" s="35"/>
      <x:c r="P53" s="21"/>
      <x:c r="Q53" s="21"/>
      <x:c r="R53" s="29" t="str">
        <x:f>IF(OR(B53="",C53=""),"",B53&amp;"|"&amp;C53&amp;"|"&amp;IF(D53="","00",D53)&amp;"|"&amp;IF(E53="","01",E53))</x:f>
      </x:c>
      <x:c r="S53" s="37" t="str">
        <x:f>IF(R53="","",IFERROR(SUMPRODUCT(('04_KE_HOACH_CD'!$F$6:$F$305=R53)*'04_KE_HOACH_CD'!$M$6:$M$305*'04_KE_HOACH_CD'!$S$6:$S$305)/SUMIF('04_KE_HOACH_CD'!$F$6:$F$305,R53,'04_KE_HOACH_CD'!$M$6:$M$305),0))</x:f>
      </x:c>
      <x:c r="T53" s="29" t="str">
        <x:f>IF(R53="","",IF(S53&gt;=1,"Hoàn thành",IF(COUNTIF('04_KE_HOACH_CD'!$F$6:$F$305,R53)=0,"Chưa có routing",IF(SUMIF('04_KE_HOACH_CD'!$F$6:$F$305,R53,'04_KE_HOACH_CD'!$R$6:$R$305)&gt;0,"Đang sản xuất","Chưa bắt đầu"))))</x:f>
      </x:c>
      <x:c r="U53" s="29" t="str">
        <x:f>IF(R53="","",IF(S53&gt;=1,"Bình thường",IF(N53&lt;TODAY(),"Quá hạn",IF(AND(N53-TODAY()&lt;=2,S53&lt;0.8),"Rủi ro cao",IF(AND(N53-TODAY()&lt;=5,S53&lt;0.5),"Cần theo dõi","Bình thường")))))</x:f>
      </x:c>
      <x:c r="V53" s="21"/>
    </x:row>
    <x:row r="54">
      <x:c r="A54" s="29" t="str">
        <x:f>IF(B54="","",COUNTA($B$6:B54))</x:f>
      </x:c>
      <x:c r="B54" s="21"/>
      <x:c r="C54" s="21"/>
      <x:c r="D54" s="21"/>
      <x:c r="E54" s="21"/>
      <x:c r="F54" s="21"/>
      <x:c r="G54" s="21"/>
      <x:c r="H54" s="21"/>
      <x:c r="I54" s="21"/>
      <x:c r="J54" s="21"/>
      <x:c r="K54" s="23"/>
      <x:c r="L54" s="35"/>
      <x:c r="M54" s="35"/>
      <x:c r="N54" s="35"/>
      <x:c r="O54" s="35"/>
      <x:c r="P54" s="21"/>
      <x:c r="Q54" s="21"/>
      <x:c r="R54" s="29" t="str">
        <x:f>IF(OR(B54="",C54=""),"",B54&amp;"|"&amp;C54&amp;"|"&amp;IF(D54="","00",D54)&amp;"|"&amp;IF(E54="","01",E54))</x:f>
      </x:c>
      <x:c r="S54" s="37" t="str">
        <x:f>IF(R54="","",IFERROR(SUMPRODUCT(('04_KE_HOACH_CD'!$F$6:$F$305=R54)*'04_KE_HOACH_CD'!$M$6:$M$305*'04_KE_HOACH_CD'!$S$6:$S$305)/SUMIF('04_KE_HOACH_CD'!$F$6:$F$305,R54,'04_KE_HOACH_CD'!$M$6:$M$305),0))</x:f>
      </x:c>
      <x:c r="T54" s="29" t="str">
        <x:f>IF(R54="","",IF(S54&gt;=1,"Hoàn thành",IF(COUNTIF('04_KE_HOACH_CD'!$F$6:$F$305,R54)=0,"Chưa có routing",IF(SUMIF('04_KE_HOACH_CD'!$F$6:$F$305,R54,'04_KE_HOACH_CD'!$R$6:$R$305)&gt;0,"Đang sản xuất","Chưa bắt đầu"))))</x:f>
      </x:c>
      <x:c r="U54" s="29" t="str">
        <x:f>IF(R54="","",IF(S54&gt;=1,"Bình thường",IF(N54&lt;TODAY(),"Quá hạn",IF(AND(N54-TODAY()&lt;=2,S54&lt;0.8),"Rủi ro cao",IF(AND(N54-TODAY()&lt;=5,S54&lt;0.5),"Cần theo dõi","Bình thường")))))</x:f>
      </x:c>
      <x:c r="V54" s="21"/>
    </x:row>
    <x:row r="55">
      <x:c r="A55" s="29" t="str">
        <x:f>IF(B55="","",COUNTA($B$6:B55))</x:f>
      </x:c>
      <x:c r="B55" s="21"/>
      <x:c r="C55" s="21"/>
      <x:c r="D55" s="21"/>
      <x:c r="E55" s="21"/>
      <x:c r="F55" s="21"/>
      <x:c r="G55" s="21"/>
      <x:c r="H55" s="21"/>
      <x:c r="I55" s="21"/>
      <x:c r="J55" s="21"/>
      <x:c r="K55" s="23"/>
      <x:c r="L55" s="35"/>
      <x:c r="M55" s="35"/>
      <x:c r="N55" s="35"/>
      <x:c r="O55" s="35"/>
      <x:c r="P55" s="21"/>
      <x:c r="Q55" s="21"/>
      <x:c r="R55" s="29" t="str">
        <x:f>IF(OR(B55="",C55=""),"",B55&amp;"|"&amp;C55&amp;"|"&amp;IF(D55="","00",D55)&amp;"|"&amp;IF(E55="","01",E55))</x:f>
      </x:c>
      <x:c r="S55" s="37" t="str">
        <x:f>IF(R55="","",IFERROR(SUMPRODUCT(('04_KE_HOACH_CD'!$F$6:$F$305=R55)*'04_KE_HOACH_CD'!$M$6:$M$305*'04_KE_HOACH_CD'!$S$6:$S$305)/SUMIF('04_KE_HOACH_CD'!$F$6:$F$305,R55,'04_KE_HOACH_CD'!$M$6:$M$305),0))</x:f>
      </x:c>
      <x:c r="T55" s="29" t="str">
        <x:f>IF(R55="","",IF(S55&gt;=1,"Hoàn thành",IF(COUNTIF('04_KE_HOACH_CD'!$F$6:$F$305,R55)=0,"Chưa có routing",IF(SUMIF('04_KE_HOACH_CD'!$F$6:$F$305,R55,'04_KE_HOACH_CD'!$R$6:$R$305)&gt;0,"Đang sản xuất","Chưa bắt đầu"))))</x:f>
      </x:c>
      <x:c r="U55" s="29" t="str">
        <x:f>IF(R55="","",IF(S55&gt;=1,"Bình thường",IF(N55&lt;TODAY(),"Quá hạn",IF(AND(N55-TODAY()&lt;=2,S55&lt;0.8),"Rủi ro cao",IF(AND(N55-TODAY()&lt;=5,S55&lt;0.5),"Cần theo dõi","Bình thường")))))</x:f>
      </x:c>
      <x:c r="V55" s="21"/>
    </x:row>
    <x:row r="56">
      <x:c r="A56" s="29" t="str">
        <x:f>IF(B56="","",COUNTA($B$6:B56))</x:f>
      </x:c>
      <x:c r="B56" s="21"/>
      <x:c r="C56" s="21"/>
      <x:c r="D56" s="21"/>
      <x:c r="E56" s="21"/>
      <x:c r="F56" s="21"/>
      <x:c r="G56" s="21"/>
      <x:c r="H56" s="21"/>
      <x:c r="I56" s="21"/>
      <x:c r="J56" s="21"/>
      <x:c r="K56" s="23"/>
      <x:c r="L56" s="35"/>
      <x:c r="M56" s="35"/>
      <x:c r="N56" s="35"/>
      <x:c r="O56" s="35"/>
      <x:c r="P56" s="21"/>
      <x:c r="Q56" s="21"/>
      <x:c r="R56" s="29" t="str">
        <x:f>IF(OR(B56="",C56=""),"",B56&amp;"|"&amp;C56&amp;"|"&amp;IF(D56="","00",D56)&amp;"|"&amp;IF(E56="","01",E56))</x:f>
      </x:c>
      <x:c r="S56" s="37" t="str">
        <x:f>IF(R56="","",IFERROR(SUMPRODUCT(('04_KE_HOACH_CD'!$F$6:$F$305=R56)*'04_KE_HOACH_CD'!$M$6:$M$305*'04_KE_HOACH_CD'!$S$6:$S$305)/SUMIF('04_KE_HOACH_CD'!$F$6:$F$305,R56,'04_KE_HOACH_CD'!$M$6:$M$305),0))</x:f>
      </x:c>
      <x:c r="T56" s="29" t="str">
        <x:f>IF(R56="","",IF(S56&gt;=1,"Hoàn thành",IF(COUNTIF('04_KE_HOACH_CD'!$F$6:$F$305,R56)=0,"Chưa có routing",IF(SUMIF('04_KE_HOACH_CD'!$F$6:$F$305,R56,'04_KE_HOACH_CD'!$R$6:$R$305)&gt;0,"Đang sản xuất","Chưa bắt đầu"))))</x:f>
      </x:c>
      <x:c r="U56" s="29" t="str">
        <x:f>IF(R56="","",IF(S56&gt;=1,"Bình thường",IF(N56&lt;TODAY(),"Quá hạn",IF(AND(N56-TODAY()&lt;=2,S56&lt;0.8),"Rủi ro cao",IF(AND(N56-TODAY()&lt;=5,S56&lt;0.5),"Cần theo dõi","Bình thường")))))</x:f>
      </x:c>
      <x:c r="V56" s="21"/>
    </x:row>
    <x:row r="57">
      <x:c r="A57" s="29" t="str">
        <x:f>IF(B57="","",COUNTA($B$6:B57))</x:f>
      </x:c>
      <x:c r="B57" s="21"/>
      <x:c r="C57" s="21"/>
      <x:c r="D57" s="21"/>
      <x:c r="E57" s="21"/>
      <x:c r="F57" s="21"/>
      <x:c r="G57" s="21"/>
      <x:c r="H57" s="21"/>
      <x:c r="I57" s="21"/>
      <x:c r="J57" s="21"/>
      <x:c r="K57" s="23"/>
      <x:c r="L57" s="35"/>
      <x:c r="M57" s="35"/>
      <x:c r="N57" s="35"/>
      <x:c r="O57" s="35"/>
      <x:c r="P57" s="21"/>
      <x:c r="Q57" s="21"/>
      <x:c r="R57" s="29" t="str">
        <x:f>IF(OR(B57="",C57=""),"",B57&amp;"|"&amp;C57&amp;"|"&amp;IF(D57="","00",D57)&amp;"|"&amp;IF(E57="","01",E57))</x:f>
      </x:c>
      <x:c r="S57" s="37" t="str">
        <x:f>IF(R57="","",IFERROR(SUMPRODUCT(('04_KE_HOACH_CD'!$F$6:$F$305=R57)*'04_KE_HOACH_CD'!$M$6:$M$305*'04_KE_HOACH_CD'!$S$6:$S$305)/SUMIF('04_KE_HOACH_CD'!$F$6:$F$305,R57,'04_KE_HOACH_CD'!$M$6:$M$305),0))</x:f>
      </x:c>
      <x:c r="T57" s="29" t="str">
        <x:f>IF(R57="","",IF(S57&gt;=1,"Hoàn thành",IF(COUNTIF('04_KE_HOACH_CD'!$F$6:$F$305,R57)=0,"Chưa có routing",IF(SUMIF('04_KE_HOACH_CD'!$F$6:$F$305,R57,'04_KE_HOACH_CD'!$R$6:$R$305)&gt;0,"Đang sản xuất","Chưa bắt đầu"))))</x:f>
      </x:c>
      <x:c r="U57" s="29" t="str">
        <x:f>IF(R57="","",IF(S57&gt;=1,"Bình thường",IF(N57&lt;TODAY(),"Quá hạn",IF(AND(N57-TODAY()&lt;=2,S57&lt;0.8),"Rủi ro cao",IF(AND(N57-TODAY()&lt;=5,S57&lt;0.5),"Cần theo dõi","Bình thường")))))</x:f>
      </x:c>
      <x:c r="V57" s="21"/>
    </x:row>
    <x:row r="58">
      <x:c r="A58" s="29" t="str">
        <x:f>IF(B58="","",COUNTA($B$6:B58))</x:f>
      </x:c>
      <x:c r="B58" s="21"/>
      <x:c r="C58" s="21"/>
      <x:c r="D58" s="21"/>
      <x:c r="E58" s="21"/>
      <x:c r="F58" s="21"/>
      <x:c r="G58" s="21"/>
      <x:c r="H58" s="21"/>
      <x:c r="I58" s="21"/>
      <x:c r="J58" s="21"/>
      <x:c r="K58" s="23"/>
      <x:c r="L58" s="35"/>
      <x:c r="M58" s="35"/>
      <x:c r="N58" s="35"/>
      <x:c r="O58" s="35"/>
      <x:c r="P58" s="21"/>
      <x:c r="Q58" s="21"/>
      <x:c r="R58" s="29" t="str">
        <x:f>IF(OR(B58="",C58=""),"",B58&amp;"|"&amp;C58&amp;"|"&amp;IF(D58="","00",D58)&amp;"|"&amp;IF(E58="","01",E58))</x:f>
      </x:c>
      <x:c r="S58" s="37" t="str">
        <x:f>IF(R58="","",IFERROR(SUMPRODUCT(('04_KE_HOACH_CD'!$F$6:$F$305=R58)*'04_KE_HOACH_CD'!$M$6:$M$305*'04_KE_HOACH_CD'!$S$6:$S$305)/SUMIF('04_KE_HOACH_CD'!$F$6:$F$305,R58,'04_KE_HOACH_CD'!$M$6:$M$305),0))</x:f>
      </x:c>
      <x:c r="T58" s="29" t="str">
        <x:f>IF(R58="","",IF(S58&gt;=1,"Hoàn thành",IF(COUNTIF('04_KE_HOACH_CD'!$F$6:$F$305,R58)=0,"Chưa có routing",IF(SUMIF('04_KE_HOACH_CD'!$F$6:$F$305,R58,'04_KE_HOACH_CD'!$R$6:$R$305)&gt;0,"Đang sản xuất","Chưa bắt đầu"))))</x:f>
      </x:c>
      <x:c r="U58" s="29" t="str">
        <x:f>IF(R58="","",IF(S58&gt;=1,"Bình thường",IF(N58&lt;TODAY(),"Quá hạn",IF(AND(N58-TODAY()&lt;=2,S58&lt;0.8),"Rủi ro cao",IF(AND(N58-TODAY()&lt;=5,S58&lt;0.5),"Cần theo dõi","Bình thường")))))</x:f>
      </x:c>
      <x:c r="V58" s="21"/>
    </x:row>
    <x:row r="59">
      <x:c r="A59" s="29" t="str">
        <x:f>IF(B59="","",COUNTA($B$6:B59))</x:f>
      </x:c>
      <x:c r="B59" s="21"/>
      <x:c r="C59" s="21"/>
      <x:c r="D59" s="21"/>
      <x:c r="E59" s="21"/>
      <x:c r="F59" s="21"/>
      <x:c r="G59" s="21"/>
      <x:c r="H59" s="21"/>
      <x:c r="I59" s="21"/>
      <x:c r="J59" s="21"/>
      <x:c r="K59" s="23"/>
      <x:c r="L59" s="35"/>
      <x:c r="M59" s="35"/>
      <x:c r="N59" s="35"/>
      <x:c r="O59" s="35"/>
      <x:c r="P59" s="21"/>
      <x:c r="Q59" s="21"/>
      <x:c r="R59" s="29" t="str">
        <x:f>IF(OR(B59="",C59=""),"",B59&amp;"|"&amp;C59&amp;"|"&amp;IF(D59="","00",D59)&amp;"|"&amp;IF(E59="","01",E59))</x:f>
      </x:c>
      <x:c r="S59" s="37" t="str">
        <x:f>IF(R59="","",IFERROR(SUMPRODUCT(('04_KE_HOACH_CD'!$F$6:$F$305=R59)*'04_KE_HOACH_CD'!$M$6:$M$305*'04_KE_HOACH_CD'!$S$6:$S$305)/SUMIF('04_KE_HOACH_CD'!$F$6:$F$305,R59,'04_KE_HOACH_CD'!$M$6:$M$305),0))</x:f>
      </x:c>
      <x:c r="T59" s="29" t="str">
        <x:f>IF(R59="","",IF(S59&gt;=1,"Hoàn thành",IF(COUNTIF('04_KE_HOACH_CD'!$F$6:$F$305,R59)=0,"Chưa có routing",IF(SUMIF('04_KE_HOACH_CD'!$F$6:$F$305,R59,'04_KE_HOACH_CD'!$R$6:$R$305)&gt;0,"Đang sản xuất","Chưa bắt đầu"))))</x:f>
      </x:c>
      <x:c r="U59" s="29" t="str">
        <x:f>IF(R59="","",IF(S59&gt;=1,"Bình thường",IF(N59&lt;TODAY(),"Quá hạn",IF(AND(N59-TODAY()&lt;=2,S59&lt;0.8),"Rủi ro cao",IF(AND(N59-TODAY()&lt;=5,S59&lt;0.5),"Cần theo dõi","Bình thường")))))</x:f>
      </x:c>
      <x:c r="V59" s="21"/>
    </x:row>
    <x:row r="60">
      <x:c r="A60" s="29" t="str">
        <x:f>IF(B60="","",COUNTA($B$6:B60))</x:f>
      </x:c>
      <x:c r="B60" s="21"/>
      <x:c r="C60" s="21"/>
      <x:c r="D60" s="21"/>
      <x:c r="E60" s="21"/>
      <x:c r="F60" s="21"/>
      <x:c r="G60" s="21"/>
      <x:c r="H60" s="21"/>
      <x:c r="I60" s="21"/>
      <x:c r="J60" s="21"/>
      <x:c r="K60" s="23"/>
      <x:c r="L60" s="35"/>
      <x:c r="M60" s="35"/>
      <x:c r="N60" s="35"/>
      <x:c r="O60" s="35"/>
      <x:c r="P60" s="21"/>
      <x:c r="Q60" s="21"/>
      <x:c r="R60" s="29" t="str">
        <x:f>IF(OR(B60="",C60=""),"",B60&amp;"|"&amp;C60&amp;"|"&amp;IF(D60="","00",D60)&amp;"|"&amp;IF(E60="","01",E60))</x:f>
      </x:c>
      <x:c r="S60" s="37" t="str">
        <x:f>IF(R60="","",IFERROR(SUMPRODUCT(('04_KE_HOACH_CD'!$F$6:$F$305=R60)*'04_KE_HOACH_CD'!$M$6:$M$305*'04_KE_HOACH_CD'!$S$6:$S$305)/SUMIF('04_KE_HOACH_CD'!$F$6:$F$305,R60,'04_KE_HOACH_CD'!$M$6:$M$305),0))</x:f>
      </x:c>
      <x:c r="T60" s="29" t="str">
        <x:f>IF(R60="","",IF(S60&gt;=1,"Hoàn thành",IF(COUNTIF('04_KE_HOACH_CD'!$F$6:$F$305,R60)=0,"Chưa có routing",IF(SUMIF('04_KE_HOACH_CD'!$F$6:$F$305,R60,'04_KE_HOACH_CD'!$R$6:$R$305)&gt;0,"Đang sản xuất","Chưa bắt đầu"))))</x:f>
      </x:c>
      <x:c r="U60" s="29" t="str">
        <x:f>IF(R60="","",IF(S60&gt;=1,"Bình thường",IF(N60&lt;TODAY(),"Quá hạn",IF(AND(N60-TODAY()&lt;=2,S60&lt;0.8),"Rủi ro cao",IF(AND(N60-TODAY()&lt;=5,S60&lt;0.5),"Cần theo dõi","Bình thường")))))</x:f>
      </x:c>
      <x:c r="V60" s="21"/>
    </x:row>
    <x:row r="61">
      <x:c r="A61" s="29" t="str">
        <x:f>IF(B61="","",COUNTA($B$6:B61))</x:f>
      </x:c>
      <x:c r="B61" s="21"/>
      <x:c r="C61" s="21"/>
      <x:c r="D61" s="21"/>
      <x:c r="E61" s="21"/>
      <x:c r="F61" s="21"/>
      <x:c r="G61" s="21"/>
      <x:c r="H61" s="21"/>
      <x:c r="I61" s="21"/>
      <x:c r="J61" s="21"/>
      <x:c r="K61" s="23"/>
      <x:c r="L61" s="35"/>
      <x:c r="M61" s="35"/>
      <x:c r="N61" s="35"/>
      <x:c r="O61" s="35"/>
      <x:c r="P61" s="21"/>
      <x:c r="Q61" s="21"/>
      <x:c r="R61" s="29" t="str">
        <x:f>IF(OR(B61="",C61=""),"",B61&amp;"|"&amp;C61&amp;"|"&amp;IF(D61="","00",D61)&amp;"|"&amp;IF(E61="","01",E61))</x:f>
      </x:c>
      <x:c r="S61" s="37" t="str">
        <x:f>IF(R61="","",IFERROR(SUMPRODUCT(('04_KE_HOACH_CD'!$F$6:$F$305=R61)*'04_KE_HOACH_CD'!$M$6:$M$305*'04_KE_HOACH_CD'!$S$6:$S$305)/SUMIF('04_KE_HOACH_CD'!$F$6:$F$305,R61,'04_KE_HOACH_CD'!$M$6:$M$305),0))</x:f>
      </x:c>
      <x:c r="T61" s="29" t="str">
        <x:f>IF(R61="","",IF(S61&gt;=1,"Hoàn thành",IF(COUNTIF('04_KE_HOACH_CD'!$F$6:$F$305,R61)=0,"Chưa có routing",IF(SUMIF('04_KE_HOACH_CD'!$F$6:$F$305,R61,'04_KE_HOACH_CD'!$R$6:$R$305)&gt;0,"Đang sản xuất","Chưa bắt đầu"))))</x:f>
      </x:c>
      <x:c r="U61" s="29" t="str">
        <x:f>IF(R61="","",IF(S61&gt;=1,"Bình thường",IF(N61&lt;TODAY(),"Quá hạn",IF(AND(N61-TODAY()&lt;=2,S61&lt;0.8),"Rủi ro cao",IF(AND(N61-TODAY()&lt;=5,S61&lt;0.5),"Cần theo dõi","Bình thường")))))</x:f>
      </x:c>
      <x:c r="V61" s="21"/>
    </x:row>
    <x:row r="62">
      <x:c r="A62" s="29" t="str">
        <x:f>IF(B62="","",COUNTA($B$6:B62))</x:f>
      </x:c>
      <x:c r="B62" s="21"/>
      <x:c r="C62" s="21"/>
      <x:c r="D62" s="21"/>
      <x:c r="E62" s="21"/>
      <x:c r="F62" s="21"/>
      <x:c r="G62" s="21"/>
      <x:c r="H62" s="21"/>
      <x:c r="I62" s="21"/>
      <x:c r="J62" s="21"/>
      <x:c r="K62" s="23"/>
      <x:c r="L62" s="35"/>
      <x:c r="M62" s="35"/>
      <x:c r="N62" s="35"/>
      <x:c r="O62" s="35"/>
      <x:c r="P62" s="21"/>
      <x:c r="Q62" s="21"/>
      <x:c r="R62" s="29" t="str">
        <x:f>IF(OR(B62="",C62=""),"",B62&amp;"|"&amp;C62&amp;"|"&amp;IF(D62="","00",D62)&amp;"|"&amp;IF(E62="","01",E62))</x:f>
      </x:c>
      <x:c r="S62" s="37" t="str">
        <x:f>IF(R62="","",IFERROR(SUMPRODUCT(('04_KE_HOACH_CD'!$F$6:$F$305=R62)*'04_KE_HOACH_CD'!$M$6:$M$305*'04_KE_HOACH_CD'!$S$6:$S$305)/SUMIF('04_KE_HOACH_CD'!$F$6:$F$305,R62,'04_KE_HOACH_CD'!$M$6:$M$305),0))</x:f>
      </x:c>
      <x:c r="T62" s="29" t="str">
        <x:f>IF(R62="","",IF(S62&gt;=1,"Hoàn thành",IF(COUNTIF('04_KE_HOACH_CD'!$F$6:$F$305,R62)=0,"Chưa có routing",IF(SUMIF('04_KE_HOACH_CD'!$F$6:$F$305,R62,'04_KE_HOACH_CD'!$R$6:$R$305)&gt;0,"Đang sản xuất","Chưa bắt đầu"))))</x:f>
      </x:c>
      <x:c r="U62" s="29" t="str">
        <x:f>IF(R62="","",IF(S62&gt;=1,"Bình thường",IF(N62&lt;TODAY(),"Quá hạn",IF(AND(N62-TODAY()&lt;=2,S62&lt;0.8),"Rủi ro cao",IF(AND(N62-TODAY()&lt;=5,S62&lt;0.5),"Cần theo dõi","Bình thường")))))</x:f>
      </x:c>
      <x:c r="V62" s="21"/>
    </x:row>
    <x:row r="63">
      <x:c r="A63" s="29" t="str">
        <x:f>IF(B63="","",COUNTA($B$6:B63))</x:f>
      </x:c>
      <x:c r="B63" s="21"/>
      <x:c r="C63" s="21"/>
      <x:c r="D63" s="21"/>
      <x:c r="E63" s="21"/>
      <x:c r="F63" s="21"/>
      <x:c r="G63" s="21"/>
      <x:c r="H63" s="21"/>
      <x:c r="I63" s="21"/>
      <x:c r="J63" s="21"/>
      <x:c r="K63" s="23"/>
      <x:c r="L63" s="35"/>
      <x:c r="M63" s="35"/>
      <x:c r="N63" s="35"/>
      <x:c r="O63" s="35"/>
      <x:c r="P63" s="21"/>
      <x:c r="Q63" s="21"/>
      <x:c r="R63" s="29" t="str">
        <x:f>IF(OR(B63="",C63=""),"",B63&amp;"|"&amp;C63&amp;"|"&amp;IF(D63="","00",D63)&amp;"|"&amp;IF(E63="","01",E63))</x:f>
      </x:c>
      <x:c r="S63" s="37" t="str">
        <x:f>IF(R63="","",IFERROR(SUMPRODUCT(('04_KE_HOACH_CD'!$F$6:$F$305=R63)*'04_KE_HOACH_CD'!$M$6:$M$305*'04_KE_HOACH_CD'!$S$6:$S$305)/SUMIF('04_KE_HOACH_CD'!$F$6:$F$305,R63,'04_KE_HOACH_CD'!$M$6:$M$305),0))</x:f>
      </x:c>
      <x:c r="T63" s="29" t="str">
        <x:f>IF(R63="","",IF(S63&gt;=1,"Hoàn thành",IF(COUNTIF('04_KE_HOACH_CD'!$F$6:$F$305,R63)=0,"Chưa có routing",IF(SUMIF('04_KE_HOACH_CD'!$F$6:$F$305,R63,'04_KE_HOACH_CD'!$R$6:$R$305)&gt;0,"Đang sản xuất","Chưa bắt đầu"))))</x:f>
      </x:c>
      <x:c r="U63" s="29" t="str">
        <x:f>IF(R63="","",IF(S63&gt;=1,"Bình thường",IF(N63&lt;TODAY(),"Quá hạn",IF(AND(N63-TODAY()&lt;=2,S63&lt;0.8),"Rủi ro cao",IF(AND(N63-TODAY()&lt;=5,S63&lt;0.5),"Cần theo dõi","Bình thường")))))</x:f>
      </x:c>
      <x:c r="V63" s="21"/>
    </x:row>
    <x:row r="64">
      <x:c r="A64" s="29" t="str">
        <x:f>IF(B64="","",COUNTA($B$6:B64))</x:f>
      </x:c>
      <x:c r="B64" s="21"/>
      <x:c r="C64" s="21"/>
      <x:c r="D64" s="21"/>
      <x:c r="E64" s="21"/>
      <x:c r="F64" s="21"/>
      <x:c r="G64" s="21"/>
      <x:c r="H64" s="21"/>
      <x:c r="I64" s="21"/>
      <x:c r="J64" s="21"/>
      <x:c r="K64" s="23"/>
      <x:c r="L64" s="35"/>
      <x:c r="M64" s="35"/>
      <x:c r="N64" s="35"/>
      <x:c r="O64" s="35"/>
      <x:c r="P64" s="21"/>
      <x:c r="Q64" s="21"/>
      <x:c r="R64" s="29" t="str">
        <x:f>IF(OR(B64="",C64=""),"",B64&amp;"|"&amp;C64&amp;"|"&amp;IF(D64="","00",D64)&amp;"|"&amp;IF(E64="","01",E64))</x:f>
      </x:c>
      <x:c r="S64" s="37" t="str">
        <x:f>IF(R64="","",IFERROR(SUMPRODUCT(('04_KE_HOACH_CD'!$F$6:$F$305=R64)*'04_KE_HOACH_CD'!$M$6:$M$305*'04_KE_HOACH_CD'!$S$6:$S$305)/SUMIF('04_KE_HOACH_CD'!$F$6:$F$305,R64,'04_KE_HOACH_CD'!$M$6:$M$305),0))</x:f>
      </x:c>
      <x:c r="T64" s="29" t="str">
        <x:f>IF(R64="","",IF(S64&gt;=1,"Hoàn thành",IF(COUNTIF('04_KE_HOACH_CD'!$F$6:$F$305,R64)=0,"Chưa có routing",IF(SUMIF('04_KE_HOACH_CD'!$F$6:$F$305,R64,'04_KE_HOACH_CD'!$R$6:$R$305)&gt;0,"Đang sản xuất","Chưa bắt đầu"))))</x:f>
      </x:c>
      <x:c r="U64" s="29" t="str">
        <x:f>IF(R64="","",IF(S64&gt;=1,"Bình thường",IF(N64&lt;TODAY(),"Quá hạn",IF(AND(N64-TODAY()&lt;=2,S64&lt;0.8),"Rủi ro cao",IF(AND(N64-TODAY()&lt;=5,S64&lt;0.5),"Cần theo dõi","Bình thường")))))</x:f>
      </x:c>
      <x:c r="V64" s="21"/>
    </x:row>
    <x:row r="65">
      <x:c r="A65" s="29" t="str">
        <x:f>IF(B65="","",COUNTA($B$6:B65))</x:f>
      </x:c>
      <x:c r="B65" s="21"/>
      <x:c r="C65" s="21"/>
      <x:c r="D65" s="21"/>
      <x:c r="E65" s="21"/>
      <x:c r="F65" s="21"/>
      <x:c r="G65" s="21"/>
      <x:c r="H65" s="21"/>
      <x:c r="I65" s="21"/>
      <x:c r="J65" s="21"/>
      <x:c r="K65" s="23"/>
      <x:c r="L65" s="35"/>
      <x:c r="M65" s="35"/>
      <x:c r="N65" s="35"/>
      <x:c r="O65" s="35"/>
      <x:c r="P65" s="21"/>
      <x:c r="Q65" s="21"/>
      <x:c r="R65" s="29" t="str">
        <x:f>IF(OR(B65="",C65=""),"",B65&amp;"|"&amp;C65&amp;"|"&amp;IF(D65="","00",D65)&amp;"|"&amp;IF(E65="","01",E65))</x:f>
      </x:c>
      <x:c r="S65" s="37" t="str">
        <x:f>IF(R65="","",IFERROR(SUMPRODUCT(('04_KE_HOACH_CD'!$F$6:$F$305=R65)*'04_KE_HOACH_CD'!$M$6:$M$305*'04_KE_HOACH_CD'!$S$6:$S$305)/SUMIF('04_KE_HOACH_CD'!$F$6:$F$305,R65,'04_KE_HOACH_CD'!$M$6:$M$305),0))</x:f>
      </x:c>
      <x:c r="T65" s="29" t="str">
        <x:f>IF(R65="","",IF(S65&gt;=1,"Hoàn thành",IF(COUNTIF('04_KE_HOACH_CD'!$F$6:$F$305,R65)=0,"Chưa có routing",IF(SUMIF('04_KE_HOACH_CD'!$F$6:$F$305,R65,'04_KE_HOACH_CD'!$R$6:$R$305)&gt;0,"Đang sản xuất","Chưa bắt đầu"))))</x:f>
      </x:c>
      <x:c r="U65" s="29" t="str">
        <x:f>IF(R65="","",IF(S65&gt;=1,"Bình thường",IF(N65&lt;TODAY(),"Quá hạn",IF(AND(N65-TODAY()&lt;=2,S65&lt;0.8),"Rủi ro cao",IF(AND(N65-TODAY()&lt;=5,S65&lt;0.5),"Cần theo dõi","Bình thường")))))</x:f>
      </x:c>
      <x:c r="V65" s="21"/>
    </x:row>
    <x:row r="66">
      <x:c r="A66" s="29" t="str">
        <x:f>IF(B66="","",COUNTA($B$6:B66))</x:f>
      </x:c>
      <x:c r="B66" s="21"/>
      <x:c r="C66" s="21"/>
      <x:c r="D66" s="21"/>
      <x:c r="E66" s="21"/>
      <x:c r="F66" s="21"/>
      <x:c r="G66" s="21"/>
      <x:c r="H66" s="21"/>
      <x:c r="I66" s="21"/>
      <x:c r="J66" s="21"/>
      <x:c r="K66" s="23"/>
      <x:c r="L66" s="35"/>
      <x:c r="M66" s="35"/>
      <x:c r="N66" s="35"/>
      <x:c r="O66" s="35"/>
      <x:c r="P66" s="21"/>
      <x:c r="Q66" s="21"/>
      <x:c r="R66" s="29" t="str">
        <x:f>IF(OR(B66="",C66=""),"",B66&amp;"|"&amp;C66&amp;"|"&amp;IF(D66="","00",D66)&amp;"|"&amp;IF(E66="","01",E66))</x:f>
      </x:c>
      <x:c r="S66" s="37" t="str">
        <x:f>IF(R66="","",IFERROR(SUMPRODUCT(('04_KE_HOACH_CD'!$F$6:$F$305=R66)*'04_KE_HOACH_CD'!$M$6:$M$305*'04_KE_HOACH_CD'!$S$6:$S$305)/SUMIF('04_KE_HOACH_CD'!$F$6:$F$305,R66,'04_KE_HOACH_CD'!$M$6:$M$305),0))</x:f>
      </x:c>
      <x:c r="T66" s="29" t="str">
        <x:f>IF(R66="","",IF(S66&gt;=1,"Hoàn thành",IF(COUNTIF('04_KE_HOACH_CD'!$F$6:$F$305,R66)=0,"Chưa có routing",IF(SUMIF('04_KE_HOACH_CD'!$F$6:$F$305,R66,'04_KE_HOACH_CD'!$R$6:$R$305)&gt;0,"Đang sản xuất","Chưa bắt đầu"))))</x:f>
      </x:c>
      <x:c r="U66" s="29" t="str">
        <x:f>IF(R66="","",IF(S66&gt;=1,"Bình thường",IF(N66&lt;TODAY(),"Quá hạn",IF(AND(N66-TODAY()&lt;=2,S66&lt;0.8),"Rủi ro cao",IF(AND(N66-TODAY()&lt;=5,S66&lt;0.5),"Cần theo dõi","Bình thường")))))</x:f>
      </x:c>
      <x:c r="V66" s="21"/>
    </x:row>
    <x:row r="67">
      <x:c r="A67" s="29" t="str">
        <x:f>IF(B67="","",COUNTA($B$6:B67))</x:f>
      </x:c>
      <x:c r="B67" s="21"/>
      <x:c r="C67" s="21"/>
      <x:c r="D67" s="21"/>
      <x:c r="E67" s="21"/>
      <x:c r="F67" s="21"/>
      <x:c r="G67" s="21"/>
      <x:c r="H67" s="21"/>
      <x:c r="I67" s="21"/>
      <x:c r="J67" s="21"/>
      <x:c r="K67" s="23"/>
      <x:c r="L67" s="35"/>
      <x:c r="M67" s="35"/>
      <x:c r="N67" s="35"/>
      <x:c r="O67" s="35"/>
      <x:c r="P67" s="21"/>
      <x:c r="Q67" s="21"/>
      <x:c r="R67" s="29" t="str">
        <x:f>IF(OR(B67="",C67=""),"",B67&amp;"|"&amp;C67&amp;"|"&amp;IF(D67="","00",D67)&amp;"|"&amp;IF(E67="","01",E67))</x:f>
      </x:c>
      <x:c r="S67" s="37" t="str">
        <x:f>IF(R67="","",IFERROR(SUMPRODUCT(('04_KE_HOACH_CD'!$F$6:$F$305=R67)*'04_KE_HOACH_CD'!$M$6:$M$305*'04_KE_HOACH_CD'!$S$6:$S$305)/SUMIF('04_KE_HOACH_CD'!$F$6:$F$305,R67,'04_KE_HOACH_CD'!$M$6:$M$305),0))</x:f>
      </x:c>
      <x:c r="T67" s="29" t="str">
        <x:f>IF(R67="","",IF(S67&gt;=1,"Hoàn thành",IF(COUNTIF('04_KE_HOACH_CD'!$F$6:$F$305,R67)=0,"Chưa có routing",IF(SUMIF('04_KE_HOACH_CD'!$F$6:$F$305,R67,'04_KE_HOACH_CD'!$R$6:$R$305)&gt;0,"Đang sản xuất","Chưa bắt đầu"))))</x:f>
      </x:c>
      <x:c r="U67" s="29" t="str">
        <x:f>IF(R67="","",IF(S67&gt;=1,"Bình thường",IF(N67&lt;TODAY(),"Quá hạn",IF(AND(N67-TODAY()&lt;=2,S67&lt;0.8),"Rủi ro cao",IF(AND(N67-TODAY()&lt;=5,S67&lt;0.5),"Cần theo dõi","Bình thường")))))</x:f>
      </x:c>
      <x:c r="V67" s="21"/>
    </x:row>
    <x:row r="68">
      <x:c r="A68" s="29" t="str">
        <x:f>IF(B68="","",COUNTA($B$6:B68))</x:f>
      </x:c>
      <x:c r="B68" s="21"/>
      <x:c r="C68" s="21"/>
      <x:c r="D68" s="21"/>
      <x:c r="E68" s="21"/>
      <x:c r="F68" s="21"/>
      <x:c r="G68" s="21"/>
      <x:c r="H68" s="21"/>
      <x:c r="I68" s="21"/>
      <x:c r="J68" s="21"/>
      <x:c r="K68" s="23"/>
      <x:c r="L68" s="35"/>
      <x:c r="M68" s="35"/>
      <x:c r="N68" s="35"/>
      <x:c r="O68" s="35"/>
      <x:c r="P68" s="21"/>
      <x:c r="Q68" s="21"/>
      <x:c r="R68" s="29" t="str">
        <x:f>IF(OR(B68="",C68=""),"",B68&amp;"|"&amp;C68&amp;"|"&amp;IF(D68="","00",D68)&amp;"|"&amp;IF(E68="","01",E68))</x:f>
      </x:c>
      <x:c r="S68" s="37" t="str">
        <x:f>IF(R68="","",IFERROR(SUMPRODUCT(('04_KE_HOACH_CD'!$F$6:$F$305=R68)*'04_KE_HOACH_CD'!$M$6:$M$305*'04_KE_HOACH_CD'!$S$6:$S$305)/SUMIF('04_KE_HOACH_CD'!$F$6:$F$305,R68,'04_KE_HOACH_CD'!$M$6:$M$305),0))</x:f>
      </x:c>
      <x:c r="T68" s="29" t="str">
        <x:f>IF(R68="","",IF(S68&gt;=1,"Hoàn thành",IF(COUNTIF('04_KE_HOACH_CD'!$F$6:$F$305,R68)=0,"Chưa có routing",IF(SUMIF('04_KE_HOACH_CD'!$F$6:$F$305,R68,'04_KE_HOACH_CD'!$R$6:$R$305)&gt;0,"Đang sản xuất","Chưa bắt đầu"))))</x:f>
      </x:c>
      <x:c r="U68" s="29" t="str">
        <x:f>IF(R68="","",IF(S68&gt;=1,"Bình thường",IF(N68&lt;TODAY(),"Quá hạn",IF(AND(N68-TODAY()&lt;=2,S68&lt;0.8),"Rủi ro cao",IF(AND(N68-TODAY()&lt;=5,S68&lt;0.5),"Cần theo dõi","Bình thường")))))</x:f>
      </x:c>
      <x:c r="V68" s="21"/>
    </x:row>
    <x:row r="69">
      <x:c r="A69" s="29" t="str">
        <x:f>IF(B69="","",COUNTA($B$6:B69))</x:f>
      </x:c>
      <x:c r="B69" s="21"/>
      <x:c r="C69" s="21"/>
      <x:c r="D69" s="21"/>
      <x:c r="E69" s="21"/>
      <x:c r="F69" s="21"/>
      <x:c r="G69" s="21"/>
      <x:c r="H69" s="21"/>
      <x:c r="I69" s="21"/>
      <x:c r="J69" s="21"/>
      <x:c r="K69" s="23"/>
      <x:c r="L69" s="35"/>
      <x:c r="M69" s="35"/>
      <x:c r="N69" s="35"/>
      <x:c r="O69" s="35"/>
      <x:c r="P69" s="21"/>
      <x:c r="Q69" s="21"/>
      <x:c r="R69" s="29" t="str">
        <x:f>IF(OR(B69="",C69=""),"",B69&amp;"|"&amp;C69&amp;"|"&amp;IF(D69="","00",D69)&amp;"|"&amp;IF(E69="","01",E69))</x:f>
      </x:c>
      <x:c r="S69" s="37" t="str">
        <x:f>IF(R69="","",IFERROR(SUMPRODUCT(('04_KE_HOACH_CD'!$F$6:$F$305=R69)*'04_KE_HOACH_CD'!$M$6:$M$305*'04_KE_HOACH_CD'!$S$6:$S$305)/SUMIF('04_KE_HOACH_CD'!$F$6:$F$305,R69,'04_KE_HOACH_CD'!$M$6:$M$305),0))</x:f>
      </x:c>
      <x:c r="T69" s="29" t="str">
        <x:f>IF(R69="","",IF(S69&gt;=1,"Hoàn thành",IF(COUNTIF('04_KE_HOACH_CD'!$F$6:$F$305,R69)=0,"Chưa có routing",IF(SUMIF('04_KE_HOACH_CD'!$F$6:$F$305,R69,'04_KE_HOACH_CD'!$R$6:$R$305)&gt;0,"Đang sản xuất","Chưa bắt đầu"))))</x:f>
      </x:c>
      <x:c r="U69" s="29" t="str">
        <x:f>IF(R69="","",IF(S69&gt;=1,"Bình thường",IF(N69&lt;TODAY(),"Quá hạn",IF(AND(N69-TODAY()&lt;=2,S69&lt;0.8),"Rủi ro cao",IF(AND(N69-TODAY()&lt;=5,S69&lt;0.5),"Cần theo dõi","Bình thường")))))</x:f>
      </x:c>
      <x:c r="V69" s="21"/>
    </x:row>
    <x:row r="70">
      <x:c r="A70" s="29" t="str">
        <x:f>IF(B70="","",COUNTA($B$6:B70))</x:f>
      </x:c>
      <x:c r="B70" s="21"/>
      <x:c r="C70" s="21"/>
      <x:c r="D70" s="21"/>
      <x:c r="E70" s="21"/>
      <x:c r="F70" s="21"/>
      <x:c r="G70" s="21"/>
      <x:c r="H70" s="21"/>
      <x:c r="I70" s="21"/>
      <x:c r="J70" s="21"/>
      <x:c r="K70" s="23"/>
      <x:c r="L70" s="35"/>
      <x:c r="M70" s="35"/>
      <x:c r="N70" s="35"/>
      <x:c r="O70" s="35"/>
      <x:c r="P70" s="21"/>
      <x:c r="Q70" s="21"/>
      <x:c r="R70" s="29" t="str">
        <x:f>IF(OR(B70="",C70=""),"",B70&amp;"|"&amp;C70&amp;"|"&amp;IF(D70="","00",D70)&amp;"|"&amp;IF(E70="","01",E70))</x:f>
      </x:c>
      <x:c r="S70" s="37" t="str">
        <x:f>IF(R70="","",IFERROR(SUMPRODUCT(('04_KE_HOACH_CD'!$F$6:$F$305=R70)*'04_KE_HOACH_CD'!$M$6:$M$305*'04_KE_HOACH_CD'!$S$6:$S$305)/SUMIF('04_KE_HOACH_CD'!$F$6:$F$305,R70,'04_KE_HOACH_CD'!$M$6:$M$305),0))</x:f>
      </x:c>
      <x:c r="T70" s="29" t="str">
        <x:f>IF(R70="","",IF(S70&gt;=1,"Hoàn thành",IF(COUNTIF('04_KE_HOACH_CD'!$F$6:$F$305,R70)=0,"Chưa có routing",IF(SUMIF('04_KE_HOACH_CD'!$F$6:$F$305,R70,'04_KE_HOACH_CD'!$R$6:$R$305)&gt;0,"Đang sản xuất","Chưa bắt đầu"))))</x:f>
      </x:c>
      <x:c r="U70" s="29" t="str">
        <x:f>IF(R70="","",IF(S70&gt;=1,"Bình thường",IF(N70&lt;TODAY(),"Quá hạn",IF(AND(N70-TODAY()&lt;=2,S70&lt;0.8),"Rủi ro cao",IF(AND(N70-TODAY()&lt;=5,S70&lt;0.5),"Cần theo dõi","Bình thường")))))</x:f>
      </x:c>
      <x:c r="V70" s="21"/>
    </x:row>
    <x:row r="71">
      <x:c r="A71" s="29" t="str">
        <x:f>IF(B71="","",COUNTA($B$6:B71))</x:f>
      </x:c>
      <x:c r="B71" s="21"/>
      <x:c r="C71" s="21"/>
      <x:c r="D71" s="21"/>
      <x:c r="E71" s="21"/>
      <x:c r="F71" s="21"/>
      <x:c r="G71" s="21"/>
      <x:c r="H71" s="21"/>
      <x:c r="I71" s="21"/>
      <x:c r="J71" s="21"/>
      <x:c r="K71" s="23"/>
      <x:c r="L71" s="35"/>
      <x:c r="M71" s="35"/>
      <x:c r="N71" s="35"/>
      <x:c r="O71" s="35"/>
      <x:c r="P71" s="21"/>
      <x:c r="Q71" s="21"/>
      <x:c r="R71" s="29" t="str">
        <x:f>IF(OR(B71="",C71=""),"",B71&amp;"|"&amp;C71&amp;"|"&amp;IF(D71="","00",D71)&amp;"|"&amp;IF(E71="","01",E71))</x:f>
      </x:c>
      <x:c r="S71" s="37" t="str">
        <x:f>IF(R71="","",IFERROR(SUMPRODUCT(('04_KE_HOACH_CD'!$F$6:$F$305=R71)*'04_KE_HOACH_CD'!$M$6:$M$305*'04_KE_HOACH_CD'!$S$6:$S$305)/SUMIF('04_KE_HOACH_CD'!$F$6:$F$305,R71,'04_KE_HOACH_CD'!$M$6:$M$305),0))</x:f>
      </x:c>
      <x:c r="T71" s="29" t="str">
        <x:f>IF(R71="","",IF(S71&gt;=1,"Hoàn thành",IF(COUNTIF('04_KE_HOACH_CD'!$F$6:$F$305,R71)=0,"Chưa có routing",IF(SUMIF('04_KE_HOACH_CD'!$F$6:$F$305,R71,'04_KE_HOACH_CD'!$R$6:$R$305)&gt;0,"Đang sản xuất","Chưa bắt đầu"))))</x:f>
      </x:c>
      <x:c r="U71" s="29" t="str">
        <x:f>IF(R71="","",IF(S71&gt;=1,"Bình thường",IF(N71&lt;TODAY(),"Quá hạn",IF(AND(N71-TODAY()&lt;=2,S71&lt;0.8),"Rủi ro cao",IF(AND(N71-TODAY()&lt;=5,S71&lt;0.5),"Cần theo dõi","Bình thường")))))</x:f>
      </x:c>
      <x:c r="V71" s="21"/>
    </x:row>
    <x:row r="72">
      <x:c r="A72" s="29" t="str">
        <x:f>IF(B72="","",COUNTA($B$6:B72))</x:f>
      </x:c>
      <x:c r="B72" s="21"/>
      <x:c r="C72" s="21"/>
      <x:c r="D72" s="21"/>
      <x:c r="E72" s="21"/>
      <x:c r="F72" s="21"/>
      <x:c r="G72" s="21"/>
      <x:c r="H72" s="21"/>
      <x:c r="I72" s="21"/>
      <x:c r="J72" s="21"/>
      <x:c r="K72" s="23"/>
      <x:c r="L72" s="35"/>
      <x:c r="M72" s="35"/>
      <x:c r="N72" s="35"/>
      <x:c r="O72" s="35"/>
      <x:c r="P72" s="21"/>
      <x:c r="Q72" s="21"/>
      <x:c r="R72" s="29" t="str">
        <x:f>IF(OR(B72="",C72=""),"",B72&amp;"|"&amp;C72&amp;"|"&amp;IF(D72="","00",D72)&amp;"|"&amp;IF(E72="","01",E72))</x:f>
      </x:c>
      <x:c r="S72" s="37" t="str">
        <x:f>IF(R72="","",IFERROR(SUMPRODUCT(('04_KE_HOACH_CD'!$F$6:$F$305=R72)*'04_KE_HOACH_CD'!$M$6:$M$305*'04_KE_HOACH_CD'!$S$6:$S$305)/SUMIF('04_KE_HOACH_CD'!$F$6:$F$305,R72,'04_KE_HOACH_CD'!$M$6:$M$305),0))</x:f>
      </x:c>
      <x:c r="T72" s="29" t="str">
        <x:f>IF(R72="","",IF(S72&gt;=1,"Hoàn thành",IF(COUNTIF('04_KE_HOACH_CD'!$F$6:$F$305,R72)=0,"Chưa có routing",IF(SUMIF('04_KE_HOACH_CD'!$F$6:$F$305,R72,'04_KE_HOACH_CD'!$R$6:$R$305)&gt;0,"Đang sản xuất","Chưa bắt đầu"))))</x:f>
      </x:c>
      <x:c r="U72" s="29" t="str">
        <x:f>IF(R72="","",IF(S72&gt;=1,"Bình thường",IF(N72&lt;TODAY(),"Quá hạn",IF(AND(N72-TODAY()&lt;=2,S72&lt;0.8),"Rủi ro cao",IF(AND(N72-TODAY()&lt;=5,S72&lt;0.5),"Cần theo dõi","Bình thường")))))</x:f>
      </x:c>
      <x:c r="V72" s="21"/>
    </x:row>
    <x:row r="73">
      <x:c r="A73" s="29" t="str">
        <x:f>IF(B73="","",COUNTA($B$6:B73))</x:f>
      </x:c>
      <x:c r="B73" s="21"/>
      <x:c r="C73" s="21"/>
      <x:c r="D73" s="21"/>
      <x:c r="E73" s="21"/>
      <x:c r="F73" s="21"/>
      <x:c r="G73" s="21"/>
      <x:c r="H73" s="21"/>
      <x:c r="I73" s="21"/>
      <x:c r="J73" s="21"/>
      <x:c r="K73" s="23"/>
      <x:c r="L73" s="35"/>
      <x:c r="M73" s="35"/>
      <x:c r="N73" s="35"/>
      <x:c r="O73" s="35"/>
      <x:c r="P73" s="21"/>
      <x:c r="Q73" s="21"/>
      <x:c r="R73" s="29" t="str">
        <x:f>IF(OR(B73="",C73=""),"",B73&amp;"|"&amp;C73&amp;"|"&amp;IF(D73="","00",D73)&amp;"|"&amp;IF(E73="","01",E73))</x:f>
      </x:c>
      <x:c r="S73" s="37" t="str">
        <x:f>IF(R73="","",IFERROR(SUMPRODUCT(('04_KE_HOACH_CD'!$F$6:$F$305=R73)*'04_KE_HOACH_CD'!$M$6:$M$305*'04_KE_HOACH_CD'!$S$6:$S$305)/SUMIF('04_KE_HOACH_CD'!$F$6:$F$305,R73,'04_KE_HOACH_CD'!$M$6:$M$305),0))</x:f>
      </x:c>
      <x:c r="T73" s="29" t="str">
        <x:f>IF(R73="","",IF(S73&gt;=1,"Hoàn thành",IF(COUNTIF('04_KE_HOACH_CD'!$F$6:$F$305,R73)=0,"Chưa có routing",IF(SUMIF('04_KE_HOACH_CD'!$F$6:$F$305,R73,'04_KE_HOACH_CD'!$R$6:$R$305)&gt;0,"Đang sản xuất","Chưa bắt đầu"))))</x:f>
      </x:c>
      <x:c r="U73" s="29" t="str">
        <x:f>IF(R73="","",IF(S73&gt;=1,"Bình thường",IF(N73&lt;TODAY(),"Quá hạn",IF(AND(N73-TODAY()&lt;=2,S73&lt;0.8),"Rủi ro cao",IF(AND(N73-TODAY()&lt;=5,S73&lt;0.5),"Cần theo dõi","Bình thường")))))</x:f>
      </x:c>
      <x:c r="V73" s="21"/>
    </x:row>
    <x:row r="74">
      <x:c r="A74" s="29" t="str">
        <x:f>IF(B74="","",COUNTA($B$6:B74))</x:f>
      </x:c>
      <x:c r="B74" s="21"/>
      <x:c r="C74" s="21"/>
      <x:c r="D74" s="21"/>
      <x:c r="E74" s="21"/>
      <x:c r="F74" s="21"/>
      <x:c r="G74" s="21"/>
      <x:c r="H74" s="21"/>
      <x:c r="I74" s="21"/>
      <x:c r="J74" s="21"/>
      <x:c r="K74" s="23"/>
      <x:c r="L74" s="35"/>
      <x:c r="M74" s="35"/>
      <x:c r="N74" s="35"/>
      <x:c r="O74" s="35"/>
      <x:c r="P74" s="21"/>
      <x:c r="Q74" s="21"/>
      <x:c r="R74" s="29" t="str">
        <x:f>IF(OR(B74="",C74=""),"",B74&amp;"|"&amp;C74&amp;"|"&amp;IF(D74="","00",D74)&amp;"|"&amp;IF(E74="","01",E74))</x:f>
      </x:c>
      <x:c r="S74" s="37" t="str">
        <x:f>IF(R74="","",IFERROR(SUMPRODUCT(('04_KE_HOACH_CD'!$F$6:$F$305=R74)*'04_KE_HOACH_CD'!$M$6:$M$305*'04_KE_HOACH_CD'!$S$6:$S$305)/SUMIF('04_KE_HOACH_CD'!$F$6:$F$305,R74,'04_KE_HOACH_CD'!$M$6:$M$305),0))</x:f>
      </x:c>
      <x:c r="T74" s="29" t="str">
        <x:f>IF(R74="","",IF(S74&gt;=1,"Hoàn thành",IF(COUNTIF('04_KE_HOACH_CD'!$F$6:$F$305,R74)=0,"Chưa có routing",IF(SUMIF('04_KE_HOACH_CD'!$F$6:$F$305,R74,'04_KE_HOACH_CD'!$R$6:$R$305)&gt;0,"Đang sản xuất","Chưa bắt đầu"))))</x:f>
      </x:c>
      <x:c r="U74" s="29" t="str">
        <x:f>IF(R74="","",IF(S74&gt;=1,"Bình thường",IF(N74&lt;TODAY(),"Quá hạn",IF(AND(N74-TODAY()&lt;=2,S74&lt;0.8),"Rủi ro cao",IF(AND(N74-TODAY()&lt;=5,S74&lt;0.5),"Cần theo dõi","Bình thường")))))</x:f>
      </x:c>
      <x:c r="V74" s="21"/>
    </x:row>
    <x:row r="75">
      <x:c r="A75" s="29" t="str">
        <x:f>IF(B75="","",COUNTA($B$6:B75))</x:f>
      </x:c>
      <x:c r="B75" s="21"/>
      <x:c r="C75" s="21"/>
      <x:c r="D75" s="21"/>
      <x:c r="E75" s="21"/>
      <x:c r="F75" s="21"/>
      <x:c r="G75" s="21"/>
      <x:c r="H75" s="21"/>
      <x:c r="I75" s="21"/>
      <x:c r="J75" s="21"/>
      <x:c r="K75" s="23"/>
      <x:c r="L75" s="35"/>
      <x:c r="M75" s="35"/>
      <x:c r="N75" s="35"/>
      <x:c r="O75" s="35"/>
      <x:c r="P75" s="21"/>
      <x:c r="Q75" s="21"/>
      <x:c r="R75" s="29" t="str">
        <x:f>IF(OR(B75="",C75=""),"",B75&amp;"|"&amp;C75&amp;"|"&amp;IF(D75="","00",D75)&amp;"|"&amp;IF(E75="","01",E75))</x:f>
      </x:c>
      <x:c r="S75" s="37" t="str">
        <x:f>IF(R75="","",IFERROR(SUMPRODUCT(('04_KE_HOACH_CD'!$F$6:$F$305=R75)*'04_KE_HOACH_CD'!$M$6:$M$305*'04_KE_HOACH_CD'!$S$6:$S$305)/SUMIF('04_KE_HOACH_CD'!$F$6:$F$305,R75,'04_KE_HOACH_CD'!$M$6:$M$305),0))</x:f>
      </x:c>
      <x:c r="T75" s="29" t="str">
        <x:f>IF(R75="","",IF(S75&gt;=1,"Hoàn thành",IF(COUNTIF('04_KE_HOACH_CD'!$F$6:$F$305,R75)=0,"Chưa có routing",IF(SUMIF('04_KE_HOACH_CD'!$F$6:$F$305,R75,'04_KE_HOACH_CD'!$R$6:$R$305)&gt;0,"Đang sản xuất","Chưa bắt đầu"))))</x:f>
      </x:c>
      <x:c r="U75" s="29" t="str">
        <x:f>IF(R75="","",IF(S75&gt;=1,"Bình thường",IF(N75&lt;TODAY(),"Quá hạn",IF(AND(N75-TODAY()&lt;=2,S75&lt;0.8),"Rủi ro cao",IF(AND(N75-TODAY()&lt;=5,S75&lt;0.5),"Cần theo dõi","Bình thường")))))</x:f>
      </x:c>
      <x:c r="V75" s="21"/>
    </x:row>
    <x:row r="76">
      <x:c r="A76" s="29" t="str">
        <x:f>IF(B76="","",COUNTA($B$6:B76))</x:f>
      </x:c>
      <x:c r="B76" s="21"/>
      <x:c r="C76" s="21"/>
      <x:c r="D76" s="21"/>
      <x:c r="E76" s="21"/>
      <x:c r="F76" s="21"/>
      <x:c r="G76" s="21"/>
      <x:c r="H76" s="21"/>
      <x:c r="I76" s="21"/>
      <x:c r="J76" s="21"/>
      <x:c r="K76" s="23"/>
      <x:c r="L76" s="35"/>
      <x:c r="M76" s="35"/>
      <x:c r="N76" s="35"/>
      <x:c r="O76" s="35"/>
      <x:c r="P76" s="21"/>
      <x:c r="Q76" s="21"/>
      <x:c r="R76" s="29" t="str">
        <x:f>IF(OR(B76="",C76=""),"",B76&amp;"|"&amp;C76&amp;"|"&amp;IF(D76="","00",D76)&amp;"|"&amp;IF(E76="","01",E76))</x:f>
      </x:c>
      <x:c r="S76" s="37" t="str">
        <x:f>IF(R76="","",IFERROR(SUMPRODUCT(('04_KE_HOACH_CD'!$F$6:$F$305=R76)*'04_KE_HOACH_CD'!$M$6:$M$305*'04_KE_HOACH_CD'!$S$6:$S$305)/SUMIF('04_KE_HOACH_CD'!$F$6:$F$305,R76,'04_KE_HOACH_CD'!$M$6:$M$305),0))</x:f>
      </x:c>
      <x:c r="T76" s="29" t="str">
        <x:f>IF(R76="","",IF(S76&gt;=1,"Hoàn thành",IF(COUNTIF('04_KE_HOACH_CD'!$F$6:$F$305,R76)=0,"Chưa có routing",IF(SUMIF('04_KE_HOACH_CD'!$F$6:$F$305,R76,'04_KE_HOACH_CD'!$R$6:$R$305)&gt;0,"Đang sản xuất","Chưa bắt đầu"))))</x:f>
      </x:c>
      <x:c r="U76" s="29" t="str">
        <x:f>IF(R76="","",IF(S76&gt;=1,"Bình thường",IF(N76&lt;TODAY(),"Quá hạn",IF(AND(N76-TODAY()&lt;=2,S76&lt;0.8),"Rủi ro cao",IF(AND(N76-TODAY()&lt;=5,S76&lt;0.5),"Cần theo dõi","Bình thường")))))</x:f>
      </x:c>
      <x:c r="V76" s="21"/>
    </x:row>
    <x:row r="77">
      <x:c r="A77" s="29" t="str">
        <x:f>IF(B77="","",COUNTA($B$6:B77))</x:f>
      </x:c>
      <x:c r="B77" s="21"/>
      <x:c r="C77" s="21"/>
      <x:c r="D77" s="21"/>
      <x:c r="E77" s="21"/>
      <x:c r="F77" s="21"/>
      <x:c r="G77" s="21"/>
      <x:c r="H77" s="21"/>
      <x:c r="I77" s="21"/>
      <x:c r="J77" s="21"/>
      <x:c r="K77" s="23"/>
      <x:c r="L77" s="35"/>
      <x:c r="M77" s="35"/>
      <x:c r="N77" s="35"/>
      <x:c r="O77" s="35"/>
      <x:c r="P77" s="21"/>
      <x:c r="Q77" s="21"/>
      <x:c r="R77" s="29" t="str">
        <x:f>IF(OR(B77="",C77=""),"",B77&amp;"|"&amp;C77&amp;"|"&amp;IF(D77="","00",D77)&amp;"|"&amp;IF(E77="","01",E77))</x:f>
      </x:c>
      <x:c r="S77" s="37" t="str">
        <x:f>IF(R77="","",IFERROR(SUMPRODUCT(('04_KE_HOACH_CD'!$F$6:$F$305=R77)*'04_KE_HOACH_CD'!$M$6:$M$305*'04_KE_HOACH_CD'!$S$6:$S$305)/SUMIF('04_KE_HOACH_CD'!$F$6:$F$305,R77,'04_KE_HOACH_CD'!$M$6:$M$305),0))</x:f>
      </x:c>
      <x:c r="T77" s="29" t="str">
        <x:f>IF(R77="","",IF(S77&gt;=1,"Hoàn thành",IF(COUNTIF('04_KE_HOACH_CD'!$F$6:$F$305,R77)=0,"Chưa có routing",IF(SUMIF('04_KE_HOACH_CD'!$F$6:$F$305,R77,'04_KE_HOACH_CD'!$R$6:$R$305)&gt;0,"Đang sản xuất","Chưa bắt đầu"))))</x:f>
      </x:c>
      <x:c r="U77" s="29" t="str">
        <x:f>IF(R77="","",IF(S77&gt;=1,"Bình thường",IF(N77&lt;TODAY(),"Quá hạn",IF(AND(N77-TODAY()&lt;=2,S77&lt;0.8),"Rủi ro cao",IF(AND(N77-TODAY()&lt;=5,S77&lt;0.5),"Cần theo dõi","Bình thường")))))</x:f>
      </x:c>
      <x:c r="V77" s="21"/>
    </x:row>
    <x:row r="78">
      <x:c r="A78" s="29" t="str">
        <x:f>IF(B78="","",COUNTA($B$6:B78))</x:f>
      </x:c>
      <x:c r="B78" s="21"/>
      <x:c r="C78" s="21"/>
      <x:c r="D78" s="21"/>
      <x:c r="E78" s="21"/>
      <x:c r="F78" s="21"/>
      <x:c r="G78" s="21"/>
      <x:c r="H78" s="21"/>
      <x:c r="I78" s="21"/>
      <x:c r="J78" s="21"/>
      <x:c r="K78" s="23"/>
      <x:c r="L78" s="35"/>
      <x:c r="M78" s="35"/>
      <x:c r="N78" s="35"/>
      <x:c r="O78" s="35"/>
      <x:c r="P78" s="21"/>
      <x:c r="Q78" s="21"/>
      <x:c r="R78" s="29" t="str">
        <x:f>IF(OR(B78="",C78=""),"",B78&amp;"|"&amp;C78&amp;"|"&amp;IF(D78="","00",D78)&amp;"|"&amp;IF(E78="","01",E78))</x:f>
      </x:c>
      <x:c r="S78" s="37" t="str">
        <x:f>IF(R78="","",IFERROR(SUMPRODUCT(('04_KE_HOACH_CD'!$F$6:$F$305=R78)*'04_KE_HOACH_CD'!$M$6:$M$305*'04_KE_HOACH_CD'!$S$6:$S$305)/SUMIF('04_KE_HOACH_CD'!$F$6:$F$305,R78,'04_KE_HOACH_CD'!$M$6:$M$305),0))</x:f>
      </x:c>
      <x:c r="T78" s="29" t="str">
        <x:f>IF(R78="","",IF(S78&gt;=1,"Hoàn thành",IF(COUNTIF('04_KE_HOACH_CD'!$F$6:$F$305,R78)=0,"Chưa có routing",IF(SUMIF('04_KE_HOACH_CD'!$F$6:$F$305,R78,'04_KE_HOACH_CD'!$R$6:$R$305)&gt;0,"Đang sản xuất","Chưa bắt đầu"))))</x:f>
      </x:c>
      <x:c r="U78" s="29" t="str">
        <x:f>IF(R78="","",IF(S78&gt;=1,"Bình thường",IF(N78&lt;TODAY(),"Quá hạn",IF(AND(N78-TODAY()&lt;=2,S78&lt;0.8),"Rủi ro cao",IF(AND(N78-TODAY()&lt;=5,S78&lt;0.5),"Cần theo dõi","Bình thường")))))</x:f>
      </x:c>
      <x:c r="V78" s="21"/>
    </x:row>
    <x:row r="79">
      <x:c r="A79" s="29" t="str">
        <x:f>IF(B79="","",COUNTA($B$6:B79))</x:f>
      </x:c>
      <x:c r="B79" s="21"/>
      <x:c r="C79" s="21"/>
      <x:c r="D79" s="21"/>
      <x:c r="E79" s="21"/>
      <x:c r="F79" s="21"/>
      <x:c r="G79" s="21"/>
      <x:c r="H79" s="21"/>
      <x:c r="I79" s="21"/>
      <x:c r="J79" s="21"/>
      <x:c r="K79" s="23"/>
      <x:c r="L79" s="35"/>
      <x:c r="M79" s="35"/>
      <x:c r="N79" s="35"/>
      <x:c r="O79" s="35"/>
      <x:c r="P79" s="21"/>
      <x:c r="Q79" s="21"/>
      <x:c r="R79" s="29" t="str">
        <x:f>IF(OR(B79="",C79=""),"",B79&amp;"|"&amp;C79&amp;"|"&amp;IF(D79="","00",D79)&amp;"|"&amp;IF(E79="","01",E79))</x:f>
      </x:c>
      <x:c r="S79" s="37" t="str">
        <x:f>IF(R79="","",IFERROR(SUMPRODUCT(('04_KE_HOACH_CD'!$F$6:$F$305=R79)*'04_KE_HOACH_CD'!$M$6:$M$305*'04_KE_HOACH_CD'!$S$6:$S$305)/SUMIF('04_KE_HOACH_CD'!$F$6:$F$305,R79,'04_KE_HOACH_CD'!$M$6:$M$305),0))</x:f>
      </x:c>
      <x:c r="T79" s="29" t="str">
        <x:f>IF(R79="","",IF(S79&gt;=1,"Hoàn thành",IF(COUNTIF('04_KE_HOACH_CD'!$F$6:$F$305,R79)=0,"Chưa có routing",IF(SUMIF('04_KE_HOACH_CD'!$F$6:$F$305,R79,'04_KE_HOACH_CD'!$R$6:$R$305)&gt;0,"Đang sản xuất","Chưa bắt đầu"))))</x:f>
      </x:c>
      <x:c r="U79" s="29" t="str">
        <x:f>IF(R79="","",IF(S79&gt;=1,"Bình thường",IF(N79&lt;TODAY(),"Quá hạn",IF(AND(N79-TODAY()&lt;=2,S79&lt;0.8),"Rủi ro cao",IF(AND(N79-TODAY()&lt;=5,S79&lt;0.5),"Cần theo dõi","Bình thường")))))</x:f>
      </x:c>
      <x:c r="V79" s="21"/>
    </x:row>
    <x:row r="80">
      <x:c r="A80" s="29" t="str">
        <x:f>IF(B80="","",COUNTA($B$6:B80))</x:f>
      </x:c>
      <x:c r="B80" s="21"/>
      <x:c r="C80" s="21"/>
      <x:c r="D80" s="21"/>
      <x:c r="E80" s="21"/>
      <x:c r="F80" s="21"/>
      <x:c r="G80" s="21"/>
      <x:c r="H80" s="21"/>
      <x:c r="I80" s="21"/>
      <x:c r="J80" s="21"/>
      <x:c r="K80" s="23"/>
      <x:c r="L80" s="35"/>
      <x:c r="M80" s="35"/>
      <x:c r="N80" s="35"/>
      <x:c r="O80" s="35"/>
      <x:c r="P80" s="21"/>
      <x:c r="Q80" s="21"/>
      <x:c r="R80" s="29" t="str">
        <x:f>IF(OR(B80="",C80=""),"",B80&amp;"|"&amp;C80&amp;"|"&amp;IF(D80="","00",D80)&amp;"|"&amp;IF(E80="","01",E80))</x:f>
      </x:c>
      <x:c r="S80" s="37" t="str">
        <x:f>IF(R80="","",IFERROR(SUMPRODUCT(('04_KE_HOACH_CD'!$F$6:$F$305=R80)*'04_KE_HOACH_CD'!$M$6:$M$305*'04_KE_HOACH_CD'!$S$6:$S$305)/SUMIF('04_KE_HOACH_CD'!$F$6:$F$305,R80,'04_KE_HOACH_CD'!$M$6:$M$305),0))</x:f>
      </x:c>
      <x:c r="T80" s="29" t="str">
        <x:f>IF(R80="","",IF(S80&gt;=1,"Hoàn thành",IF(COUNTIF('04_KE_HOACH_CD'!$F$6:$F$305,R80)=0,"Chưa có routing",IF(SUMIF('04_KE_HOACH_CD'!$F$6:$F$305,R80,'04_KE_HOACH_CD'!$R$6:$R$305)&gt;0,"Đang sản xuất","Chưa bắt đầu"))))</x:f>
      </x:c>
      <x:c r="U80" s="29" t="str">
        <x:f>IF(R80="","",IF(S80&gt;=1,"Bình thường",IF(N80&lt;TODAY(),"Quá hạn",IF(AND(N80-TODAY()&lt;=2,S80&lt;0.8),"Rủi ro cao",IF(AND(N80-TODAY()&lt;=5,S80&lt;0.5),"Cần theo dõi","Bình thường")))))</x:f>
      </x:c>
      <x:c r="V80" s="21"/>
    </x:row>
    <x:row r="81">
      <x:c r="A81" s="29" t="str">
        <x:f>IF(B81="","",COUNTA($B$6:B81))</x:f>
      </x:c>
      <x:c r="B81" s="21"/>
      <x:c r="C81" s="21"/>
      <x:c r="D81" s="21"/>
      <x:c r="E81" s="21"/>
      <x:c r="F81" s="21"/>
      <x:c r="G81" s="21"/>
      <x:c r="H81" s="21"/>
      <x:c r="I81" s="21"/>
      <x:c r="J81" s="21"/>
      <x:c r="K81" s="23"/>
      <x:c r="L81" s="35"/>
      <x:c r="M81" s="35"/>
      <x:c r="N81" s="35"/>
      <x:c r="O81" s="35"/>
      <x:c r="P81" s="21"/>
      <x:c r="Q81" s="21"/>
      <x:c r="R81" s="29" t="str">
        <x:f>IF(OR(B81="",C81=""),"",B81&amp;"|"&amp;C81&amp;"|"&amp;IF(D81="","00",D81)&amp;"|"&amp;IF(E81="","01",E81))</x:f>
      </x:c>
      <x:c r="S81" s="37" t="str">
        <x:f>IF(R81="","",IFERROR(SUMPRODUCT(('04_KE_HOACH_CD'!$F$6:$F$305=R81)*'04_KE_HOACH_CD'!$M$6:$M$305*'04_KE_HOACH_CD'!$S$6:$S$305)/SUMIF('04_KE_HOACH_CD'!$F$6:$F$305,R81,'04_KE_HOACH_CD'!$M$6:$M$305),0))</x:f>
      </x:c>
      <x:c r="T81" s="29" t="str">
        <x:f>IF(R81="","",IF(S81&gt;=1,"Hoàn thành",IF(COUNTIF('04_KE_HOACH_CD'!$F$6:$F$305,R81)=0,"Chưa có routing",IF(SUMIF('04_KE_HOACH_CD'!$F$6:$F$305,R81,'04_KE_HOACH_CD'!$R$6:$R$305)&gt;0,"Đang sản xuất","Chưa bắt đầu"))))</x:f>
      </x:c>
      <x:c r="U81" s="29" t="str">
        <x:f>IF(R81="","",IF(S81&gt;=1,"Bình thường",IF(N81&lt;TODAY(),"Quá hạn",IF(AND(N81-TODAY()&lt;=2,S81&lt;0.8),"Rủi ro cao",IF(AND(N81-TODAY()&lt;=5,S81&lt;0.5),"Cần theo dõi","Bình thường")))))</x:f>
      </x:c>
      <x:c r="V81" s="21"/>
    </x:row>
    <x:row r="82">
      <x:c r="A82" s="29" t="str">
        <x:f>IF(B82="","",COUNTA($B$6:B82))</x:f>
      </x:c>
      <x:c r="B82" s="21"/>
      <x:c r="C82" s="21"/>
      <x:c r="D82" s="21"/>
      <x:c r="E82" s="21"/>
      <x:c r="F82" s="21"/>
      <x:c r="G82" s="21"/>
      <x:c r="H82" s="21"/>
      <x:c r="I82" s="21"/>
      <x:c r="J82" s="21"/>
      <x:c r="K82" s="23"/>
      <x:c r="L82" s="35"/>
      <x:c r="M82" s="35"/>
      <x:c r="N82" s="35"/>
      <x:c r="O82" s="35"/>
      <x:c r="P82" s="21"/>
      <x:c r="Q82" s="21"/>
      <x:c r="R82" s="29" t="str">
        <x:f>IF(OR(B82="",C82=""),"",B82&amp;"|"&amp;C82&amp;"|"&amp;IF(D82="","00",D82)&amp;"|"&amp;IF(E82="","01",E82))</x:f>
      </x:c>
      <x:c r="S82" s="37" t="str">
        <x:f>IF(R82="","",IFERROR(SUMPRODUCT(('04_KE_HOACH_CD'!$F$6:$F$305=R82)*'04_KE_HOACH_CD'!$M$6:$M$305*'04_KE_HOACH_CD'!$S$6:$S$305)/SUMIF('04_KE_HOACH_CD'!$F$6:$F$305,R82,'04_KE_HOACH_CD'!$M$6:$M$305),0))</x:f>
      </x:c>
      <x:c r="T82" s="29" t="str">
        <x:f>IF(R82="","",IF(S82&gt;=1,"Hoàn thành",IF(COUNTIF('04_KE_HOACH_CD'!$F$6:$F$305,R82)=0,"Chưa có routing",IF(SUMIF('04_KE_HOACH_CD'!$F$6:$F$305,R82,'04_KE_HOACH_CD'!$R$6:$R$305)&gt;0,"Đang sản xuất","Chưa bắt đầu"))))</x:f>
      </x:c>
      <x:c r="U82" s="29" t="str">
        <x:f>IF(R82="","",IF(S82&gt;=1,"Bình thường",IF(N82&lt;TODAY(),"Quá hạn",IF(AND(N82-TODAY()&lt;=2,S82&lt;0.8),"Rủi ro cao",IF(AND(N82-TODAY()&lt;=5,S82&lt;0.5),"Cần theo dõi","Bình thường")))))</x:f>
      </x:c>
      <x:c r="V82" s="21"/>
    </x:row>
    <x:row r="83">
      <x:c r="A83" s="29" t="str">
        <x:f>IF(B83="","",COUNTA($B$6:B83))</x:f>
      </x:c>
      <x:c r="B83" s="21"/>
      <x:c r="C83" s="21"/>
      <x:c r="D83" s="21"/>
      <x:c r="E83" s="21"/>
      <x:c r="F83" s="21"/>
      <x:c r="G83" s="21"/>
      <x:c r="H83" s="21"/>
      <x:c r="I83" s="21"/>
      <x:c r="J83" s="21"/>
      <x:c r="K83" s="23"/>
      <x:c r="L83" s="35"/>
      <x:c r="M83" s="35"/>
      <x:c r="N83" s="35"/>
      <x:c r="O83" s="35"/>
      <x:c r="P83" s="21"/>
      <x:c r="Q83" s="21"/>
      <x:c r="R83" s="29" t="str">
        <x:f>IF(OR(B83="",C83=""),"",B83&amp;"|"&amp;C83&amp;"|"&amp;IF(D83="","00",D83)&amp;"|"&amp;IF(E83="","01",E83))</x:f>
      </x:c>
      <x:c r="S83" s="37" t="str">
        <x:f>IF(R83="","",IFERROR(SUMPRODUCT(('04_KE_HOACH_CD'!$F$6:$F$305=R83)*'04_KE_HOACH_CD'!$M$6:$M$305*'04_KE_HOACH_CD'!$S$6:$S$305)/SUMIF('04_KE_HOACH_CD'!$F$6:$F$305,R83,'04_KE_HOACH_CD'!$M$6:$M$305),0))</x:f>
      </x:c>
      <x:c r="T83" s="29" t="str">
        <x:f>IF(R83="","",IF(S83&gt;=1,"Hoàn thành",IF(COUNTIF('04_KE_HOACH_CD'!$F$6:$F$305,R83)=0,"Chưa có routing",IF(SUMIF('04_KE_HOACH_CD'!$F$6:$F$305,R83,'04_KE_HOACH_CD'!$R$6:$R$305)&gt;0,"Đang sản xuất","Chưa bắt đầu"))))</x:f>
      </x:c>
      <x:c r="U83" s="29" t="str">
        <x:f>IF(R83="","",IF(S83&gt;=1,"Bình thường",IF(N83&lt;TODAY(),"Quá hạn",IF(AND(N83-TODAY()&lt;=2,S83&lt;0.8),"Rủi ro cao",IF(AND(N83-TODAY()&lt;=5,S83&lt;0.5),"Cần theo dõi","Bình thường")))))</x:f>
      </x:c>
      <x:c r="V83" s="21"/>
    </x:row>
    <x:row r="84">
      <x:c r="A84" s="29" t="str">
        <x:f>IF(B84="","",COUNTA($B$6:B84))</x:f>
      </x:c>
      <x:c r="B84" s="21"/>
      <x:c r="C84" s="21"/>
      <x:c r="D84" s="21"/>
      <x:c r="E84" s="21"/>
      <x:c r="F84" s="21"/>
      <x:c r="G84" s="21"/>
      <x:c r="H84" s="21"/>
      <x:c r="I84" s="21"/>
      <x:c r="J84" s="21"/>
      <x:c r="K84" s="23"/>
      <x:c r="L84" s="35"/>
      <x:c r="M84" s="35"/>
      <x:c r="N84" s="35"/>
      <x:c r="O84" s="35"/>
      <x:c r="P84" s="21"/>
      <x:c r="Q84" s="21"/>
      <x:c r="R84" s="29" t="str">
        <x:f>IF(OR(B84="",C84=""),"",B84&amp;"|"&amp;C84&amp;"|"&amp;IF(D84="","00",D84)&amp;"|"&amp;IF(E84="","01",E84))</x:f>
      </x:c>
      <x:c r="S84" s="37" t="str">
        <x:f>IF(R84="","",IFERROR(SUMPRODUCT(('04_KE_HOACH_CD'!$F$6:$F$305=R84)*'04_KE_HOACH_CD'!$M$6:$M$305*'04_KE_HOACH_CD'!$S$6:$S$305)/SUMIF('04_KE_HOACH_CD'!$F$6:$F$305,R84,'04_KE_HOACH_CD'!$M$6:$M$305),0))</x:f>
      </x:c>
      <x:c r="T84" s="29" t="str">
        <x:f>IF(R84="","",IF(S84&gt;=1,"Hoàn thành",IF(COUNTIF('04_KE_HOACH_CD'!$F$6:$F$305,R84)=0,"Chưa có routing",IF(SUMIF('04_KE_HOACH_CD'!$F$6:$F$305,R84,'04_KE_HOACH_CD'!$R$6:$R$305)&gt;0,"Đang sản xuất","Chưa bắt đầu"))))</x:f>
      </x:c>
      <x:c r="U84" s="29" t="str">
        <x:f>IF(R84="","",IF(S84&gt;=1,"Bình thường",IF(N84&lt;TODAY(),"Quá hạn",IF(AND(N84-TODAY()&lt;=2,S84&lt;0.8),"Rủi ro cao",IF(AND(N84-TODAY()&lt;=5,S84&lt;0.5),"Cần theo dõi","Bình thường")))))</x:f>
      </x:c>
      <x:c r="V84" s="21"/>
    </x:row>
    <x:row r="85">
      <x:c r="A85" s="29" t="str">
        <x:f>IF(B85="","",COUNTA($B$6:B85))</x:f>
      </x:c>
      <x:c r="B85" s="21"/>
      <x:c r="C85" s="21"/>
      <x:c r="D85" s="21"/>
      <x:c r="E85" s="21"/>
      <x:c r="F85" s="21"/>
      <x:c r="G85" s="21"/>
      <x:c r="H85" s="21"/>
      <x:c r="I85" s="21"/>
      <x:c r="J85" s="21"/>
      <x:c r="K85" s="23"/>
      <x:c r="L85" s="35"/>
      <x:c r="M85" s="35"/>
      <x:c r="N85" s="35"/>
      <x:c r="O85" s="35"/>
      <x:c r="P85" s="21"/>
      <x:c r="Q85" s="21"/>
      <x:c r="R85" s="29" t="str">
        <x:f>IF(OR(B85="",C85=""),"",B85&amp;"|"&amp;C85&amp;"|"&amp;IF(D85="","00",D85)&amp;"|"&amp;IF(E85="","01",E85))</x:f>
      </x:c>
      <x:c r="S85" s="37" t="str">
        <x:f>IF(R85="","",IFERROR(SUMPRODUCT(('04_KE_HOACH_CD'!$F$6:$F$305=R85)*'04_KE_HOACH_CD'!$M$6:$M$305*'04_KE_HOACH_CD'!$S$6:$S$305)/SUMIF('04_KE_HOACH_CD'!$F$6:$F$305,R85,'04_KE_HOACH_CD'!$M$6:$M$305),0))</x:f>
      </x:c>
      <x:c r="T85" s="29" t="str">
        <x:f>IF(R85="","",IF(S85&gt;=1,"Hoàn thành",IF(COUNTIF('04_KE_HOACH_CD'!$F$6:$F$305,R85)=0,"Chưa có routing",IF(SUMIF('04_KE_HOACH_CD'!$F$6:$F$305,R85,'04_KE_HOACH_CD'!$R$6:$R$305)&gt;0,"Đang sản xuất","Chưa bắt đầu"))))</x:f>
      </x:c>
      <x:c r="U85" s="29" t="str">
        <x:f>IF(R85="","",IF(S85&gt;=1,"Bình thường",IF(N85&lt;TODAY(),"Quá hạn",IF(AND(N85-TODAY()&lt;=2,S85&lt;0.8),"Rủi ro cao",IF(AND(N85-TODAY()&lt;=5,S85&lt;0.5),"Cần theo dõi","Bình thường")))))</x:f>
      </x:c>
      <x:c r="V85" s="21"/>
    </x:row>
    <x:row r="86">
      <x:c r="A86" s="29" t="str">
        <x:f>IF(B86="","",COUNTA($B$6:B86))</x:f>
      </x:c>
      <x:c r="B86" s="21"/>
      <x:c r="C86" s="21"/>
      <x:c r="D86" s="21"/>
      <x:c r="E86" s="21"/>
      <x:c r="F86" s="21"/>
      <x:c r="G86" s="21"/>
      <x:c r="H86" s="21"/>
      <x:c r="I86" s="21"/>
      <x:c r="J86" s="21"/>
      <x:c r="K86" s="23"/>
      <x:c r="L86" s="35"/>
      <x:c r="M86" s="35"/>
      <x:c r="N86" s="35"/>
      <x:c r="O86" s="35"/>
      <x:c r="P86" s="21"/>
      <x:c r="Q86" s="21"/>
      <x:c r="R86" s="29" t="str">
        <x:f>IF(OR(B86="",C86=""),"",B86&amp;"|"&amp;C86&amp;"|"&amp;IF(D86="","00",D86)&amp;"|"&amp;IF(E86="","01",E86))</x:f>
      </x:c>
      <x:c r="S86" s="37" t="str">
        <x:f>IF(R86="","",IFERROR(SUMPRODUCT(('04_KE_HOACH_CD'!$F$6:$F$305=R86)*'04_KE_HOACH_CD'!$M$6:$M$305*'04_KE_HOACH_CD'!$S$6:$S$305)/SUMIF('04_KE_HOACH_CD'!$F$6:$F$305,R86,'04_KE_HOACH_CD'!$M$6:$M$305),0))</x:f>
      </x:c>
      <x:c r="T86" s="29" t="str">
        <x:f>IF(R86="","",IF(S86&gt;=1,"Hoàn thành",IF(COUNTIF('04_KE_HOACH_CD'!$F$6:$F$305,R86)=0,"Chưa có routing",IF(SUMIF('04_KE_HOACH_CD'!$F$6:$F$305,R86,'04_KE_HOACH_CD'!$R$6:$R$305)&gt;0,"Đang sản xuất","Chưa bắt đầu"))))</x:f>
      </x:c>
      <x:c r="U86" s="29" t="str">
        <x:f>IF(R86="","",IF(S86&gt;=1,"Bình thường",IF(N86&lt;TODAY(),"Quá hạn",IF(AND(N86-TODAY()&lt;=2,S86&lt;0.8),"Rủi ro cao",IF(AND(N86-TODAY()&lt;=5,S86&lt;0.5),"Cần theo dõi","Bình thường")))))</x:f>
      </x:c>
      <x:c r="V86" s="21"/>
    </x:row>
    <x:row r="87">
      <x:c r="A87" s="29" t="str">
        <x:f>IF(B87="","",COUNTA($B$6:B87))</x:f>
      </x:c>
      <x:c r="B87" s="21"/>
      <x:c r="C87" s="21"/>
      <x:c r="D87" s="21"/>
      <x:c r="E87" s="21"/>
      <x:c r="F87" s="21"/>
      <x:c r="G87" s="21"/>
      <x:c r="H87" s="21"/>
      <x:c r="I87" s="21"/>
      <x:c r="J87" s="21"/>
      <x:c r="K87" s="23"/>
      <x:c r="L87" s="35"/>
      <x:c r="M87" s="35"/>
      <x:c r="N87" s="35"/>
      <x:c r="O87" s="35"/>
      <x:c r="P87" s="21"/>
      <x:c r="Q87" s="21"/>
      <x:c r="R87" s="29" t="str">
        <x:f>IF(OR(B87="",C87=""),"",B87&amp;"|"&amp;C87&amp;"|"&amp;IF(D87="","00",D87)&amp;"|"&amp;IF(E87="","01",E87))</x:f>
      </x:c>
      <x:c r="S87" s="37" t="str">
        <x:f>IF(R87="","",IFERROR(SUMPRODUCT(('04_KE_HOACH_CD'!$F$6:$F$305=R87)*'04_KE_HOACH_CD'!$M$6:$M$305*'04_KE_HOACH_CD'!$S$6:$S$305)/SUMIF('04_KE_HOACH_CD'!$F$6:$F$305,R87,'04_KE_HOACH_CD'!$M$6:$M$305),0))</x:f>
      </x:c>
      <x:c r="T87" s="29" t="str">
        <x:f>IF(R87="","",IF(S87&gt;=1,"Hoàn thành",IF(COUNTIF('04_KE_HOACH_CD'!$F$6:$F$305,R87)=0,"Chưa có routing",IF(SUMIF('04_KE_HOACH_CD'!$F$6:$F$305,R87,'04_KE_HOACH_CD'!$R$6:$R$305)&gt;0,"Đang sản xuất","Chưa bắt đầu"))))</x:f>
      </x:c>
      <x:c r="U87" s="29" t="str">
        <x:f>IF(R87="","",IF(S87&gt;=1,"Bình thường",IF(N87&lt;TODAY(),"Quá hạn",IF(AND(N87-TODAY()&lt;=2,S87&lt;0.8),"Rủi ro cao",IF(AND(N87-TODAY()&lt;=5,S87&lt;0.5),"Cần theo dõi","Bình thường")))))</x:f>
      </x:c>
      <x:c r="V87" s="21"/>
    </x:row>
    <x:row r="88">
      <x:c r="A88" s="29" t="str">
        <x:f>IF(B88="","",COUNTA($B$6:B88))</x:f>
      </x:c>
      <x:c r="B88" s="21"/>
      <x:c r="C88" s="21"/>
      <x:c r="D88" s="21"/>
      <x:c r="E88" s="21"/>
      <x:c r="F88" s="21"/>
      <x:c r="G88" s="21"/>
      <x:c r="H88" s="21"/>
      <x:c r="I88" s="21"/>
      <x:c r="J88" s="21"/>
      <x:c r="K88" s="23"/>
      <x:c r="L88" s="35"/>
      <x:c r="M88" s="35"/>
      <x:c r="N88" s="35"/>
      <x:c r="O88" s="35"/>
      <x:c r="P88" s="21"/>
      <x:c r="Q88" s="21"/>
      <x:c r="R88" s="29" t="str">
        <x:f>IF(OR(B88="",C88=""),"",B88&amp;"|"&amp;C88&amp;"|"&amp;IF(D88="","00",D88)&amp;"|"&amp;IF(E88="","01",E88))</x:f>
      </x:c>
      <x:c r="S88" s="37" t="str">
        <x:f>IF(R88="","",IFERROR(SUMPRODUCT(('04_KE_HOACH_CD'!$F$6:$F$305=R88)*'04_KE_HOACH_CD'!$M$6:$M$305*'04_KE_HOACH_CD'!$S$6:$S$305)/SUMIF('04_KE_HOACH_CD'!$F$6:$F$305,R88,'04_KE_HOACH_CD'!$M$6:$M$305),0))</x:f>
      </x:c>
      <x:c r="T88" s="29" t="str">
        <x:f>IF(R88="","",IF(S88&gt;=1,"Hoàn thành",IF(COUNTIF('04_KE_HOACH_CD'!$F$6:$F$305,R88)=0,"Chưa có routing",IF(SUMIF('04_KE_HOACH_CD'!$F$6:$F$305,R88,'04_KE_HOACH_CD'!$R$6:$R$305)&gt;0,"Đang sản xuất","Chưa bắt đầu"))))</x:f>
      </x:c>
      <x:c r="U88" s="29" t="str">
        <x:f>IF(R88="","",IF(S88&gt;=1,"Bình thường",IF(N88&lt;TODAY(),"Quá hạn",IF(AND(N88-TODAY()&lt;=2,S88&lt;0.8),"Rủi ro cao",IF(AND(N88-TODAY()&lt;=5,S88&lt;0.5),"Cần theo dõi","Bình thường")))))</x:f>
      </x:c>
      <x:c r="V88" s="21"/>
    </x:row>
    <x:row r="89">
      <x:c r="A89" s="29" t="str">
        <x:f>IF(B89="","",COUNTA($B$6:B89))</x:f>
      </x:c>
      <x:c r="B89" s="21"/>
      <x:c r="C89" s="21"/>
      <x:c r="D89" s="21"/>
      <x:c r="E89" s="21"/>
      <x:c r="F89" s="21"/>
      <x:c r="G89" s="21"/>
      <x:c r="H89" s="21"/>
      <x:c r="I89" s="21"/>
      <x:c r="J89" s="21"/>
      <x:c r="K89" s="23"/>
      <x:c r="L89" s="35"/>
      <x:c r="M89" s="35"/>
      <x:c r="N89" s="35"/>
      <x:c r="O89" s="35"/>
      <x:c r="P89" s="21"/>
      <x:c r="Q89" s="21"/>
      <x:c r="R89" s="29" t="str">
        <x:f>IF(OR(B89="",C89=""),"",B89&amp;"|"&amp;C89&amp;"|"&amp;IF(D89="","00",D89)&amp;"|"&amp;IF(E89="","01",E89))</x:f>
      </x:c>
      <x:c r="S89" s="37" t="str">
        <x:f>IF(R89="","",IFERROR(SUMPRODUCT(('04_KE_HOACH_CD'!$F$6:$F$305=R89)*'04_KE_HOACH_CD'!$M$6:$M$305*'04_KE_HOACH_CD'!$S$6:$S$305)/SUMIF('04_KE_HOACH_CD'!$F$6:$F$305,R89,'04_KE_HOACH_CD'!$M$6:$M$305),0))</x:f>
      </x:c>
      <x:c r="T89" s="29" t="str">
        <x:f>IF(R89="","",IF(S89&gt;=1,"Hoàn thành",IF(COUNTIF('04_KE_HOACH_CD'!$F$6:$F$305,R89)=0,"Chưa có routing",IF(SUMIF('04_KE_HOACH_CD'!$F$6:$F$305,R89,'04_KE_HOACH_CD'!$R$6:$R$305)&gt;0,"Đang sản xuất","Chưa bắt đầu"))))</x:f>
      </x:c>
      <x:c r="U89" s="29" t="str">
        <x:f>IF(R89="","",IF(S89&gt;=1,"Bình thường",IF(N89&lt;TODAY(),"Quá hạn",IF(AND(N89-TODAY()&lt;=2,S89&lt;0.8),"Rủi ro cao",IF(AND(N89-TODAY()&lt;=5,S89&lt;0.5),"Cần theo dõi","Bình thường")))))</x:f>
      </x:c>
      <x:c r="V89" s="21"/>
    </x:row>
    <x:row r="90">
      <x:c r="A90" s="29" t="str">
        <x:f>IF(B90="","",COUNTA($B$6:B90))</x:f>
      </x:c>
      <x:c r="B90" s="21"/>
      <x:c r="C90" s="21"/>
      <x:c r="D90" s="21"/>
      <x:c r="E90" s="21"/>
      <x:c r="F90" s="21"/>
      <x:c r="G90" s="21"/>
      <x:c r="H90" s="21"/>
      <x:c r="I90" s="21"/>
      <x:c r="J90" s="21"/>
      <x:c r="K90" s="23"/>
      <x:c r="L90" s="35"/>
      <x:c r="M90" s="35"/>
      <x:c r="N90" s="35"/>
      <x:c r="O90" s="35"/>
      <x:c r="P90" s="21"/>
      <x:c r="Q90" s="21"/>
      <x:c r="R90" s="29" t="str">
        <x:f>IF(OR(B90="",C90=""),"",B90&amp;"|"&amp;C90&amp;"|"&amp;IF(D90="","00",D90)&amp;"|"&amp;IF(E90="","01",E90))</x:f>
      </x:c>
      <x:c r="S90" s="37" t="str">
        <x:f>IF(R90="","",IFERROR(SUMPRODUCT(('04_KE_HOACH_CD'!$F$6:$F$305=R90)*'04_KE_HOACH_CD'!$M$6:$M$305*'04_KE_HOACH_CD'!$S$6:$S$305)/SUMIF('04_KE_HOACH_CD'!$F$6:$F$305,R90,'04_KE_HOACH_CD'!$M$6:$M$305),0))</x:f>
      </x:c>
      <x:c r="T90" s="29" t="str">
        <x:f>IF(R90="","",IF(S90&gt;=1,"Hoàn thành",IF(COUNTIF('04_KE_HOACH_CD'!$F$6:$F$305,R90)=0,"Chưa có routing",IF(SUMIF('04_KE_HOACH_CD'!$F$6:$F$305,R90,'04_KE_HOACH_CD'!$R$6:$R$305)&gt;0,"Đang sản xuất","Chưa bắt đầu"))))</x:f>
      </x:c>
      <x:c r="U90" s="29" t="str">
        <x:f>IF(R90="","",IF(S90&gt;=1,"Bình thường",IF(N90&lt;TODAY(),"Quá hạn",IF(AND(N90-TODAY()&lt;=2,S90&lt;0.8),"Rủi ro cao",IF(AND(N90-TODAY()&lt;=5,S90&lt;0.5),"Cần theo dõi","Bình thường")))))</x:f>
      </x:c>
      <x:c r="V90" s="21"/>
    </x:row>
    <x:row r="91">
      <x:c r="A91" s="29" t="str">
        <x:f>IF(B91="","",COUNTA($B$6:B91))</x:f>
      </x:c>
      <x:c r="B91" s="21"/>
      <x:c r="C91" s="21"/>
      <x:c r="D91" s="21"/>
      <x:c r="E91" s="21"/>
      <x:c r="F91" s="21"/>
      <x:c r="G91" s="21"/>
      <x:c r="H91" s="21"/>
      <x:c r="I91" s="21"/>
      <x:c r="J91" s="21"/>
      <x:c r="K91" s="23"/>
      <x:c r="L91" s="35"/>
      <x:c r="M91" s="35"/>
      <x:c r="N91" s="35"/>
      <x:c r="O91" s="35"/>
      <x:c r="P91" s="21"/>
      <x:c r="Q91" s="21"/>
      <x:c r="R91" s="29" t="str">
        <x:f>IF(OR(B91="",C91=""),"",B91&amp;"|"&amp;C91&amp;"|"&amp;IF(D91="","00",D91)&amp;"|"&amp;IF(E91="","01",E91))</x:f>
      </x:c>
      <x:c r="S91" s="37" t="str">
        <x:f>IF(R91="","",IFERROR(SUMPRODUCT(('04_KE_HOACH_CD'!$F$6:$F$305=R91)*'04_KE_HOACH_CD'!$M$6:$M$305*'04_KE_HOACH_CD'!$S$6:$S$305)/SUMIF('04_KE_HOACH_CD'!$F$6:$F$305,R91,'04_KE_HOACH_CD'!$M$6:$M$305),0))</x:f>
      </x:c>
      <x:c r="T91" s="29" t="str">
        <x:f>IF(R91="","",IF(S91&gt;=1,"Hoàn thành",IF(COUNTIF('04_KE_HOACH_CD'!$F$6:$F$305,R91)=0,"Chưa có routing",IF(SUMIF('04_KE_HOACH_CD'!$F$6:$F$305,R91,'04_KE_HOACH_CD'!$R$6:$R$305)&gt;0,"Đang sản xuất","Chưa bắt đầu"))))</x:f>
      </x:c>
      <x:c r="U91" s="29" t="str">
        <x:f>IF(R91="","",IF(S91&gt;=1,"Bình thường",IF(N91&lt;TODAY(),"Quá hạn",IF(AND(N91-TODAY()&lt;=2,S91&lt;0.8),"Rủi ro cao",IF(AND(N91-TODAY()&lt;=5,S91&lt;0.5),"Cần theo dõi","Bình thường")))))</x:f>
      </x:c>
      <x:c r="V91" s="21"/>
    </x:row>
    <x:row r="92">
      <x:c r="A92" s="29" t="str">
        <x:f>IF(B92="","",COUNTA($B$6:B92))</x:f>
      </x:c>
      <x:c r="B92" s="21"/>
      <x:c r="C92" s="21"/>
      <x:c r="D92" s="21"/>
      <x:c r="E92" s="21"/>
      <x:c r="F92" s="21"/>
      <x:c r="G92" s="21"/>
      <x:c r="H92" s="21"/>
      <x:c r="I92" s="21"/>
      <x:c r="J92" s="21"/>
      <x:c r="K92" s="23"/>
      <x:c r="L92" s="35"/>
      <x:c r="M92" s="35"/>
      <x:c r="N92" s="35"/>
      <x:c r="O92" s="35"/>
      <x:c r="P92" s="21"/>
      <x:c r="Q92" s="21"/>
      <x:c r="R92" s="29" t="str">
        <x:f>IF(OR(B92="",C92=""),"",B92&amp;"|"&amp;C92&amp;"|"&amp;IF(D92="","00",D92)&amp;"|"&amp;IF(E92="","01",E92))</x:f>
      </x:c>
      <x:c r="S92" s="37" t="str">
        <x:f>IF(R92="","",IFERROR(SUMPRODUCT(('04_KE_HOACH_CD'!$F$6:$F$305=R92)*'04_KE_HOACH_CD'!$M$6:$M$305*'04_KE_HOACH_CD'!$S$6:$S$305)/SUMIF('04_KE_HOACH_CD'!$F$6:$F$305,R92,'04_KE_HOACH_CD'!$M$6:$M$305),0))</x:f>
      </x:c>
      <x:c r="T92" s="29" t="str">
        <x:f>IF(R92="","",IF(S92&gt;=1,"Hoàn thành",IF(COUNTIF('04_KE_HOACH_CD'!$F$6:$F$305,R92)=0,"Chưa có routing",IF(SUMIF('04_KE_HOACH_CD'!$F$6:$F$305,R92,'04_KE_HOACH_CD'!$R$6:$R$305)&gt;0,"Đang sản xuất","Chưa bắt đầu"))))</x:f>
      </x:c>
      <x:c r="U92" s="29" t="str">
        <x:f>IF(R92="","",IF(S92&gt;=1,"Bình thường",IF(N92&lt;TODAY(),"Quá hạn",IF(AND(N92-TODAY()&lt;=2,S92&lt;0.8),"Rủi ro cao",IF(AND(N92-TODAY()&lt;=5,S92&lt;0.5),"Cần theo dõi","Bình thường")))))</x:f>
      </x:c>
      <x:c r="V92" s="21"/>
    </x:row>
    <x:row r="93">
      <x:c r="A93" s="29" t="str">
        <x:f>IF(B93="","",COUNTA($B$6:B93))</x:f>
      </x:c>
      <x:c r="B93" s="21"/>
      <x:c r="C93" s="21"/>
      <x:c r="D93" s="21"/>
      <x:c r="E93" s="21"/>
      <x:c r="F93" s="21"/>
      <x:c r="G93" s="21"/>
      <x:c r="H93" s="21"/>
      <x:c r="I93" s="21"/>
      <x:c r="J93" s="21"/>
      <x:c r="K93" s="23"/>
      <x:c r="L93" s="35"/>
      <x:c r="M93" s="35"/>
      <x:c r="N93" s="35"/>
      <x:c r="O93" s="35"/>
      <x:c r="P93" s="21"/>
      <x:c r="Q93" s="21"/>
      <x:c r="R93" s="29" t="str">
        <x:f>IF(OR(B93="",C93=""),"",B93&amp;"|"&amp;C93&amp;"|"&amp;IF(D93="","00",D93)&amp;"|"&amp;IF(E93="","01",E93))</x:f>
      </x:c>
      <x:c r="S93" s="37" t="str">
        <x:f>IF(R93="","",IFERROR(SUMPRODUCT(('04_KE_HOACH_CD'!$F$6:$F$305=R93)*'04_KE_HOACH_CD'!$M$6:$M$305*'04_KE_HOACH_CD'!$S$6:$S$305)/SUMIF('04_KE_HOACH_CD'!$F$6:$F$305,R93,'04_KE_HOACH_CD'!$M$6:$M$305),0))</x:f>
      </x:c>
      <x:c r="T93" s="29" t="str">
        <x:f>IF(R93="","",IF(S93&gt;=1,"Hoàn thành",IF(COUNTIF('04_KE_HOACH_CD'!$F$6:$F$305,R93)=0,"Chưa có routing",IF(SUMIF('04_KE_HOACH_CD'!$F$6:$F$305,R93,'04_KE_HOACH_CD'!$R$6:$R$305)&gt;0,"Đang sản xuất","Chưa bắt đầu"))))</x:f>
      </x:c>
      <x:c r="U93" s="29" t="str">
        <x:f>IF(R93="","",IF(S93&gt;=1,"Bình thường",IF(N93&lt;TODAY(),"Quá hạn",IF(AND(N93-TODAY()&lt;=2,S93&lt;0.8),"Rủi ro cao",IF(AND(N93-TODAY()&lt;=5,S93&lt;0.5),"Cần theo dõi","Bình thường")))))</x:f>
      </x:c>
      <x:c r="V93" s="21"/>
    </x:row>
    <x:row r="94">
      <x:c r="A94" s="29" t="str">
        <x:f>IF(B94="","",COUNTA($B$6:B94))</x:f>
      </x:c>
      <x:c r="B94" s="21"/>
      <x:c r="C94" s="21"/>
      <x:c r="D94" s="21"/>
      <x:c r="E94" s="21"/>
      <x:c r="F94" s="21"/>
      <x:c r="G94" s="21"/>
      <x:c r="H94" s="21"/>
      <x:c r="I94" s="21"/>
      <x:c r="J94" s="21"/>
      <x:c r="K94" s="23"/>
      <x:c r="L94" s="35"/>
      <x:c r="M94" s="35"/>
      <x:c r="N94" s="35"/>
      <x:c r="O94" s="35"/>
      <x:c r="P94" s="21"/>
      <x:c r="Q94" s="21"/>
      <x:c r="R94" s="29" t="str">
        <x:f>IF(OR(B94="",C94=""),"",B94&amp;"|"&amp;C94&amp;"|"&amp;IF(D94="","00",D94)&amp;"|"&amp;IF(E94="","01",E94))</x:f>
      </x:c>
      <x:c r="S94" s="37" t="str">
        <x:f>IF(R94="","",IFERROR(SUMPRODUCT(('04_KE_HOACH_CD'!$F$6:$F$305=R94)*'04_KE_HOACH_CD'!$M$6:$M$305*'04_KE_HOACH_CD'!$S$6:$S$305)/SUMIF('04_KE_HOACH_CD'!$F$6:$F$305,R94,'04_KE_HOACH_CD'!$M$6:$M$305),0))</x:f>
      </x:c>
      <x:c r="T94" s="29" t="str">
        <x:f>IF(R94="","",IF(S94&gt;=1,"Hoàn thành",IF(COUNTIF('04_KE_HOACH_CD'!$F$6:$F$305,R94)=0,"Chưa có routing",IF(SUMIF('04_KE_HOACH_CD'!$F$6:$F$305,R94,'04_KE_HOACH_CD'!$R$6:$R$305)&gt;0,"Đang sản xuất","Chưa bắt đầu"))))</x:f>
      </x:c>
      <x:c r="U94" s="29" t="str">
        <x:f>IF(R94="","",IF(S94&gt;=1,"Bình thường",IF(N94&lt;TODAY(),"Quá hạn",IF(AND(N94-TODAY()&lt;=2,S94&lt;0.8),"Rủi ro cao",IF(AND(N94-TODAY()&lt;=5,S94&lt;0.5),"Cần theo dõi","Bình thường")))))</x:f>
      </x:c>
      <x:c r="V94" s="21"/>
    </x:row>
    <x:row r="95">
      <x:c r="A95" s="29" t="str">
        <x:f>IF(B95="","",COUNTA($B$6:B95))</x:f>
      </x:c>
      <x:c r="B95" s="21"/>
      <x:c r="C95" s="21"/>
      <x:c r="D95" s="21"/>
      <x:c r="E95" s="21"/>
      <x:c r="F95" s="21"/>
      <x:c r="G95" s="21"/>
      <x:c r="H95" s="21"/>
      <x:c r="I95" s="21"/>
      <x:c r="J95" s="21"/>
      <x:c r="K95" s="23"/>
      <x:c r="L95" s="35"/>
      <x:c r="M95" s="35"/>
      <x:c r="N95" s="35"/>
      <x:c r="O95" s="35"/>
      <x:c r="P95" s="21"/>
      <x:c r="Q95" s="21"/>
      <x:c r="R95" s="29" t="str">
        <x:f>IF(OR(B95="",C95=""),"",B95&amp;"|"&amp;C95&amp;"|"&amp;IF(D95="","00",D95)&amp;"|"&amp;IF(E95="","01",E95))</x:f>
      </x:c>
      <x:c r="S95" s="37" t="str">
        <x:f>IF(R95="","",IFERROR(SUMPRODUCT(('04_KE_HOACH_CD'!$F$6:$F$305=R95)*'04_KE_HOACH_CD'!$M$6:$M$305*'04_KE_HOACH_CD'!$S$6:$S$305)/SUMIF('04_KE_HOACH_CD'!$F$6:$F$305,R95,'04_KE_HOACH_CD'!$M$6:$M$305),0))</x:f>
      </x:c>
      <x:c r="T95" s="29" t="str">
        <x:f>IF(R95="","",IF(S95&gt;=1,"Hoàn thành",IF(COUNTIF('04_KE_HOACH_CD'!$F$6:$F$305,R95)=0,"Chưa có routing",IF(SUMIF('04_KE_HOACH_CD'!$F$6:$F$305,R95,'04_KE_HOACH_CD'!$R$6:$R$305)&gt;0,"Đang sản xuất","Chưa bắt đầu"))))</x:f>
      </x:c>
      <x:c r="U95" s="29" t="str">
        <x:f>IF(R95="","",IF(S95&gt;=1,"Bình thường",IF(N95&lt;TODAY(),"Quá hạn",IF(AND(N95-TODAY()&lt;=2,S95&lt;0.8),"Rủi ro cao",IF(AND(N95-TODAY()&lt;=5,S95&lt;0.5),"Cần theo dõi","Bình thường")))))</x:f>
      </x:c>
      <x:c r="V95" s="21"/>
    </x:row>
    <x:row r="96">
      <x:c r="A96" s="29" t="str">
        <x:f>IF(B96="","",COUNTA($B$6:B96))</x:f>
      </x:c>
      <x:c r="B96" s="21"/>
      <x:c r="C96" s="21"/>
      <x:c r="D96" s="21"/>
      <x:c r="E96" s="21"/>
      <x:c r="F96" s="21"/>
      <x:c r="G96" s="21"/>
      <x:c r="H96" s="21"/>
      <x:c r="I96" s="21"/>
      <x:c r="J96" s="21"/>
      <x:c r="K96" s="23"/>
      <x:c r="L96" s="35"/>
      <x:c r="M96" s="35"/>
      <x:c r="N96" s="35"/>
      <x:c r="O96" s="35"/>
      <x:c r="P96" s="21"/>
      <x:c r="Q96" s="21"/>
      <x:c r="R96" s="29" t="str">
        <x:f>IF(OR(B96="",C96=""),"",B96&amp;"|"&amp;C96&amp;"|"&amp;IF(D96="","00",D96)&amp;"|"&amp;IF(E96="","01",E96))</x:f>
      </x:c>
      <x:c r="S96" s="37" t="str">
        <x:f>IF(R96="","",IFERROR(SUMPRODUCT(('04_KE_HOACH_CD'!$F$6:$F$305=R96)*'04_KE_HOACH_CD'!$M$6:$M$305*'04_KE_HOACH_CD'!$S$6:$S$305)/SUMIF('04_KE_HOACH_CD'!$F$6:$F$305,R96,'04_KE_HOACH_CD'!$M$6:$M$305),0))</x:f>
      </x:c>
      <x:c r="T96" s="29" t="str">
        <x:f>IF(R96="","",IF(S96&gt;=1,"Hoàn thành",IF(COUNTIF('04_KE_HOACH_CD'!$F$6:$F$305,R96)=0,"Chưa có routing",IF(SUMIF('04_KE_HOACH_CD'!$F$6:$F$305,R96,'04_KE_HOACH_CD'!$R$6:$R$305)&gt;0,"Đang sản xuất","Chưa bắt đầu"))))</x:f>
      </x:c>
      <x:c r="U96" s="29" t="str">
        <x:f>IF(R96="","",IF(S96&gt;=1,"Bình thường",IF(N96&lt;TODAY(),"Quá hạn",IF(AND(N96-TODAY()&lt;=2,S96&lt;0.8),"Rủi ro cao",IF(AND(N96-TODAY()&lt;=5,S96&lt;0.5),"Cần theo dõi","Bình thường")))))</x:f>
      </x:c>
      <x:c r="V96" s="21"/>
    </x:row>
    <x:row r="97">
      <x:c r="A97" s="29" t="str">
        <x:f>IF(B97="","",COUNTA($B$6:B97))</x:f>
      </x:c>
      <x:c r="B97" s="21"/>
      <x:c r="C97" s="21"/>
      <x:c r="D97" s="21"/>
      <x:c r="E97" s="21"/>
      <x:c r="F97" s="21"/>
      <x:c r="G97" s="21"/>
      <x:c r="H97" s="21"/>
      <x:c r="I97" s="21"/>
      <x:c r="J97" s="21"/>
      <x:c r="K97" s="23"/>
      <x:c r="L97" s="35"/>
      <x:c r="M97" s="35"/>
      <x:c r="N97" s="35"/>
      <x:c r="O97" s="35"/>
      <x:c r="P97" s="21"/>
      <x:c r="Q97" s="21"/>
      <x:c r="R97" s="29" t="str">
        <x:f>IF(OR(B97="",C97=""),"",B97&amp;"|"&amp;C97&amp;"|"&amp;IF(D97="","00",D97)&amp;"|"&amp;IF(E97="","01",E97))</x:f>
      </x:c>
      <x:c r="S97" s="37" t="str">
        <x:f>IF(R97="","",IFERROR(SUMPRODUCT(('04_KE_HOACH_CD'!$F$6:$F$305=R97)*'04_KE_HOACH_CD'!$M$6:$M$305*'04_KE_HOACH_CD'!$S$6:$S$305)/SUMIF('04_KE_HOACH_CD'!$F$6:$F$305,R97,'04_KE_HOACH_CD'!$M$6:$M$305),0))</x:f>
      </x:c>
      <x:c r="T97" s="29" t="str">
        <x:f>IF(R97="","",IF(S97&gt;=1,"Hoàn thành",IF(COUNTIF('04_KE_HOACH_CD'!$F$6:$F$305,R97)=0,"Chưa có routing",IF(SUMIF('04_KE_HOACH_CD'!$F$6:$F$305,R97,'04_KE_HOACH_CD'!$R$6:$R$305)&gt;0,"Đang sản xuất","Chưa bắt đầu"))))</x:f>
      </x:c>
      <x:c r="U97" s="29" t="str">
        <x:f>IF(R97="","",IF(S97&gt;=1,"Bình thường",IF(N97&lt;TODAY(),"Quá hạn",IF(AND(N97-TODAY()&lt;=2,S97&lt;0.8),"Rủi ro cao",IF(AND(N97-TODAY()&lt;=5,S97&lt;0.5),"Cần theo dõi","Bình thường")))))</x:f>
      </x:c>
      <x:c r="V97" s="21"/>
    </x:row>
    <x:row r="98">
      <x:c r="A98" s="29" t="str">
        <x:f>IF(B98="","",COUNTA($B$6:B98))</x:f>
      </x:c>
      <x:c r="B98" s="21"/>
      <x:c r="C98" s="21"/>
      <x:c r="D98" s="21"/>
      <x:c r="E98" s="21"/>
      <x:c r="F98" s="21"/>
      <x:c r="G98" s="21"/>
      <x:c r="H98" s="21"/>
      <x:c r="I98" s="21"/>
      <x:c r="J98" s="21"/>
      <x:c r="K98" s="23"/>
      <x:c r="L98" s="35"/>
      <x:c r="M98" s="35"/>
      <x:c r="N98" s="35"/>
      <x:c r="O98" s="35"/>
      <x:c r="P98" s="21"/>
      <x:c r="Q98" s="21"/>
      <x:c r="R98" s="29" t="str">
        <x:f>IF(OR(B98="",C98=""),"",B98&amp;"|"&amp;C98&amp;"|"&amp;IF(D98="","00",D98)&amp;"|"&amp;IF(E98="","01",E98))</x:f>
      </x:c>
      <x:c r="S98" s="37" t="str">
        <x:f>IF(R98="","",IFERROR(SUMPRODUCT(('04_KE_HOACH_CD'!$F$6:$F$305=R98)*'04_KE_HOACH_CD'!$M$6:$M$305*'04_KE_HOACH_CD'!$S$6:$S$305)/SUMIF('04_KE_HOACH_CD'!$F$6:$F$305,R98,'04_KE_HOACH_CD'!$M$6:$M$305),0))</x:f>
      </x:c>
      <x:c r="T98" s="29" t="str">
        <x:f>IF(R98="","",IF(S98&gt;=1,"Hoàn thành",IF(COUNTIF('04_KE_HOACH_CD'!$F$6:$F$305,R98)=0,"Chưa có routing",IF(SUMIF('04_KE_HOACH_CD'!$F$6:$F$305,R98,'04_KE_HOACH_CD'!$R$6:$R$305)&gt;0,"Đang sản xuất","Chưa bắt đầu"))))</x:f>
      </x:c>
      <x:c r="U98" s="29" t="str">
        <x:f>IF(R98="","",IF(S98&gt;=1,"Bình thường",IF(N98&lt;TODAY(),"Quá hạn",IF(AND(N98-TODAY()&lt;=2,S98&lt;0.8),"Rủi ro cao",IF(AND(N98-TODAY()&lt;=5,S98&lt;0.5),"Cần theo dõi","Bình thường")))))</x:f>
      </x:c>
      <x:c r="V98" s="21"/>
    </x:row>
    <x:row r="99">
      <x:c r="A99" s="29" t="str">
        <x:f>IF(B99="","",COUNTA($B$6:B99))</x:f>
      </x:c>
      <x:c r="B99" s="21"/>
      <x:c r="C99" s="21"/>
      <x:c r="D99" s="21"/>
      <x:c r="E99" s="21"/>
      <x:c r="F99" s="21"/>
      <x:c r="G99" s="21"/>
      <x:c r="H99" s="21"/>
      <x:c r="I99" s="21"/>
      <x:c r="J99" s="21"/>
      <x:c r="K99" s="23"/>
      <x:c r="L99" s="35"/>
      <x:c r="M99" s="35"/>
      <x:c r="N99" s="35"/>
      <x:c r="O99" s="35"/>
      <x:c r="P99" s="21"/>
      <x:c r="Q99" s="21"/>
      <x:c r="R99" s="29" t="str">
        <x:f>IF(OR(B99="",C99=""),"",B99&amp;"|"&amp;C99&amp;"|"&amp;IF(D99="","00",D99)&amp;"|"&amp;IF(E99="","01",E99))</x:f>
      </x:c>
      <x:c r="S99" s="37" t="str">
        <x:f>IF(R99="","",IFERROR(SUMPRODUCT(('04_KE_HOACH_CD'!$F$6:$F$305=R99)*'04_KE_HOACH_CD'!$M$6:$M$305*'04_KE_HOACH_CD'!$S$6:$S$305)/SUMIF('04_KE_HOACH_CD'!$F$6:$F$305,R99,'04_KE_HOACH_CD'!$M$6:$M$305),0))</x:f>
      </x:c>
      <x:c r="T99" s="29" t="str">
        <x:f>IF(R99="","",IF(S99&gt;=1,"Hoàn thành",IF(COUNTIF('04_KE_HOACH_CD'!$F$6:$F$305,R99)=0,"Chưa có routing",IF(SUMIF('04_KE_HOACH_CD'!$F$6:$F$305,R99,'04_KE_HOACH_CD'!$R$6:$R$305)&gt;0,"Đang sản xuất","Chưa bắt đầu"))))</x:f>
      </x:c>
      <x:c r="U99" s="29" t="str">
        <x:f>IF(R99="","",IF(S99&gt;=1,"Bình thường",IF(N99&lt;TODAY(),"Quá hạn",IF(AND(N99-TODAY()&lt;=2,S99&lt;0.8),"Rủi ro cao",IF(AND(N99-TODAY()&lt;=5,S99&lt;0.5),"Cần theo dõi","Bình thường")))))</x:f>
      </x:c>
      <x:c r="V99" s="21"/>
    </x:row>
    <x:row r="100">
      <x:c r="A100" s="29" t="str">
        <x:f>IF(B100="","",COUNTA($B$6:B100))</x:f>
      </x:c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3"/>
      <x:c r="L100" s="35"/>
      <x:c r="M100" s="35"/>
      <x:c r="N100" s="35"/>
      <x:c r="O100" s="35"/>
      <x:c r="P100" s="21"/>
      <x:c r="Q100" s="21"/>
      <x:c r="R100" s="29" t="str">
        <x:f>IF(OR(B100="",C100=""),"",B100&amp;"|"&amp;C100&amp;"|"&amp;IF(D100="","00",D100)&amp;"|"&amp;IF(E100="","01",E100))</x:f>
      </x:c>
      <x:c r="S100" s="37" t="str">
        <x:f>IF(R100="","",IFERROR(SUMPRODUCT(('04_KE_HOACH_CD'!$F$6:$F$305=R100)*'04_KE_HOACH_CD'!$M$6:$M$305*'04_KE_HOACH_CD'!$S$6:$S$305)/SUMIF('04_KE_HOACH_CD'!$F$6:$F$305,R100,'04_KE_HOACH_CD'!$M$6:$M$305),0))</x:f>
      </x:c>
      <x:c r="T100" s="29" t="str">
        <x:f>IF(R100="","",IF(S100&gt;=1,"Hoàn thành",IF(COUNTIF('04_KE_HOACH_CD'!$F$6:$F$305,R100)=0,"Chưa có routing",IF(SUMIF('04_KE_HOACH_CD'!$F$6:$F$305,R100,'04_KE_HOACH_CD'!$R$6:$R$305)&gt;0,"Đang sản xuất","Chưa bắt đầu"))))</x:f>
      </x:c>
      <x:c r="U100" s="29" t="str">
        <x:f>IF(R100="","",IF(S100&gt;=1,"Bình thường",IF(N100&lt;TODAY(),"Quá hạn",IF(AND(N100-TODAY()&lt;=2,S100&lt;0.8),"Rủi ro cao",IF(AND(N100-TODAY()&lt;=5,S100&lt;0.5),"Cần theo dõi","Bình thường")))))</x:f>
      </x:c>
      <x:c r="V100" s="21"/>
    </x:row>
    <x:row r="101">
      <x:c r="A101" s="29" t="str">
        <x:f>IF(B101="","",COUNTA($B$6:B101))</x:f>
      </x:c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3"/>
      <x:c r="L101" s="35"/>
      <x:c r="M101" s="35"/>
      <x:c r="N101" s="35"/>
      <x:c r="O101" s="35"/>
      <x:c r="P101" s="21"/>
      <x:c r="Q101" s="21"/>
      <x:c r="R101" s="29" t="str">
        <x:f>IF(OR(B101="",C101=""),"",B101&amp;"|"&amp;C101&amp;"|"&amp;IF(D101="","00",D101)&amp;"|"&amp;IF(E101="","01",E101))</x:f>
      </x:c>
      <x:c r="S101" s="37" t="str">
        <x:f>IF(R101="","",IFERROR(SUMPRODUCT(('04_KE_HOACH_CD'!$F$6:$F$305=R101)*'04_KE_HOACH_CD'!$M$6:$M$305*'04_KE_HOACH_CD'!$S$6:$S$305)/SUMIF('04_KE_HOACH_CD'!$F$6:$F$305,R101,'04_KE_HOACH_CD'!$M$6:$M$305),0))</x:f>
      </x:c>
      <x:c r="T101" s="29" t="str">
        <x:f>IF(R101="","",IF(S101&gt;=1,"Hoàn thành",IF(COUNTIF('04_KE_HOACH_CD'!$F$6:$F$305,R101)=0,"Chưa có routing",IF(SUMIF('04_KE_HOACH_CD'!$F$6:$F$305,R101,'04_KE_HOACH_CD'!$R$6:$R$305)&gt;0,"Đang sản xuất","Chưa bắt đầu"))))</x:f>
      </x:c>
      <x:c r="U101" s="29" t="str">
        <x:f>IF(R101="","",IF(S101&gt;=1,"Bình thường",IF(N101&lt;TODAY(),"Quá hạn",IF(AND(N101-TODAY()&lt;=2,S101&lt;0.8),"Rủi ro cao",IF(AND(N101-TODAY()&lt;=5,S101&lt;0.5),"Cần theo dõi","Bình thường")))))</x:f>
      </x:c>
      <x:c r="V101" s="21"/>
    </x:row>
    <x:row r="102">
      <x:c r="A102" s="29" t="str">
        <x:f>IF(B102="","",COUNTA($B$6:B102))</x:f>
      </x:c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3"/>
      <x:c r="L102" s="35"/>
      <x:c r="M102" s="35"/>
      <x:c r="N102" s="35"/>
      <x:c r="O102" s="35"/>
      <x:c r="P102" s="21"/>
      <x:c r="Q102" s="21"/>
      <x:c r="R102" s="29" t="str">
        <x:f>IF(OR(B102="",C102=""),"",B102&amp;"|"&amp;C102&amp;"|"&amp;IF(D102="","00",D102)&amp;"|"&amp;IF(E102="","01",E102))</x:f>
      </x:c>
      <x:c r="S102" s="37" t="str">
        <x:f>IF(R102="","",IFERROR(SUMPRODUCT(('04_KE_HOACH_CD'!$F$6:$F$305=R102)*'04_KE_HOACH_CD'!$M$6:$M$305*'04_KE_HOACH_CD'!$S$6:$S$305)/SUMIF('04_KE_HOACH_CD'!$F$6:$F$305,R102,'04_KE_HOACH_CD'!$M$6:$M$305),0))</x:f>
      </x:c>
      <x:c r="T102" s="29" t="str">
        <x:f>IF(R102="","",IF(S102&gt;=1,"Hoàn thành",IF(COUNTIF('04_KE_HOACH_CD'!$F$6:$F$305,R102)=0,"Chưa có routing",IF(SUMIF('04_KE_HOACH_CD'!$F$6:$F$305,R102,'04_KE_HOACH_CD'!$R$6:$R$305)&gt;0,"Đang sản xuất","Chưa bắt đầu"))))</x:f>
      </x:c>
      <x:c r="U102" s="29" t="str">
        <x:f>IF(R102="","",IF(S102&gt;=1,"Bình thường",IF(N102&lt;TODAY(),"Quá hạn",IF(AND(N102-TODAY()&lt;=2,S102&lt;0.8),"Rủi ro cao",IF(AND(N102-TODAY()&lt;=5,S102&lt;0.5),"Cần theo dõi","Bình thường")))))</x:f>
      </x:c>
      <x:c r="V102" s="21"/>
    </x:row>
    <x:row r="103">
      <x:c r="A103" s="29" t="str">
        <x:f>IF(B103="","",COUNTA($B$6:B103))</x:f>
      </x:c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3"/>
      <x:c r="L103" s="35"/>
      <x:c r="M103" s="35"/>
      <x:c r="N103" s="35"/>
      <x:c r="O103" s="35"/>
      <x:c r="P103" s="21"/>
      <x:c r="Q103" s="21"/>
      <x:c r="R103" s="29" t="str">
        <x:f>IF(OR(B103="",C103=""),"",B103&amp;"|"&amp;C103&amp;"|"&amp;IF(D103="","00",D103)&amp;"|"&amp;IF(E103="","01",E103))</x:f>
      </x:c>
      <x:c r="S103" s="37" t="str">
        <x:f>IF(R103="","",IFERROR(SUMPRODUCT(('04_KE_HOACH_CD'!$F$6:$F$305=R103)*'04_KE_HOACH_CD'!$M$6:$M$305*'04_KE_HOACH_CD'!$S$6:$S$305)/SUMIF('04_KE_HOACH_CD'!$F$6:$F$305,R103,'04_KE_HOACH_CD'!$M$6:$M$305),0))</x:f>
      </x:c>
      <x:c r="T103" s="29" t="str">
        <x:f>IF(R103="","",IF(S103&gt;=1,"Hoàn thành",IF(COUNTIF('04_KE_HOACH_CD'!$F$6:$F$305,R103)=0,"Chưa có routing",IF(SUMIF('04_KE_HOACH_CD'!$F$6:$F$305,R103,'04_KE_HOACH_CD'!$R$6:$R$305)&gt;0,"Đang sản xuất","Chưa bắt đầu"))))</x:f>
      </x:c>
      <x:c r="U103" s="29" t="str">
        <x:f>IF(R103="","",IF(S103&gt;=1,"Bình thường",IF(N103&lt;TODAY(),"Quá hạn",IF(AND(N103-TODAY()&lt;=2,S103&lt;0.8),"Rủi ro cao",IF(AND(N103-TODAY()&lt;=5,S103&lt;0.5),"Cần theo dõi","Bình thường")))))</x:f>
      </x:c>
      <x:c r="V103" s="21"/>
    </x:row>
    <x:row r="104">
      <x:c r="A104" s="29" t="str">
        <x:f>IF(B104="","",COUNTA($B$6:B104))</x:f>
      </x:c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3"/>
      <x:c r="L104" s="35"/>
      <x:c r="M104" s="35"/>
      <x:c r="N104" s="35"/>
      <x:c r="O104" s="35"/>
      <x:c r="P104" s="21"/>
      <x:c r="Q104" s="21"/>
      <x:c r="R104" s="29" t="str">
        <x:f>IF(OR(B104="",C104=""),"",B104&amp;"|"&amp;C104&amp;"|"&amp;IF(D104="","00",D104)&amp;"|"&amp;IF(E104="","01",E104))</x:f>
      </x:c>
      <x:c r="S104" s="37" t="str">
        <x:f>IF(R104="","",IFERROR(SUMPRODUCT(('04_KE_HOACH_CD'!$F$6:$F$305=R104)*'04_KE_HOACH_CD'!$M$6:$M$305*'04_KE_HOACH_CD'!$S$6:$S$305)/SUMIF('04_KE_HOACH_CD'!$F$6:$F$305,R104,'04_KE_HOACH_CD'!$M$6:$M$305),0))</x:f>
      </x:c>
      <x:c r="T104" s="29" t="str">
        <x:f>IF(R104="","",IF(S104&gt;=1,"Hoàn thành",IF(COUNTIF('04_KE_HOACH_CD'!$F$6:$F$305,R104)=0,"Chưa có routing",IF(SUMIF('04_KE_HOACH_CD'!$F$6:$F$305,R104,'04_KE_HOACH_CD'!$R$6:$R$305)&gt;0,"Đang sản xuất","Chưa bắt đầu"))))</x:f>
      </x:c>
      <x:c r="U104" s="29" t="str">
        <x:f>IF(R104="","",IF(S104&gt;=1,"Bình thường",IF(N104&lt;TODAY(),"Quá hạn",IF(AND(N104-TODAY()&lt;=2,S104&lt;0.8),"Rủi ro cao",IF(AND(N104-TODAY()&lt;=5,S104&lt;0.5),"Cần theo dõi","Bình thường")))))</x:f>
      </x:c>
      <x:c r="V104" s="21"/>
    </x:row>
    <x:row r="105">
      <x:c r="A105" s="30" t="str">
        <x:f>IF(B105="","",COUNTA($B$6:B105))</x:f>
      </x:c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4"/>
      <x:c r="L105" s="36"/>
      <x:c r="M105" s="36"/>
      <x:c r="N105" s="36"/>
      <x:c r="O105" s="36"/>
      <x:c r="P105" s="22"/>
      <x:c r="Q105" s="22"/>
      <x:c r="R105" s="30" t="str">
        <x:f>IF(OR(B105="",C105=""),"",B105&amp;"|"&amp;C105&amp;"|"&amp;IF(D105="","00",D105)&amp;"|"&amp;IF(E105="","01",E105))</x:f>
      </x:c>
      <x:c r="S105" s="38" t="str">
        <x:f>IF(R105="","",IFERROR(SUMPRODUCT(('04_KE_HOACH_CD'!$F$6:$F$305=R105)*'04_KE_HOACH_CD'!$M$6:$M$305*'04_KE_HOACH_CD'!$S$6:$S$305)/SUMIF('04_KE_HOACH_CD'!$F$6:$F$305,R105,'04_KE_HOACH_CD'!$M$6:$M$305),0))</x:f>
      </x:c>
      <x:c r="T105" s="30" t="str">
        <x:f>IF(R105="","",IF(S105&gt;=1,"Hoàn thành",IF(COUNTIF('04_KE_HOACH_CD'!$F$6:$F$305,R105)=0,"Chưa có routing",IF(SUMIF('04_KE_HOACH_CD'!$F$6:$F$305,R105,'04_KE_HOACH_CD'!$R$6:$R$305)&gt;0,"Đang sản xuất","Chưa bắt đầu"))))</x:f>
      </x:c>
      <x:c r="U105" s="30" t="str">
        <x:f>IF(R105="","",IF(S105&gt;=1,"Bình thường",IF(N105&lt;TODAY(),"Quá hạn",IF(AND(N105-TODAY()&lt;=2,S105&lt;0.8),"Rủi ro cao",IF(AND(N105-TODAY()&lt;=5,S105&lt;0.5),"Cần theo dõi","Bình thường")))))</x:f>
      </x:c>
      <x:c r="V105" s="22"/>
    </x:row>
  </x:sheetData>
  <x:mergeCells>
    <x:mergeCell ref="A2:V2"/>
    <x:mergeCell ref="A3:V3"/>
  </x:mergeCells>
  <x:conditionalFormatting sqref="T6:U105">
    <x:cfRule type="containsText" dxfId="0" priority="1" operator="containsText" text="Quá hạn"/>
    <x:cfRule type="containsText" dxfId="1" priority="2" operator="containsText" text="Rủi ro"/>
    <x:cfRule type="containsText" dxfId="2" priority="3" operator="containsText" text="Cần"/>
    <x:cfRule type="containsText" dxfId="3" priority="4" operator="containsText" text="Sai"/>
    <x:cfRule type="containsText" dxfId="4" priority="5" operator="containsText" text="Thiếu"/>
    <x:cfRule type="containsText" dxfId="5" priority="6" operator="containsText" text="Hợp lệ"/>
    <x:cfRule type="containsText" dxfId="6" priority="7" operator="containsText" text="đúng hạn"/>
  </x:conditionalFormatting>
  <x:dataValidations count="2">
    <x:dataValidation type="list" sqref="P6:P105">
      <x:formula1>"Normal,Urgent,Hold,VIP"</x:formula1>
    </x:dataValidation>
    <x:dataValidation type="list" sqref="Q6:Q105">
      <x:formula1>DM_NHAN_SU!$A$6:$A$105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2165b51e764ba9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6.670000076293945" hidden="0" customWidth="1"/>
    <x:col min="2" max="2" width="13.890000343322754" hidden="0" customWidth="1"/>
    <x:col min="3" max="3" width="13.890000343322754" hidden="0" customWidth="1"/>
    <x:col min="4" max="4" width="7.21999979019165" hidden="0" customWidth="1"/>
    <x:col min="5" max="5" width="7.21999979019165" hidden="0" customWidth="1"/>
    <x:col min="6" max="6" width="28.889999389648438" hidden="0" customWidth="1"/>
    <x:col min="7" max="7" width="33.33000183105469" hidden="0" customWidth="1"/>
    <x:col min="8" max="8" width="12.220000267028809" hidden="0" customWidth="1"/>
    <x:col min="9" max="9" width="12.220000267028809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1.109999656677246" hidden="0" customWidth="1"/>
    <x:col min="15" max="15" width="11.109999656677246" hidden="0" customWidth="1"/>
    <x:col min="16" max="16" width="11.670000076293945" hidden="0" customWidth="1"/>
    <x:col min="17" max="17" width="11.670000076293945" hidden="0" customWidth="1"/>
    <x:col min="18" max="18" width="8.890000343322754" hidden="0" customWidth="1"/>
    <x:col min="19" max="19" width="8.890000343322754" hidden="0" customWidth="1"/>
    <x:col min="20" max="20" width="11.109999656677246" hidden="0" customWidth="1"/>
    <x:col min="21" max="21" width="11.109999656677246" hidden="0" customWidth="1"/>
    <x:col min="22" max="22" width="14.4399995803833" hidden="0" customWidth="1"/>
    <x:col min="23" max="23" width="8.890000343322754" hidden="0" customWidth="1"/>
    <x:col min="24" max="24" width="8.890000343322754" hidden="0" customWidth="1"/>
    <x:col min="25" max="25" width="10.5600004196167" hidden="0" customWidth="1"/>
    <x:col min="26" max="26" width="20" hidden="0" customWidth="1"/>
  </x:cols>
  <x:sheetData>
    <x:row r="2">
      <x:c r="A2" s="2" t="str">
        <x:v>KẾ HOẠCH CÔNG ĐOẠN</x:v>
      </x:c>
    </x:row>
    <x:row r="3">
      <x:c r="A3" s="20" t="str">
        <x:v>Mỗi dòng là một công đoạn của một bản vẽ. Nhập Mã đơn hàng + Mã bản vẽ + Rev + Dòng/Lô và thứ tự công đoạn.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5">
      <x:c r="A5" s="12" t="str">
        <x:v>Thứ tự</x:v>
      </x:c>
      <x:c r="B5" s="12" t="str">
        <x:v>Mã đơn hàng</x:v>
      </x:c>
      <x:c r="C5" s="12" t="str">
        <x:v>Mã bản vẽ</x:v>
      </x:c>
      <x:c r="D5" s="12" t="str">
        <x:v>Rev</x:v>
      </x:c>
      <x:c r="E5" s="12" t="str">
        <x:v>Dòng/Lô</x:v>
      </x:c>
      <x:c r="F5" s="12" t="str">
        <x:v>Mã dòng hệ thống</x:v>
      </x:c>
      <x:c r="G5" s="12" t="str">
        <x:v>OperationPlanID</x:v>
      </x:c>
      <x:c r="H5" s="12" t="str">
        <x:v>WorkCenter</x:v>
      </x:c>
      <x:c r="I5" s="12" t="str">
        <x:v>OperationCode</x:v>
      </x:c>
      <x:c r="J5" s="12" t="str">
        <x:v>SL kế hoạch</x:v>
      </x:c>
      <x:c r="K5" s="12" t="str">
        <x:v>Setup ĐM</x:v>
      </x:c>
      <x:c r="L5" s="12" t="str">
        <x:v>Cycle ĐM/pcs</x:v>
      </x:c>
      <x:c r="M5" s="12" t="str">
        <x:v>Tổng ĐM</x:v>
      </x:c>
      <x:c r="N5" s="12" t="str">
        <x:v>KH bắt đầu</x:v>
      </x:c>
      <x:c r="O5" s="12" t="str">
        <x:v>KH hoàn thành</x:v>
      </x:c>
      <x:c r="P5" s="12" t="str">
        <x:v>Máy KH</x:v>
      </x:c>
      <x:c r="Q5" s="12" t="str">
        <x:v>Bắt buộc QC</x:v>
      </x:c>
      <x:c r="R5" s="12" t="str">
        <x:v>SL đạt</x:v>
      </x:c>
      <x:c r="S5" s="12" t="str">
        <x:v>Tiến độ</x:v>
      </x:c>
      <x:c r="T5" s="12" t="str">
        <x:v>Bắt đầu TT</x:v>
      </x:c>
      <x:c r="U5" s="12" t="str">
        <x:v>Hoàn thành TT</x:v>
      </x:c>
      <x:c r="V5" s="12" t="str">
        <x:v>Tình trạng</x:v>
      </x:c>
      <x:c r="W5" s="12" t="str">
        <x:v>Hiệu suất</x:v>
      </x:c>
      <x:c r="X5" s="12" t="str">
        <x:v>FPY</x:v>
      </x:c>
      <x:c r="Y5" s="12" t="str">
        <x:v>Downtime</x:v>
      </x:c>
      <x:c r="Z5" s="12" t="str">
        <x:v>Ghi chú</x:v>
      </x:c>
    </x:row>
    <x:row r="6">
      <x:c r="A6" s="21" t="n">
        <x:v>10</x:v>
      </x:c>
      <x:c r="B6" s="21" t="str">
        <x:v>PRC2602-003</x:v>
      </x:c>
      <x:c r="C6" s="21" t="str">
        <x:v>22-219803-00</x:v>
      </x:c>
      <x:c r="D6" s="21" t="str">
        <x:v>A</x:v>
      </x:c>
      <x:c r="E6" s="21" t="str">
        <x:v>01</x:v>
      </x:c>
      <x:c r="F6" s="29" t="str">
        <x:f>IF(OR(B6="",C6=""),"",B6&amp;"|"&amp;C6&amp;"|"&amp;IF(D6="","00",D6)&amp;"|"&amp;IF(E6="","01",E6))</x:f>
        <x:v>PRC2602-003|22-219803-00|A|01</x:v>
      </x:c>
      <x:c r="G6" s="29" t="str">
        <x:f>IF(F6="","",F6&amp;"|"&amp;TEXT(A6,"000"))</x:f>
        <x:v>PRC2602-003|22-219803-00|A|01|010</x:v>
      </x:c>
      <x:c r="H6" s="21" t="str">
        <x:v>Cấp phôi</x:v>
      </x:c>
      <x:c r="I6" s="21" t="str">
        <x:v>TAO_PHOI</x:v>
      </x:c>
      <x:c r="J6" s="25" t="n">
        <x:v>20</x:v>
      </x:c>
      <x:c r="K6" s="25" t="n">
        <x:v>20</x:v>
      </x:c>
      <x:c r="L6" s="25" t="n">
        <x:v>5</x:v>
      </x:c>
      <x:c r="M6" s="39" t="n">
        <x:f>IF(G6="","",K6+L6*J6)</x:f>
        <x:v>120</x:v>
      </x:c>
      <x:c r="N6" s="35" t="n">
        <x:v>46266</x:v>
      </x:c>
      <x:c r="O6" s="35" t="n">
        <x:v>46267</x:v>
      </x:c>
      <x:c r="P6" s="21" t="str">
        <x:v>MC-SAW-01</x:v>
      </x:c>
      <x:c r="Q6" s="21" t="str">
        <x:v>Không</x:v>
      </x:c>
      <x:c r="R6" s="29" t="n">
        <x:f>IF(G6="","",MIN(J6,SUMIF('05_BAO_CAO_NGAY'!$K$6:$K$505,G6,'05_BAO_CAO_NGAY'!$V$6:$V$505)))</x:f>
        <x:v>20</x:v>
      </x:c>
      <x:c r="S6" s="37" t="n">
        <x:f>IF(G6="","",IFERROR(R6/J6,0))</x:f>
        <x:v>1</x:v>
      </x:c>
      <x:c r="T6" s="41" t="n">
        <x:f>IF(OR(G6="",COUNTIF('05_BAO_CAO_NGAY'!$K$6:$K$505,G6)=0),"",_xlfn.MINIFS('05_BAO_CAO_NGAY'!$B$6:$B$505,'05_BAO_CAO_NGAY'!$K$6:$K$505,G6))</x:f>
        <x:v>46266</x:v>
      </x:c>
      <x:c r="U6" s="41" t="n">
        <x:f>IF(OR(G6="",S6&lt;1),"",_xlfn.MAXIFS('05_BAO_CAO_NGAY'!$B$6:$B$505,'05_BAO_CAO_NGAY'!$K$6:$K$505,G6))</x:f>
        <x:v>46266</x:v>
      </x:c>
      <x:c r="V6" s="29" t="str">
        <x:f>IF(G6="","",IF(S6&gt;=1,IF(U6&lt;=O6,"Hoàn thành đúng hạn","Hoàn thành trễ"),IF(TODAY()&gt;O6,"Quá hạn",IF(R6&gt;0,"Đang thực hiện","Chưa bắt đầu"))))</x:f>
        <x:v>Hoàn thành đúng hạn</x:v>
      </x:c>
      <x:c r="W6" s="37" t="n">
        <x:f>IF(G6="","",IFERROR(SUMIF('05_BAO_CAO_NGAY'!$K$6:$K$505,G6,'05_BAO_CAO_NGAY'!$AB$6:$AB$505)/SUMIF('05_BAO_CAO_NGAY'!$K$6:$K$505,G6,'05_BAO_CAO_NGAY'!$AC$6:$AC$505),0))</x:f>
        <x:v>0.8000000000186265</x:v>
      </x:c>
      <x:c r="X6" s="37" t="n">
        <x:f>IF(G6="","",IFERROR(SUMIFS('05_BAO_CAO_NGAY'!$W$6:$W$505,'05_BAO_CAO_NGAY'!$K$6:$K$505,G6,'05_BAO_CAO_NGAY'!$N$6:$N$505,"PRODUCTION")/SUMIFS('05_BAO_CAO_NGAY'!$U$6:$U$505,'05_BAO_CAO_NGAY'!$K$6:$K$505,G6,'05_BAO_CAO_NGAY'!$N$6:$N$505,"PRODUCTION"),0))</x:f>
        <x:v>1</x:v>
      </x:c>
      <x:c r="Y6" s="29" t="n">
        <x:f>IF(G6="","",SUMIF('05_BAO_CAO_NGAY'!$K$6:$K$505,G6,'05_BAO_CAO_NGAY'!$S$6:$S$505))</x:f>
        <x:v>0</x:v>
      </x:c>
      <x:c r="Z6" s="21" t="str"/>
    </x:row>
    <x:row r="7">
      <x:c r="A7" s="21" t="n">
        <x:v>20</x:v>
      </x:c>
      <x:c r="B7" s="21" t="str">
        <x:v>PRC2602-003</x:v>
      </x:c>
      <x:c r="C7" s="21" t="str">
        <x:v>22-219803-00</x:v>
      </x:c>
      <x:c r="D7" s="21" t="str">
        <x:v>A</x:v>
      </x:c>
      <x:c r="E7" s="21" t="str">
        <x:v>01</x:v>
      </x:c>
      <x:c r="F7" s="29" t="str">
        <x:f>IF(OR(B7="",C7=""),"",B7&amp;"|"&amp;C7&amp;"|"&amp;IF(D7="","00",D7)&amp;"|"&amp;IF(E7="","01",E7))</x:f>
        <x:v>PRC2602-003|22-219803-00|A|01</x:v>
      </x:c>
      <x:c r="G7" s="29" t="str">
        <x:f>IF(F7="","",F7&amp;"|"&amp;TEXT(A7,"000"))</x:f>
        <x:v>PRC2602-003|22-219803-00|A|01|020</x:v>
      </x:c>
      <x:c r="H7" s="21" t="str">
        <x:v>Tiện CNC</x:v>
      </x:c>
      <x:c r="I7" s="21" t="str">
        <x:v>TIEN_NC1</x:v>
      </x:c>
      <x:c r="J7" s="25" t="n">
        <x:v>20</x:v>
      </x:c>
      <x:c r="K7" s="25" t="n">
        <x:v>45</x:v>
      </x:c>
      <x:c r="L7" s="25" t="n">
        <x:v>12</x:v>
      </x:c>
      <x:c r="M7" s="39" t="n">
        <x:f>IF(G7="","",K7+L7*J7)</x:f>
        <x:v>285</x:v>
      </x:c>
      <x:c r="N7" s="35" t="n">
        <x:v>46268</x:v>
      </x:c>
      <x:c r="O7" s="35" t="n">
        <x:v>46273</x:v>
      </x:c>
      <x:c r="P7" s="21" t="str">
        <x:v>MC-LATHE-01</x:v>
      </x:c>
      <x:c r="Q7" s="21" t="str">
        <x:v>Có</x:v>
      </x:c>
      <x:c r="R7" s="29" t="n">
        <x:f>IF(G7="","",MIN(J7,SUMIF('05_BAO_CAO_NGAY'!$K$6:$K$505,G7,'05_BAO_CAO_NGAY'!$V$6:$V$505)))</x:f>
        <x:v>20</x:v>
      </x:c>
      <x:c r="S7" s="37" t="n">
        <x:f>IF(G7="","",IFERROR(R7/J7,0))</x:f>
        <x:v>1</x:v>
      </x:c>
      <x:c r="T7" s="41" t="n">
        <x:f>IF(OR(G7="",COUNTIF('05_BAO_CAO_NGAY'!$K$6:$K$505,G7)=0),"",_xlfn.MINIFS('05_BAO_CAO_NGAY'!$B$6:$B$505,'05_BAO_CAO_NGAY'!$K$6:$K$505,G7))</x:f>
        <x:v>46268</x:v>
      </x:c>
      <x:c r="U7" s="41" t="n">
        <x:f>IF(OR(G7="",S7&lt;1),"",_xlfn.MAXIFS('05_BAO_CAO_NGAY'!$B$6:$B$505,'05_BAO_CAO_NGAY'!$K$6:$K$505,G7))</x:f>
        <x:v>46269</x:v>
      </x:c>
      <x:c r="V7" s="29" t="str">
        <x:f>IF(G7="","",IF(S7&gt;=1,IF(U7&lt;=O7,"Hoàn thành đúng hạn","Hoàn thành trễ"),IF(TODAY()&gt;O7,"Quá hạn",IF(R7&gt;0,"Đang thực hiện","Chưa bắt đầu"))))</x:f>
        <x:v>Hoàn thành đúng hạn</x:v>
      </x:c>
      <x:c r="W7" s="37" t="n">
        <x:f>IF(G7="","",IFERROR(SUMIF('05_BAO_CAO_NGAY'!$K$6:$K$505,G7,'05_BAO_CAO_NGAY'!$AB$6:$AB$505)/SUMIF('05_BAO_CAO_NGAY'!$K$6:$K$505,G7,'05_BAO_CAO_NGAY'!$AC$6:$AC$505),0))</x:f>
        <x:v>0.25263157894860677</x:v>
      </x:c>
      <x:c r="X7" s="37" t="n">
        <x:f>IF(G7="","",IFERROR(SUMIFS('05_BAO_CAO_NGAY'!$W$6:$W$505,'05_BAO_CAO_NGAY'!$K$6:$K$505,G7,'05_BAO_CAO_NGAY'!$N$6:$N$505,"PRODUCTION")/SUMIFS('05_BAO_CAO_NGAY'!$U$6:$U$505,'05_BAO_CAO_NGAY'!$K$6:$K$505,G7,'05_BAO_CAO_NGAY'!$N$6:$N$505,"PRODUCTION"),0))</x:f>
        <x:v>0.9</x:v>
      </x:c>
      <x:c r="Y7" s="29" t="n">
        <x:f>IF(G7="","",SUMIF('05_BAO_CAO_NGAY'!$K$6:$K$505,G7,'05_BAO_CAO_NGAY'!$S$6:$S$505))</x:f>
        <x:v>24.999999997671694</x:v>
      </x:c>
      <x:c r="Z7" s="21" t="str"/>
    </x:row>
    <x:row r="8">
      <x:c r="A8" s="21" t="n">
        <x:v>30</x:v>
      </x:c>
      <x:c r="B8" s="21" t="str">
        <x:v>PRC2602-003</x:v>
      </x:c>
      <x:c r="C8" s="21" t="str">
        <x:v>22-219803-00</x:v>
      </x:c>
      <x:c r="D8" s="21" t="str">
        <x:v>A</x:v>
      </x:c>
      <x:c r="E8" s="21" t="str">
        <x:v>01</x:v>
      </x:c>
      <x:c r="F8" s="29" t="str">
        <x:f>IF(OR(B8="",C8=""),"",B8&amp;"|"&amp;C8&amp;"|"&amp;IF(D8="","00",D8)&amp;"|"&amp;IF(E8="","01",E8))</x:f>
        <x:v>PRC2602-003|22-219803-00|A|01</x:v>
      </x:c>
      <x:c r="G8" s="29" t="str">
        <x:f>IF(F8="","",F8&amp;"|"&amp;TEXT(A8,"000"))</x:f>
        <x:v>PRC2602-003|22-219803-00|A|01|030</x:v>
      </x:c>
      <x:c r="H8" s="21" t="str">
        <x:v>Tiện CNC</x:v>
      </x:c>
      <x:c r="I8" s="21" t="str">
        <x:v>TIEN_NC2</x:v>
      </x:c>
      <x:c r="J8" s="25" t="n">
        <x:v>20</x:v>
      </x:c>
      <x:c r="K8" s="25" t="n">
        <x:v>30</x:v>
      </x:c>
      <x:c r="L8" s="25" t="n">
        <x:v>8</x:v>
      </x:c>
      <x:c r="M8" s="39" t="n">
        <x:f>IF(G8="","",K8+L8*J8)</x:f>
        <x:v>190</x:v>
      </x:c>
      <x:c r="N8" s="35" t="n">
        <x:v>46274</x:v>
      </x:c>
      <x:c r="O8" s="35" t="n">
        <x:v>46279</x:v>
      </x:c>
      <x:c r="P8" s="21" t="str">
        <x:v>MC-LATHE-01</x:v>
      </x:c>
      <x:c r="Q8" s="21" t="str">
        <x:v>Có</x:v>
      </x:c>
      <x:c r="R8" s="29" t="n">
        <x:f>IF(G8="","",MIN(J8,SUMIF('05_BAO_CAO_NGAY'!$K$6:$K$505,G8,'05_BAO_CAO_NGAY'!$V$6:$V$505)))</x:f>
        <x:v>12</x:v>
      </x:c>
      <x:c r="S8" s="37" t="n">
        <x:f>IF(G8="","",IFERROR(R8/J8,0))</x:f>
        <x:v>0.6</x:v>
      </x:c>
      <x:c r="T8" s="41" t="n">
        <x:f>IF(OR(G8="",COUNTIF('05_BAO_CAO_NGAY'!$K$6:$K$505,G8)=0),"",_xlfn.MINIFS('05_BAO_CAO_NGAY'!$B$6:$B$505,'05_BAO_CAO_NGAY'!$K$6:$K$505,G8))</x:f>
        <x:v>46275</x:v>
      </x:c>
      <x:c r="U8" s="41" t="str">
        <x:f>IF(OR(G8="",S8&lt;1),"",_xlfn.MAXIFS('05_BAO_CAO_NGAY'!$B$6:$B$505,'05_BAO_CAO_NGAY'!$K$6:$K$505,G8))</x:f>
      </x:c>
      <x:c r="V8" s="29" t="str">
        <x:f>IF(G8="","",IF(S8&gt;=1,IF(U8&lt;=O8,"Hoàn thành đúng hạn","Hoàn thành trễ"),IF(TODAY()&gt;O8,"Quá hạn",IF(R8&gt;0,"Đang thực hiện","Chưa bắt đầu"))))</x:f>
        <x:v>Đang thực hiện</x:v>
      </x:c>
      <x:c r="W8" s="37" t="n">
        <x:f>IF(G8="","",IFERROR(SUMIF('05_BAO_CAO_NGAY'!$K$6:$K$505,G8,'05_BAO_CAO_NGAY'!$AB$6:$AB$505)/SUMIF('05_BAO_CAO_NGAY'!$K$6:$K$505,G8,'05_BAO_CAO_NGAY'!$AC$6:$AC$505),0))</x:f>
        <x:v>0.26666666667080585</x:v>
      </x:c>
      <x:c r="X8" s="37" t="n">
        <x:f>IF(G8="","",IFERROR(SUMIFS('05_BAO_CAO_NGAY'!$W$6:$W$505,'05_BAO_CAO_NGAY'!$K$6:$K$505,G8,'05_BAO_CAO_NGAY'!$N$6:$N$505,"PRODUCTION")/SUMIFS('05_BAO_CAO_NGAY'!$U$6:$U$505,'05_BAO_CAO_NGAY'!$K$6:$K$505,G8,'05_BAO_CAO_NGAY'!$N$6:$N$505,"PRODUCTION"),0))</x:f>
        <x:v>1</x:v>
      </x:c>
      <x:c r="Y8" s="29" t="n">
        <x:f>IF(G8="","",SUMIF('05_BAO_CAO_NGAY'!$K$6:$K$505,G8,'05_BAO_CAO_NGAY'!$S$6:$S$505))</x:f>
        <x:v>20.000000002328306</x:v>
      </x:c>
      <x:c r="Z8" s="21" t="str"/>
    </x:row>
    <x:row r="9">
      <x:c r="A9" s="21" t="n">
        <x:v>40</x:v>
      </x:c>
      <x:c r="B9" s="21" t="str">
        <x:v>PRC2602-003</x:v>
      </x:c>
      <x:c r="C9" s="21" t="str">
        <x:v>22-219803-00</x:v>
      </x:c>
      <x:c r="D9" s="21" t="str">
        <x:v>A</x:v>
      </x:c>
      <x:c r="E9" s="21" t="str">
        <x:v>01</x:v>
      </x:c>
      <x:c r="F9" s="29" t="str">
        <x:f>IF(OR(B9="",C9=""),"",B9&amp;"|"&amp;C9&amp;"|"&amp;IF(D9="","00",D9)&amp;"|"&amp;IF(E9="","01",E9))</x:f>
        <x:v>PRC2602-003|22-219803-00|A|01</x:v>
      </x:c>
      <x:c r="G9" s="29" t="str">
        <x:f>IF(F9="","",F9&amp;"|"&amp;TEXT(A9,"000"))</x:f>
        <x:v>PRC2602-003|22-219803-00|A|01|040</x:v>
      </x:c>
      <x:c r="H9" s="21" t="str">
        <x:v>QC</x:v>
      </x:c>
      <x:c r="I9" s="21" t="str">
        <x:v>QC_FINAL</x:v>
      </x:c>
      <x:c r="J9" s="25" t="n">
        <x:v>20</x:v>
      </x:c>
      <x:c r="K9" s="25" t="n">
        <x:v>10</x:v>
      </x:c>
      <x:c r="L9" s="25" t="n">
        <x:v>3</x:v>
      </x:c>
      <x:c r="M9" s="39" t="n">
        <x:f>IF(G9="","",K9+L9*J9)</x:f>
        <x:v>70</x:v>
      </x:c>
      <x:c r="N9" s="35" t="n">
        <x:v>46280</x:v>
      </x:c>
      <x:c r="O9" s="35" t="n">
        <x:v>46282</x:v>
      </x:c>
      <x:c r="P9" s="21" t="str">
        <x:v>QC-ROOM</x:v>
      </x:c>
      <x:c r="Q9" s="21" t="str">
        <x:v>Có</x:v>
      </x:c>
      <x:c r="R9" s="29" t="n">
        <x:f>IF(G9="","",MIN(J9,SUMIF('05_BAO_CAO_NGAY'!$K$6:$K$505,G9,'05_BAO_CAO_NGAY'!$V$6:$V$505)))</x:f>
        <x:v>0</x:v>
      </x:c>
      <x:c r="S9" s="37" t="n">
        <x:f>IF(G9="","",IFERROR(R9/J9,0))</x:f>
        <x:v>0</x:v>
      </x:c>
      <x:c r="T9" s="41" t="str">
        <x:f>IF(OR(G9="",COUNTIF('05_BAO_CAO_NGAY'!$K$6:$K$505,G9)=0),"",_xlfn.MINIFS('05_BAO_CAO_NGAY'!$B$6:$B$505,'05_BAO_CAO_NGAY'!$K$6:$K$505,G9))</x:f>
      </x:c>
      <x:c r="U9" s="41" t="str">
        <x:f>IF(OR(G9="",S9&lt;1),"",_xlfn.MAXIFS('05_BAO_CAO_NGAY'!$B$6:$B$505,'05_BAO_CAO_NGAY'!$K$6:$K$505,G9))</x:f>
      </x:c>
      <x:c r="V9" s="29" t="str">
        <x:f>IF(G9="","",IF(S9&gt;=1,IF(U9&lt;=O9,"Hoàn thành đúng hạn","Hoàn thành trễ"),IF(TODAY()&gt;O9,"Quá hạn",IF(R9&gt;0,"Đang thực hiện","Chưa bắt đầu"))))</x:f>
        <x:v>Chưa bắt đầu</x:v>
      </x:c>
      <x:c r="W9" s="37" t="n">
        <x:f>IF(G9="","",IFERROR(SUMIF('05_BAO_CAO_NGAY'!$K$6:$K$505,G9,'05_BAO_CAO_NGAY'!$AB$6:$AB$505)/SUMIF('05_BAO_CAO_NGAY'!$K$6:$K$505,G9,'05_BAO_CAO_NGAY'!$AC$6:$AC$505),0))</x:f>
        <x:v>0</x:v>
      </x:c>
      <x:c r="X9" s="37" t="n">
        <x:f>IF(G9="","",IFERROR(SUMIFS('05_BAO_CAO_NGAY'!$W$6:$W$505,'05_BAO_CAO_NGAY'!$K$6:$K$505,G9,'05_BAO_CAO_NGAY'!$N$6:$N$505,"PRODUCTION")/SUMIFS('05_BAO_CAO_NGAY'!$U$6:$U$505,'05_BAO_CAO_NGAY'!$K$6:$K$505,G9,'05_BAO_CAO_NGAY'!$N$6:$N$505,"PRODUCTION"),0))</x:f>
        <x:v>0</x:v>
      </x:c>
      <x:c r="Y9" s="29" t="n">
        <x:f>IF(G9="","",SUMIF('05_BAO_CAO_NGAY'!$K$6:$K$505,G9,'05_BAO_CAO_NGAY'!$S$6:$S$505))</x:f>
        <x:v>0</x:v>
      </x:c>
      <x:c r="Z9" s="21" t="str"/>
    </x:row>
    <x:row r="10">
      <x:c r="A10" s="21" t="n">
        <x:v>10</x:v>
      </x:c>
      <x:c r="B10" s="21" t="str">
        <x:v>PRC2602-003</x:v>
      </x:c>
      <x:c r="C10" s="21" t="str">
        <x:v>22-219807-00</x:v>
      </x:c>
      <x:c r="D10" s="21" t="str">
        <x:v>A</x:v>
      </x:c>
      <x:c r="E10" s="21" t="str">
        <x:v>02</x:v>
      </x:c>
      <x:c r="F10" s="29" t="str">
        <x:f>IF(OR(B10="",C10=""),"",B10&amp;"|"&amp;C10&amp;"|"&amp;IF(D10="","00",D10)&amp;"|"&amp;IF(E10="","01",E10))</x:f>
        <x:v>PRC2602-003|22-219807-00|A|02</x:v>
      </x:c>
      <x:c r="G10" s="29" t="str">
        <x:f>IF(F10="","",F10&amp;"|"&amp;TEXT(A10,"000"))</x:f>
        <x:v>PRC2602-003|22-219807-00|A|02|010</x:v>
      </x:c>
      <x:c r="H10" s="21" t="str">
        <x:v>Cấp phôi</x:v>
      </x:c>
      <x:c r="I10" s="21" t="str">
        <x:v>TAO_PHOI</x:v>
      </x:c>
      <x:c r="J10" s="25" t="n">
        <x:v>10</x:v>
      </x:c>
      <x:c r="K10" s="25" t="n">
        <x:v>15</x:v>
      </x:c>
      <x:c r="L10" s="25" t="n">
        <x:v>5</x:v>
      </x:c>
      <x:c r="M10" s="39" t="n">
        <x:f>IF(G10="","",K10+L10*J10)</x:f>
        <x:v>65</x:v>
      </x:c>
      <x:c r="N10" s="35" t="n">
        <x:v>46267</x:v>
      </x:c>
      <x:c r="O10" s="35" t="n">
        <x:v>46268</x:v>
      </x:c>
      <x:c r="P10" s="21" t="str">
        <x:v>MC-SAW-01</x:v>
      </x:c>
      <x:c r="Q10" s="21" t="str">
        <x:v>Không</x:v>
      </x:c>
      <x:c r="R10" s="29" t="n">
        <x:f>IF(G10="","",MIN(J10,SUMIF('05_BAO_CAO_NGAY'!$K$6:$K$505,G10,'05_BAO_CAO_NGAY'!$V$6:$V$505)))</x:f>
        <x:v>10</x:v>
      </x:c>
      <x:c r="S10" s="37" t="n">
        <x:f>IF(G10="","",IFERROR(R10/J10,0))</x:f>
        <x:v>1</x:v>
      </x:c>
      <x:c r="T10" s="41" t="n">
        <x:f>IF(OR(G10="",COUNTIF('05_BAO_CAO_NGAY'!$K$6:$K$505,G10)=0),"",_xlfn.MINIFS('05_BAO_CAO_NGAY'!$B$6:$B$505,'05_BAO_CAO_NGAY'!$K$6:$K$505,G10))</x:f>
        <x:v>46267</x:v>
      </x:c>
      <x:c r="U10" s="41" t="n">
        <x:f>IF(OR(G10="",S10&lt;1),"",_xlfn.MAXIFS('05_BAO_CAO_NGAY'!$B$6:$B$505,'05_BAO_CAO_NGAY'!$K$6:$K$505,G10))</x:f>
        <x:v>46267</x:v>
      </x:c>
      <x:c r="V10" s="29" t="str">
        <x:f>IF(G10="","",IF(S10&gt;=1,IF(U10&lt;=O10,"Hoàn thành đúng hạn","Hoàn thành trễ"),IF(TODAY()&gt;O10,"Quá hạn",IF(R10&gt;0,"Đang thực hiện","Chưa bắt đầu"))))</x:f>
        <x:v>Hoàn thành đúng hạn</x:v>
      </x:c>
      <x:c r="W10" s="37" t="n">
        <x:f>IF(G10="","",IFERROR(SUMIF('05_BAO_CAO_NGAY'!$K$6:$K$505,G10,'05_BAO_CAO_NGAY'!$AB$6:$AB$505)/SUMIF('05_BAO_CAO_NGAY'!$K$6:$K$505,G10,'05_BAO_CAO_NGAY'!$AC$6:$AC$505),0))</x:f>
        <x:v>0.625000000009095</x:v>
      </x:c>
      <x:c r="X10" s="37" t="n">
        <x:f>IF(G10="","",IFERROR(SUMIFS('05_BAO_CAO_NGAY'!$W$6:$W$505,'05_BAO_CAO_NGAY'!$K$6:$K$505,G10,'05_BAO_CAO_NGAY'!$N$6:$N$505,"PRODUCTION")/SUMIFS('05_BAO_CAO_NGAY'!$U$6:$U$505,'05_BAO_CAO_NGAY'!$K$6:$K$505,G10,'05_BAO_CAO_NGAY'!$N$6:$N$505,"PRODUCTION"),0))</x:f>
        <x:v>1</x:v>
      </x:c>
      <x:c r="Y10" s="29" t="n">
        <x:f>IF(G10="","",SUMIF('05_BAO_CAO_NGAY'!$K$6:$K$505,G10,'05_BAO_CAO_NGAY'!$S$6:$S$505))</x:f>
        <x:v>0</x:v>
      </x:c>
      <x:c r="Z10" s="21" t="str"/>
    </x:row>
    <x:row r="11">
      <x:c r="A11" s="21" t="n">
        <x:v>20</x:v>
      </x:c>
      <x:c r="B11" s="21" t="str">
        <x:v>PRC2602-003</x:v>
      </x:c>
      <x:c r="C11" s="21" t="str">
        <x:v>22-219807-00</x:v>
      </x:c>
      <x:c r="D11" s="21" t="str">
        <x:v>A</x:v>
      </x:c>
      <x:c r="E11" s="21" t="str">
        <x:v>02</x:v>
      </x:c>
      <x:c r="F11" s="29" t="str">
        <x:f>IF(OR(B11="",C11=""),"",B11&amp;"|"&amp;C11&amp;"|"&amp;IF(D11="","00",D11)&amp;"|"&amp;IF(E11="","01",E11))</x:f>
        <x:v>PRC2602-003|22-219807-00|A|02</x:v>
      </x:c>
      <x:c r="G11" s="29" t="str">
        <x:f>IF(F11="","",F11&amp;"|"&amp;TEXT(A11,"000"))</x:f>
        <x:v>PRC2602-003|22-219807-00|A|02|020</x:v>
      </x:c>
      <x:c r="H11" s="21" t="str">
        <x:v>Tiện CNC</x:v>
      </x:c>
      <x:c r="I11" s="21" t="str">
        <x:v>TIEN_NC1</x:v>
      </x:c>
      <x:c r="J11" s="25" t="n">
        <x:v>10</x:v>
      </x:c>
      <x:c r="K11" s="25" t="n">
        <x:v>40</x:v>
      </x:c>
      <x:c r="L11" s="25" t="n">
        <x:v>15</x:v>
      </x:c>
      <x:c r="M11" s="39" t="n">
        <x:f>IF(G11="","",K11+L11*J11)</x:f>
        <x:v>190</x:v>
      </x:c>
      <x:c r="N11" s="35" t="n">
        <x:v>46269</x:v>
      </x:c>
      <x:c r="O11" s="35" t="n">
        <x:v>46277</x:v>
      </x:c>
      <x:c r="P11" s="21" t="str">
        <x:v>MC-LATHE-02</x:v>
      </x:c>
      <x:c r="Q11" s="21" t="str">
        <x:v>Có</x:v>
      </x:c>
      <x:c r="R11" s="29" t="n">
        <x:f>IF(G11="","",MIN(J11,SUMIF('05_BAO_CAO_NGAY'!$K$6:$K$505,G11,'05_BAO_CAO_NGAY'!$V$6:$V$505)))</x:f>
        <x:v>0</x:v>
      </x:c>
      <x:c r="S11" s="37" t="n">
        <x:f>IF(G11="","",IFERROR(R11/J11,0))</x:f>
        <x:v>0</x:v>
      </x:c>
      <x:c r="T11" s="41" t="str">
        <x:f>IF(OR(G11="",COUNTIF('05_BAO_CAO_NGAY'!$K$6:$K$505,G11)=0),"",_xlfn.MINIFS('05_BAO_CAO_NGAY'!$B$6:$B$505,'05_BAO_CAO_NGAY'!$K$6:$K$505,G11))</x:f>
      </x:c>
      <x:c r="U11" s="41" t="str">
        <x:f>IF(OR(G11="",S11&lt;1),"",_xlfn.MAXIFS('05_BAO_CAO_NGAY'!$B$6:$B$505,'05_BAO_CAO_NGAY'!$K$6:$K$505,G11))</x:f>
      </x:c>
      <x:c r="V11" s="29" t="str">
        <x:f>IF(G11="","",IF(S11&gt;=1,IF(U11&lt;=O11,"Hoàn thành đúng hạn","Hoàn thành trễ"),IF(TODAY()&gt;O11,"Quá hạn",IF(R11&gt;0,"Đang thực hiện","Chưa bắt đầu"))))</x:f>
        <x:v>Quá hạn</x:v>
      </x:c>
      <x:c r="W11" s="37" t="n">
        <x:f>IF(G11="","",IFERROR(SUMIF('05_BAO_CAO_NGAY'!$K$6:$K$505,G11,'05_BAO_CAO_NGAY'!$AB$6:$AB$505)/SUMIF('05_BAO_CAO_NGAY'!$K$6:$K$505,G11,'05_BAO_CAO_NGAY'!$AC$6:$AC$505),0))</x:f>
        <x:v>0</x:v>
      </x:c>
      <x:c r="X11" s="37" t="n">
        <x:f>IF(G11="","",IFERROR(SUMIFS('05_BAO_CAO_NGAY'!$W$6:$W$505,'05_BAO_CAO_NGAY'!$K$6:$K$505,G11,'05_BAO_CAO_NGAY'!$N$6:$N$505,"PRODUCTION")/SUMIFS('05_BAO_CAO_NGAY'!$U$6:$U$505,'05_BAO_CAO_NGAY'!$K$6:$K$505,G11,'05_BAO_CAO_NGAY'!$N$6:$N$505,"PRODUCTION"),0))</x:f>
        <x:v>0</x:v>
      </x:c>
      <x:c r="Y11" s="29" t="n">
        <x:f>IF(G11="","",SUMIF('05_BAO_CAO_NGAY'!$K$6:$K$505,G11,'05_BAO_CAO_NGAY'!$S$6:$S$505))</x:f>
        <x:v>0</x:v>
      </x:c>
      <x:c r="Z11" s="21" t="str"/>
    </x:row>
    <x:row r="12">
      <x:c r="A12" s="21" t="n">
        <x:v>30</x:v>
      </x:c>
      <x:c r="B12" s="21" t="str">
        <x:v>PRC2602-003</x:v>
      </x:c>
      <x:c r="C12" s="21" t="str">
        <x:v>22-219807-00</x:v>
      </x:c>
      <x:c r="D12" s="21" t="str">
        <x:v>A</x:v>
      </x:c>
      <x:c r="E12" s="21" t="str">
        <x:v>02</x:v>
      </x:c>
      <x:c r="F12" s="29" t="str">
        <x:f>IF(OR(B12="",C12=""),"",B12&amp;"|"&amp;C12&amp;"|"&amp;IF(D12="","00",D12)&amp;"|"&amp;IF(E12="","01",E12))</x:f>
        <x:v>PRC2602-003|22-219807-00|A|02</x:v>
      </x:c>
      <x:c r="G12" s="29" t="str">
        <x:f>IF(F12="","",F12&amp;"|"&amp;TEXT(A12,"000"))</x:f>
        <x:v>PRC2602-003|22-219807-00|A|02|030</x:v>
      </x:c>
      <x:c r="H12" s="21" t="str">
        <x:v>QC</x:v>
      </x:c>
      <x:c r="I12" s="21" t="str">
        <x:v>QC_FINAL</x:v>
      </x:c>
      <x:c r="J12" s="25" t="n">
        <x:v>10</x:v>
      </x:c>
      <x:c r="K12" s="25" t="n">
        <x:v>10</x:v>
      </x:c>
      <x:c r="L12" s="25" t="n">
        <x:v>3</x:v>
      </x:c>
      <x:c r="M12" s="39" t="n">
        <x:f>IF(G12="","",K12+L12*J12)</x:f>
        <x:v>40</x:v>
      </x:c>
      <x:c r="N12" s="35" t="n">
        <x:v>46278</x:v>
      </x:c>
      <x:c r="O12" s="35" t="n">
        <x:v>46283</x:v>
      </x:c>
      <x:c r="P12" s="21" t="str">
        <x:v>QC-ROOM</x:v>
      </x:c>
      <x:c r="Q12" s="21" t="str">
        <x:v>Có</x:v>
      </x:c>
      <x:c r="R12" s="29" t="n">
        <x:f>IF(G12="","",MIN(J12,SUMIF('05_BAO_CAO_NGAY'!$K$6:$K$505,G12,'05_BAO_CAO_NGAY'!$V$6:$V$505)))</x:f>
        <x:v>0</x:v>
      </x:c>
      <x:c r="S12" s="37" t="n">
        <x:f>IF(G12="","",IFERROR(R12/J12,0))</x:f>
        <x:v>0</x:v>
      </x:c>
      <x:c r="T12" s="41" t="str">
        <x:f>IF(OR(G12="",COUNTIF('05_BAO_CAO_NGAY'!$K$6:$K$505,G12)=0),"",_xlfn.MINIFS('05_BAO_CAO_NGAY'!$B$6:$B$505,'05_BAO_CAO_NGAY'!$K$6:$K$505,G12))</x:f>
      </x:c>
      <x:c r="U12" s="41" t="str">
        <x:f>IF(OR(G12="",S12&lt;1),"",_xlfn.MAXIFS('05_BAO_CAO_NGAY'!$B$6:$B$505,'05_BAO_CAO_NGAY'!$K$6:$K$505,G12))</x:f>
      </x:c>
      <x:c r="V12" s="29" t="str">
        <x:f>IF(G12="","",IF(S12&gt;=1,IF(U12&lt;=O12,"Hoàn thành đúng hạn","Hoàn thành trễ"),IF(TODAY()&gt;O12,"Quá hạn",IF(R12&gt;0,"Đang thực hiện","Chưa bắt đầu"))))</x:f>
        <x:v>Chưa bắt đầu</x:v>
      </x:c>
      <x:c r="W12" s="37" t="n">
        <x:f>IF(G12="","",IFERROR(SUMIF('05_BAO_CAO_NGAY'!$K$6:$K$505,G12,'05_BAO_CAO_NGAY'!$AB$6:$AB$505)/SUMIF('05_BAO_CAO_NGAY'!$K$6:$K$505,G12,'05_BAO_CAO_NGAY'!$AC$6:$AC$505),0))</x:f>
        <x:v>0</x:v>
      </x:c>
      <x:c r="X12" s="37" t="n">
        <x:f>IF(G12="","",IFERROR(SUMIFS('05_BAO_CAO_NGAY'!$W$6:$W$505,'05_BAO_CAO_NGAY'!$K$6:$K$505,G12,'05_BAO_CAO_NGAY'!$N$6:$N$505,"PRODUCTION")/SUMIFS('05_BAO_CAO_NGAY'!$U$6:$U$505,'05_BAO_CAO_NGAY'!$K$6:$K$505,G12,'05_BAO_CAO_NGAY'!$N$6:$N$505,"PRODUCTION"),0))</x:f>
        <x:v>0</x:v>
      </x:c>
      <x:c r="Y12" s="29" t="n">
        <x:f>IF(G12="","",SUMIF('05_BAO_CAO_NGAY'!$K$6:$K$505,G12,'05_BAO_CAO_NGAY'!$S$6:$S$505))</x:f>
        <x:v>0</x:v>
      </x:c>
      <x:c r="Z12" s="21" t="str"/>
    </x:row>
    <x:row r="13">
      <x:c r="A13" s="21" t="n">
        <x:v>10</x:v>
      </x:c>
      <x:c r="B13" s="21" t="str">
        <x:v>SWT2603-001</x:v>
      </x:c>
      <x:c r="C13" s="21" t="str">
        <x:v>950340030</x:v>
      </x:c>
      <x:c r="D13" s="21" t="str">
        <x:v>A</x:v>
      </x:c>
      <x:c r="E13" s="21" t="str">
        <x:v>01</x:v>
      </x:c>
      <x:c r="F13" s="29" t="str">
        <x:f>IF(OR(B13="",C13=""),"",B13&amp;"|"&amp;C13&amp;"|"&amp;IF(D13="","00",D13)&amp;"|"&amp;IF(E13="","01",E13))</x:f>
        <x:v>SWT2603-001|950340030|A|01</x:v>
      </x:c>
      <x:c r="G13" s="29" t="str">
        <x:f>IF(F13="","",F13&amp;"|"&amp;TEXT(A13,"000"))</x:f>
        <x:v>SWT2603-001|950340030|A|01|010</x:v>
      </x:c>
      <x:c r="H13" s="21" t="str">
        <x:v>Cấp phôi</x:v>
      </x:c>
      <x:c r="I13" s="21" t="str">
        <x:v>TAO_PHOI</x:v>
      </x:c>
      <x:c r="J13" s="25" t="n">
        <x:v>30</x:v>
      </x:c>
      <x:c r="K13" s="25" t="n">
        <x:v>20</x:v>
      </x:c>
      <x:c r="L13" s="25" t="n">
        <x:v>4</x:v>
      </x:c>
      <x:c r="M13" s="39" t="n">
        <x:f>IF(G13="","",K13+L13*J13)</x:f>
        <x:v>140</x:v>
      </x:c>
      <x:c r="N13" s="35" t="n">
        <x:v>46268</x:v>
      </x:c>
      <x:c r="O13" s="35" t="n">
        <x:v>46269</x:v>
      </x:c>
      <x:c r="P13" s="21" t="str">
        <x:v>MC-SAW-01</x:v>
      </x:c>
      <x:c r="Q13" s="21" t="str">
        <x:v>Không</x:v>
      </x:c>
      <x:c r="R13" s="29" t="n">
        <x:f>IF(G13="","",MIN(J13,SUMIF('05_BAO_CAO_NGAY'!$K$6:$K$505,G13,'05_BAO_CAO_NGAY'!$V$6:$V$505)))</x:f>
        <x:v>30</x:v>
      </x:c>
      <x:c r="S13" s="37" t="n">
        <x:f>IF(G13="","",IFERROR(R13/J13,0))</x:f>
        <x:v>1</x:v>
      </x:c>
      <x:c r="T13" s="41" t="n">
        <x:f>IF(OR(G13="",COUNTIF('05_BAO_CAO_NGAY'!$K$6:$K$505,G13)=0),"",_xlfn.MINIFS('05_BAO_CAO_NGAY'!$B$6:$B$505,'05_BAO_CAO_NGAY'!$K$6:$K$505,G13))</x:f>
        <x:v>46268</x:v>
      </x:c>
      <x:c r="U13" s="41" t="n">
        <x:f>IF(OR(G13="",S13&lt;1),"",_xlfn.MAXIFS('05_BAO_CAO_NGAY'!$B$6:$B$505,'05_BAO_CAO_NGAY'!$K$6:$K$505,G13))</x:f>
        <x:v>46268</x:v>
      </x:c>
      <x:c r="V13" s="29" t="str">
        <x:f>IF(G13="","",IF(S13&gt;=1,IF(U13&lt;=O13,"Hoàn thành đúng hạn","Hoàn thành trễ"),IF(TODAY()&gt;O13,"Quá hạn",IF(R13&gt;0,"Đang thực hiện","Chưa bắt đầu"))))</x:f>
        <x:v>Hoàn thành đúng hạn</x:v>
      </x:c>
      <x:c r="W13" s="37" t="n">
        <x:f>IF(G13="","",IFERROR(SUMIF('05_BAO_CAO_NGAY'!$K$6:$K$505,G13,'05_BAO_CAO_NGAY'!$AB$6:$AB$505)/SUMIF('05_BAO_CAO_NGAY'!$K$6:$K$505,G13,'05_BAO_CAO_NGAY'!$AC$6:$AC$505),0))</x:f>
        <x:v>1.111111111053622</x:v>
      </x:c>
      <x:c r="X13" s="37" t="n">
        <x:f>IF(G13="","",IFERROR(SUMIFS('05_BAO_CAO_NGAY'!$W$6:$W$505,'05_BAO_CAO_NGAY'!$K$6:$K$505,G13,'05_BAO_CAO_NGAY'!$N$6:$N$505,"PRODUCTION")/SUMIFS('05_BAO_CAO_NGAY'!$U$6:$U$505,'05_BAO_CAO_NGAY'!$K$6:$K$505,G13,'05_BAO_CAO_NGAY'!$N$6:$N$505,"PRODUCTION"),0))</x:f>
        <x:v>1</x:v>
      </x:c>
      <x:c r="Y13" s="29" t="n">
        <x:f>IF(G13="","",SUMIF('05_BAO_CAO_NGAY'!$K$6:$K$505,G13,'05_BAO_CAO_NGAY'!$S$6:$S$505))</x:f>
        <x:v>0</x:v>
      </x:c>
      <x:c r="Z13" s="21" t="str"/>
    </x:row>
    <x:row r="14">
      <x:c r="A14" s="21" t="n">
        <x:v>20</x:v>
      </x:c>
      <x:c r="B14" s="21" t="str">
        <x:v>SWT2603-001</x:v>
      </x:c>
      <x:c r="C14" s="21" t="str">
        <x:v>950340030</x:v>
      </x:c>
      <x:c r="D14" s="21" t="str">
        <x:v>A</x:v>
      </x:c>
      <x:c r="E14" s="21" t="str">
        <x:v>01</x:v>
      </x:c>
      <x:c r="F14" s="29" t="str">
        <x:f>IF(OR(B14="",C14=""),"",B14&amp;"|"&amp;C14&amp;"|"&amp;IF(D14="","00",D14)&amp;"|"&amp;IF(E14="","01",E14))</x:f>
        <x:v>SWT2603-001|950340030|A|01</x:v>
      </x:c>
      <x:c r="G14" s="29" t="str">
        <x:f>IF(F14="","",F14&amp;"|"&amp;TEXT(A14,"000"))</x:f>
        <x:v>SWT2603-001|950340030|A|01|020</x:v>
      </x:c>
      <x:c r="H14" s="21" t="str">
        <x:v>Phay CNC</x:v>
      </x:c>
      <x:c r="I14" s="21" t="str">
        <x:v>PHAY_NC3</x:v>
      </x:c>
      <x:c r="J14" s="25" t="n">
        <x:v>30</x:v>
      </x:c>
      <x:c r="K14" s="25" t="n">
        <x:v>60</x:v>
      </x:c>
      <x:c r="L14" s="25" t="n">
        <x:v>10</x:v>
      </x:c>
      <x:c r="M14" s="39" t="n">
        <x:f>IF(G14="","",K14+L14*J14)</x:f>
        <x:v>360</x:v>
      </x:c>
      <x:c r="N14" s="35" t="n">
        <x:v>46270</x:v>
      </x:c>
      <x:c r="O14" s="35" t="n">
        <x:v>46278</x:v>
      </x:c>
      <x:c r="P14" s="21" t="str">
        <x:v>MC-MILL-01</x:v>
      </x:c>
      <x:c r="Q14" s="21" t="str">
        <x:v>Có</x:v>
      </x:c>
      <x:c r="R14" s="29" t="n">
        <x:f>IF(G14="","",MIN(J14,SUMIF('05_BAO_CAO_NGAY'!$K$6:$K$505,G14,'05_BAO_CAO_NGAY'!$V$6:$V$505)))</x:f>
        <x:v>24</x:v>
      </x:c>
      <x:c r="S14" s="37" t="n">
        <x:f>IF(G14="","",IFERROR(R14/J14,0))</x:f>
        <x:v>0.8</x:v>
      </x:c>
      <x:c r="T14" s="41" t="n">
        <x:f>IF(OR(G14="",COUNTIF('05_BAO_CAO_NGAY'!$K$6:$K$505,G14)=0),"",_xlfn.MINIFS('05_BAO_CAO_NGAY'!$B$6:$B$505,'05_BAO_CAO_NGAY'!$K$6:$K$505,G14))</x:f>
        <x:v>46270</x:v>
      </x:c>
      <x:c r="U14" s="41" t="str">
        <x:f>IF(OR(G14="",S14&lt;1),"",_xlfn.MAXIFS('05_BAO_CAO_NGAY'!$B$6:$B$505,'05_BAO_CAO_NGAY'!$K$6:$K$505,G14))</x:f>
      </x:c>
      <x:c r="V14" s="29" t="str">
        <x:f>IF(G14="","",IF(S14&gt;=1,IF(U14&lt;=O14,"Hoàn thành đúng hạn","Hoàn thành trễ"),IF(TODAY()&gt;O14,"Quá hạn",IF(R14&gt;0,"Đang thực hiện","Chưa bắt đầu"))))</x:f>
        <x:v>Quá hạn</x:v>
      </x:c>
      <x:c r="W14" s="37" t="n">
        <x:f>IF(G14="","",IFERROR(SUMIF('05_BAO_CAO_NGAY'!$K$6:$K$505,G14,'05_BAO_CAO_NGAY'!$AB$6:$AB$505)/SUMIF('05_BAO_CAO_NGAY'!$K$6:$K$505,G14,'05_BAO_CAO_NGAY'!$AC$6:$AC$505),0))</x:f>
        <x:v>0.30379746835532573</x:v>
      </x:c>
      <x:c r="X14" s="37" t="n">
        <x:f>IF(G14="","",IFERROR(SUMIFS('05_BAO_CAO_NGAY'!$W$6:$W$505,'05_BAO_CAO_NGAY'!$K$6:$K$505,G14,'05_BAO_CAO_NGAY'!$N$6:$N$505,"PRODUCTION")/SUMIFS('05_BAO_CAO_NGAY'!$U$6:$U$505,'05_BAO_CAO_NGAY'!$K$6:$K$505,G14,'05_BAO_CAO_NGAY'!$N$6:$N$505,"PRODUCTION"),0))</x:f>
        <x:v>0.96</x:v>
      </x:c>
      <x:c r="Y14" s="29" t="n">
        <x:f>IF(G14="","",SUMIF('05_BAO_CAO_NGAY'!$K$6:$K$505,G14,'05_BAO_CAO_NGAY'!$S$6:$S$505))</x:f>
        <x:v>30.00000000349246</x:v>
      </x:c>
      <x:c r="Z14" s="21" t="str"/>
    </x:row>
    <x:row r="15">
      <x:c r="A15" s="21"/>
      <x:c r="B15" s="21"/>
      <x:c r="C15" s="21"/>
      <x:c r="D15" s="21"/>
      <x:c r="E15" s="21"/>
      <x:c r="F15" s="29" t="str">
        <x:f>IF(OR(B15="",C15=""),"",B15&amp;"|"&amp;C15&amp;"|"&amp;IF(D15="","00",D15)&amp;"|"&amp;IF(E15="","01",E15))</x:f>
      </x:c>
      <x:c r="G15" s="29" t="str">
        <x:f>IF(F15="","",F15&amp;"|"&amp;TEXT(A15,"000"))</x:f>
      </x:c>
      <x:c r="H15" s="21"/>
      <x:c r="I15" s="21"/>
      <x:c r="J15" s="25"/>
      <x:c r="K15" s="25"/>
      <x:c r="L15" s="25"/>
      <x:c r="M15" s="39" t="str">
        <x:f>IF(G15="","",K15+L15*J15)</x:f>
      </x:c>
      <x:c r="N15" s="35"/>
      <x:c r="O15" s="35"/>
      <x:c r="P15" s="21"/>
      <x:c r="Q15" s="21"/>
      <x:c r="R15" s="29" t="str">
        <x:f>IF(G15="","",MIN(J15,SUMIF('05_BAO_CAO_NGAY'!$K$6:$K$505,G15,'05_BAO_CAO_NGAY'!$V$6:$V$505)))</x:f>
      </x:c>
      <x:c r="S15" s="37" t="str">
        <x:f>IF(G15="","",IFERROR(R15/J15,0))</x:f>
      </x:c>
      <x:c r="T15" s="41" t="str">
        <x:f>IF(OR(G15="",COUNTIF('05_BAO_CAO_NGAY'!$K$6:$K$505,G15)=0),"",_xlfn.MINIFS('05_BAO_CAO_NGAY'!$B$6:$B$505,'05_BAO_CAO_NGAY'!$K$6:$K$505,G15))</x:f>
      </x:c>
      <x:c r="U15" s="41" t="str">
        <x:f>IF(OR(G15="",S15&lt;1),"",_xlfn.MAXIFS('05_BAO_CAO_NGAY'!$B$6:$B$505,'05_BAO_CAO_NGAY'!$K$6:$K$505,G15))</x:f>
      </x:c>
      <x:c r="V15" s="29" t="str">
        <x:f>IF(G15="","",IF(S15&gt;=1,IF(U15&lt;=O15,"Hoàn thành đúng hạn","Hoàn thành trễ"),IF(TODAY()&gt;O15,"Quá hạn",IF(R15&gt;0,"Đang thực hiện","Chưa bắt đầu"))))</x:f>
      </x:c>
      <x:c r="W15" s="37" t="str">
        <x:f>IF(G15="","",IFERROR(SUMIF('05_BAO_CAO_NGAY'!$K$6:$K$505,G15,'05_BAO_CAO_NGAY'!$AB$6:$AB$505)/SUMIF('05_BAO_CAO_NGAY'!$K$6:$K$505,G15,'05_BAO_CAO_NGAY'!$AC$6:$AC$505),0))</x:f>
      </x:c>
      <x:c r="X15" s="37" t="str">
        <x:f>IF(G15="","",IFERROR(SUMIFS('05_BAO_CAO_NGAY'!$W$6:$W$505,'05_BAO_CAO_NGAY'!$K$6:$K$505,G15,'05_BAO_CAO_NGAY'!$N$6:$N$505,"PRODUCTION")/SUMIFS('05_BAO_CAO_NGAY'!$U$6:$U$505,'05_BAO_CAO_NGAY'!$K$6:$K$505,G15,'05_BAO_CAO_NGAY'!$N$6:$N$505,"PRODUCTION"),0))</x:f>
      </x:c>
      <x:c r="Y15" s="29" t="str">
        <x:f>IF(G15="","",SUMIF('05_BAO_CAO_NGAY'!$K$6:$K$505,G15,'05_BAO_CAO_NGAY'!$S$6:$S$505))</x:f>
      </x:c>
      <x:c r="Z15" s="21"/>
    </x:row>
    <x:row r="16">
      <x:c r="A16" s="21"/>
      <x:c r="B16" s="21"/>
      <x:c r="C16" s="21"/>
      <x:c r="D16" s="21"/>
      <x:c r="E16" s="21"/>
      <x:c r="F16" s="29" t="str">
        <x:f>IF(OR(B16="",C16=""),"",B16&amp;"|"&amp;C16&amp;"|"&amp;IF(D16="","00",D16)&amp;"|"&amp;IF(E16="","01",E16))</x:f>
      </x:c>
      <x:c r="G16" s="29" t="str">
        <x:f>IF(F16="","",F16&amp;"|"&amp;TEXT(A16,"000"))</x:f>
      </x:c>
      <x:c r="H16" s="21"/>
      <x:c r="I16" s="21"/>
      <x:c r="J16" s="25"/>
      <x:c r="K16" s="25"/>
      <x:c r="L16" s="25"/>
      <x:c r="M16" s="39" t="str">
        <x:f>IF(G16="","",K16+L16*J16)</x:f>
      </x:c>
      <x:c r="N16" s="35"/>
      <x:c r="O16" s="35"/>
      <x:c r="P16" s="21"/>
      <x:c r="Q16" s="21"/>
      <x:c r="R16" s="29" t="str">
        <x:f>IF(G16="","",MIN(J16,SUMIF('05_BAO_CAO_NGAY'!$K$6:$K$505,G16,'05_BAO_CAO_NGAY'!$V$6:$V$505)))</x:f>
      </x:c>
      <x:c r="S16" s="37" t="str">
        <x:f>IF(G16="","",IFERROR(R16/J16,0))</x:f>
      </x:c>
      <x:c r="T16" s="41" t="str">
        <x:f>IF(OR(G16="",COUNTIF('05_BAO_CAO_NGAY'!$K$6:$K$505,G16)=0),"",_xlfn.MINIFS('05_BAO_CAO_NGAY'!$B$6:$B$505,'05_BAO_CAO_NGAY'!$K$6:$K$505,G16))</x:f>
      </x:c>
      <x:c r="U16" s="41" t="str">
        <x:f>IF(OR(G16="",S16&lt;1),"",_xlfn.MAXIFS('05_BAO_CAO_NGAY'!$B$6:$B$505,'05_BAO_CAO_NGAY'!$K$6:$K$505,G16))</x:f>
      </x:c>
      <x:c r="V16" s="29" t="str">
        <x:f>IF(G16="","",IF(S16&gt;=1,IF(U16&lt;=O16,"Hoàn thành đúng hạn","Hoàn thành trễ"),IF(TODAY()&gt;O16,"Quá hạn",IF(R16&gt;0,"Đang thực hiện","Chưa bắt đầu"))))</x:f>
      </x:c>
      <x:c r="W16" s="37" t="str">
        <x:f>IF(G16="","",IFERROR(SUMIF('05_BAO_CAO_NGAY'!$K$6:$K$505,G16,'05_BAO_CAO_NGAY'!$AB$6:$AB$505)/SUMIF('05_BAO_CAO_NGAY'!$K$6:$K$505,G16,'05_BAO_CAO_NGAY'!$AC$6:$AC$505),0))</x:f>
      </x:c>
      <x:c r="X16" s="37" t="str">
        <x:f>IF(G16="","",IFERROR(SUMIFS('05_BAO_CAO_NGAY'!$W$6:$W$505,'05_BAO_CAO_NGAY'!$K$6:$K$505,G16,'05_BAO_CAO_NGAY'!$N$6:$N$505,"PRODUCTION")/SUMIFS('05_BAO_CAO_NGAY'!$U$6:$U$505,'05_BAO_CAO_NGAY'!$K$6:$K$505,G16,'05_BAO_CAO_NGAY'!$N$6:$N$505,"PRODUCTION"),0))</x:f>
      </x:c>
      <x:c r="Y16" s="29" t="str">
        <x:f>IF(G16="","",SUMIF('05_BAO_CAO_NGAY'!$K$6:$K$505,G16,'05_BAO_CAO_NGAY'!$S$6:$S$505))</x:f>
      </x:c>
      <x:c r="Z16" s="21"/>
    </x:row>
    <x:row r="17">
      <x:c r="A17" s="21"/>
      <x:c r="B17" s="21"/>
      <x:c r="C17" s="21"/>
      <x:c r="D17" s="21"/>
      <x:c r="E17" s="21"/>
      <x:c r="F17" s="29" t="str">
        <x:f>IF(OR(B17="",C17=""),"",B17&amp;"|"&amp;C17&amp;"|"&amp;IF(D17="","00",D17)&amp;"|"&amp;IF(E17="","01",E17))</x:f>
      </x:c>
      <x:c r="G17" s="29" t="str">
        <x:f>IF(F17="","",F17&amp;"|"&amp;TEXT(A17,"000"))</x:f>
      </x:c>
      <x:c r="H17" s="21"/>
      <x:c r="I17" s="21"/>
      <x:c r="J17" s="25"/>
      <x:c r="K17" s="25"/>
      <x:c r="L17" s="25"/>
      <x:c r="M17" s="39" t="str">
        <x:f>IF(G17="","",K17+L17*J17)</x:f>
      </x:c>
      <x:c r="N17" s="35"/>
      <x:c r="O17" s="35"/>
      <x:c r="P17" s="21"/>
      <x:c r="Q17" s="21"/>
      <x:c r="R17" s="29" t="str">
        <x:f>IF(G17="","",MIN(J17,SUMIF('05_BAO_CAO_NGAY'!$K$6:$K$505,G17,'05_BAO_CAO_NGAY'!$V$6:$V$505)))</x:f>
      </x:c>
      <x:c r="S17" s="37" t="str">
        <x:f>IF(G17="","",IFERROR(R17/J17,0))</x:f>
      </x:c>
      <x:c r="T17" s="41" t="str">
        <x:f>IF(OR(G17="",COUNTIF('05_BAO_CAO_NGAY'!$K$6:$K$505,G17)=0),"",_xlfn.MINIFS('05_BAO_CAO_NGAY'!$B$6:$B$505,'05_BAO_CAO_NGAY'!$K$6:$K$505,G17))</x:f>
      </x:c>
      <x:c r="U17" s="41" t="str">
        <x:f>IF(OR(G17="",S17&lt;1),"",_xlfn.MAXIFS('05_BAO_CAO_NGAY'!$B$6:$B$505,'05_BAO_CAO_NGAY'!$K$6:$K$505,G17))</x:f>
      </x:c>
      <x:c r="V17" s="29" t="str">
        <x:f>IF(G17="","",IF(S17&gt;=1,IF(U17&lt;=O17,"Hoàn thành đúng hạn","Hoàn thành trễ"),IF(TODAY()&gt;O17,"Quá hạn",IF(R17&gt;0,"Đang thực hiện","Chưa bắt đầu"))))</x:f>
      </x:c>
      <x:c r="W17" s="37" t="str">
        <x:f>IF(G17="","",IFERROR(SUMIF('05_BAO_CAO_NGAY'!$K$6:$K$505,G17,'05_BAO_CAO_NGAY'!$AB$6:$AB$505)/SUMIF('05_BAO_CAO_NGAY'!$K$6:$K$505,G17,'05_BAO_CAO_NGAY'!$AC$6:$AC$505),0))</x:f>
      </x:c>
      <x:c r="X17" s="37" t="str">
        <x:f>IF(G17="","",IFERROR(SUMIFS('05_BAO_CAO_NGAY'!$W$6:$W$505,'05_BAO_CAO_NGAY'!$K$6:$K$505,G17,'05_BAO_CAO_NGAY'!$N$6:$N$505,"PRODUCTION")/SUMIFS('05_BAO_CAO_NGAY'!$U$6:$U$505,'05_BAO_CAO_NGAY'!$K$6:$K$505,G17,'05_BAO_CAO_NGAY'!$N$6:$N$505,"PRODUCTION"),0))</x:f>
      </x:c>
      <x:c r="Y17" s="29" t="str">
        <x:f>IF(G17="","",SUMIF('05_BAO_CAO_NGAY'!$K$6:$K$505,G17,'05_BAO_CAO_NGAY'!$S$6:$S$505))</x:f>
      </x:c>
      <x:c r="Z17" s="21"/>
    </x:row>
    <x:row r="18">
      <x:c r="A18" s="21"/>
      <x:c r="B18" s="21"/>
      <x:c r="C18" s="21"/>
      <x:c r="D18" s="21"/>
      <x:c r="E18" s="21"/>
      <x:c r="F18" s="29" t="str">
        <x:f>IF(OR(B18="",C18=""),"",B18&amp;"|"&amp;C18&amp;"|"&amp;IF(D18="","00",D18)&amp;"|"&amp;IF(E18="","01",E18))</x:f>
      </x:c>
      <x:c r="G18" s="29" t="str">
        <x:f>IF(F18="","",F18&amp;"|"&amp;TEXT(A18,"000"))</x:f>
      </x:c>
      <x:c r="H18" s="21"/>
      <x:c r="I18" s="21"/>
      <x:c r="J18" s="25"/>
      <x:c r="K18" s="25"/>
      <x:c r="L18" s="25"/>
      <x:c r="M18" s="39" t="str">
        <x:f>IF(G18="","",K18+L18*J18)</x:f>
      </x:c>
      <x:c r="N18" s="35"/>
      <x:c r="O18" s="35"/>
      <x:c r="P18" s="21"/>
      <x:c r="Q18" s="21"/>
      <x:c r="R18" s="29" t="str">
        <x:f>IF(G18="","",MIN(J18,SUMIF('05_BAO_CAO_NGAY'!$K$6:$K$505,G18,'05_BAO_CAO_NGAY'!$V$6:$V$505)))</x:f>
      </x:c>
      <x:c r="S18" s="37" t="str">
        <x:f>IF(G18="","",IFERROR(R18/J18,0))</x:f>
      </x:c>
      <x:c r="T18" s="41" t="str">
        <x:f>IF(OR(G18="",COUNTIF('05_BAO_CAO_NGAY'!$K$6:$K$505,G18)=0),"",_xlfn.MINIFS('05_BAO_CAO_NGAY'!$B$6:$B$505,'05_BAO_CAO_NGAY'!$K$6:$K$505,G18))</x:f>
      </x:c>
      <x:c r="U18" s="41" t="str">
        <x:f>IF(OR(G18="",S18&lt;1),"",_xlfn.MAXIFS('05_BAO_CAO_NGAY'!$B$6:$B$505,'05_BAO_CAO_NGAY'!$K$6:$K$505,G18))</x:f>
      </x:c>
      <x:c r="V18" s="29" t="str">
        <x:f>IF(G18="","",IF(S18&gt;=1,IF(U18&lt;=O18,"Hoàn thành đúng hạn","Hoàn thành trễ"),IF(TODAY()&gt;O18,"Quá hạn",IF(R18&gt;0,"Đang thực hiện","Chưa bắt đầu"))))</x:f>
      </x:c>
      <x:c r="W18" s="37" t="str">
        <x:f>IF(G18="","",IFERROR(SUMIF('05_BAO_CAO_NGAY'!$K$6:$K$505,G18,'05_BAO_CAO_NGAY'!$AB$6:$AB$505)/SUMIF('05_BAO_CAO_NGAY'!$K$6:$K$505,G18,'05_BAO_CAO_NGAY'!$AC$6:$AC$505),0))</x:f>
      </x:c>
      <x:c r="X18" s="37" t="str">
        <x:f>IF(G18="","",IFERROR(SUMIFS('05_BAO_CAO_NGAY'!$W$6:$W$505,'05_BAO_CAO_NGAY'!$K$6:$K$505,G18,'05_BAO_CAO_NGAY'!$N$6:$N$505,"PRODUCTION")/SUMIFS('05_BAO_CAO_NGAY'!$U$6:$U$505,'05_BAO_CAO_NGAY'!$K$6:$K$505,G18,'05_BAO_CAO_NGAY'!$N$6:$N$505,"PRODUCTION"),0))</x:f>
      </x:c>
      <x:c r="Y18" s="29" t="str">
        <x:f>IF(G18="","",SUMIF('05_BAO_CAO_NGAY'!$K$6:$K$505,G18,'05_BAO_CAO_NGAY'!$S$6:$S$505))</x:f>
      </x:c>
      <x:c r="Z18" s="21"/>
    </x:row>
    <x:row r="19">
      <x:c r="A19" s="21"/>
      <x:c r="B19" s="21"/>
      <x:c r="C19" s="21"/>
      <x:c r="D19" s="21"/>
      <x:c r="E19" s="21"/>
      <x:c r="F19" s="29" t="str">
        <x:f>IF(OR(B19="",C19=""),"",B19&amp;"|"&amp;C19&amp;"|"&amp;IF(D19="","00",D19)&amp;"|"&amp;IF(E19="","01",E19))</x:f>
      </x:c>
      <x:c r="G19" s="29" t="str">
        <x:f>IF(F19="","",F19&amp;"|"&amp;TEXT(A19,"000"))</x:f>
      </x:c>
      <x:c r="H19" s="21"/>
      <x:c r="I19" s="21"/>
      <x:c r="J19" s="25"/>
      <x:c r="K19" s="25"/>
      <x:c r="L19" s="25"/>
      <x:c r="M19" s="39" t="str">
        <x:f>IF(G19="","",K19+L19*J19)</x:f>
      </x:c>
      <x:c r="N19" s="35"/>
      <x:c r="O19" s="35"/>
      <x:c r="P19" s="21"/>
      <x:c r="Q19" s="21"/>
      <x:c r="R19" s="29" t="str">
        <x:f>IF(G19="","",MIN(J19,SUMIF('05_BAO_CAO_NGAY'!$K$6:$K$505,G19,'05_BAO_CAO_NGAY'!$V$6:$V$505)))</x:f>
      </x:c>
      <x:c r="S19" s="37" t="str">
        <x:f>IF(G19="","",IFERROR(R19/J19,0))</x:f>
      </x:c>
      <x:c r="T19" s="41" t="str">
        <x:f>IF(OR(G19="",COUNTIF('05_BAO_CAO_NGAY'!$K$6:$K$505,G19)=0),"",_xlfn.MINIFS('05_BAO_CAO_NGAY'!$B$6:$B$505,'05_BAO_CAO_NGAY'!$K$6:$K$505,G19))</x:f>
      </x:c>
      <x:c r="U19" s="41" t="str">
        <x:f>IF(OR(G19="",S19&lt;1),"",_xlfn.MAXIFS('05_BAO_CAO_NGAY'!$B$6:$B$505,'05_BAO_CAO_NGAY'!$K$6:$K$505,G19))</x:f>
      </x:c>
      <x:c r="V19" s="29" t="str">
        <x:f>IF(G19="","",IF(S19&gt;=1,IF(U19&lt;=O19,"Hoàn thành đúng hạn","Hoàn thành trễ"),IF(TODAY()&gt;O19,"Quá hạn",IF(R19&gt;0,"Đang thực hiện","Chưa bắt đầu"))))</x:f>
      </x:c>
      <x:c r="W19" s="37" t="str">
        <x:f>IF(G19="","",IFERROR(SUMIF('05_BAO_CAO_NGAY'!$K$6:$K$505,G19,'05_BAO_CAO_NGAY'!$AB$6:$AB$505)/SUMIF('05_BAO_CAO_NGAY'!$K$6:$K$505,G19,'05_BAO_CAO_NGAY'!$AC$6:$AC$505),0))</x:f>
      </x:c>
      <x:c r="X19" s="37" t="str">
        <x:f>IF(G19="","",IFERROR(SUMIFS('05_BAO_CAO_NGAY'!$W$6:$W$505,'05_BAO_CAO_NGAY'!$K$6:$K$505,G19,'05_BAO_CAO_NGAY'!$N$6:$N$505,"PRODUCTION")/SUMIFS('05_BAO_CAO_NGAY'!$U$6:$U$505,'05_BAO_CAO_NGAY'!$K$6:$K$505,G19,'05_BAO_CAO_NGAY'!$N$6:$N$505,"PRODUCTION"),0))</x:f>
      </x:c>
      <x:c r="Y19" s="29" t="str">
        <x:f>IF(G19="","",SUMIF('05_BAO_CAO_NGAY'!$K$6:$K$505,G19,'05_BAO_CAO_NGAY'!$S$6:$S$505))</x:f>
      </x:c>
      <x:c r="Z19" s="21"/>
    </x:row>
    <x:row r="20">
      <x:c r="A20" s="21"/>
      <x:c r="B20" s="21"/>
      <x:c r="C20" s="21"/>
      <x:c r="D20" s="21"/>
      <x:c r="E20" s="21"/>
      <x:c r="F20" s="29" t="str">
        <x:f>IF(OR(B20="",C20=""),"",B20&amp;"|"&amp;C20&amp;"|"&amp;IF(D20="","00",D20)&amp;"|"&amp;IF(E20="","01",E20))</x:f>
      </x:c>
      <x:c r="G20" s="29" t="str">
        <x:f>IF(F20="","",F20&amp;"|"&amp;TEXT(A20,"000"))</x:f>
      </x:c>
      <x:c r="H20" s="21"/>
      <x:c r="I20" s="21"/>
      <x:c r="J20" s="25"/>
      <x:c r="K20" s="25"/>
      <x:c r="L20" s="25"/>
      <x:c r="M20" s="39" t="str">
        <x:f>IF(G20="","",K20+L20*J20)</x:f>
      </x:c>
      <x:c r="N20" s="35"/>
      <x:c r="O20" s="35"/>
      <x:c r="P20" s="21"/>
      <x:c r="Q20" s="21"/>
      <x:c r="R20" s="29" t="str">
        <x:f>IF(G20="","",MIN(J20,SUMIF('05_BAO_CAO_NGAY'!$K$6:$K$505,G20,'05_BAO_CAO_NGAY'!$V$6:$V$505)))</x:f>
      </x:c>
      <x:c r="S20" s="37" t="str">
        <x:f>IF(G20="","",IFERROR(R20/J20,0))</x:f>
      </x:c>
      <x:c r="T20" s="41" t="str">
        <x:f>IF(OR(G20="",COUNTIF('05_BAO_CAO_NGAY'!$K$6:$K$505,G20)=0),"",_xlfn.MINIFS('05_BAO_CAO_NGAY'!$B$6:$B$505,'05_BAO_CAO_NGAY'!$K$6:$K$505,G20))</x:f>
      </x:c>
      <x:c r="U20" s="41" t="str">
        <x:f>IF(OR(G20="",S20&lt;1),"",_xlfn.MAXIFS('05_BAO_CAO_NGAY'!$B$6:$B$505,'05_BAO_CAO_NGAY'!$K$6:$K$505,G20))</x:f>
      </x:c>
      <x:c r="V20" s="29" t="str">
        <x:f>IF(G20="","",IF(S20&gt;=1,IF(U20&lt;=O20,"Hoàn thành đúng hạn","Hoàn thành trễ"),IF(TODAY()&gt;O20,"Quá hạn",IF(R20&gt;0,"Đang thực hiện","Chưa bắt đầu"))))</x:f>
      </x:c>
      <x:c r="W20" s="37" t="str">
        <x:f>IF(G20="","",IFERROR(SUMIF('05_BAO_CAO_NGAY'!$K$6:$K$505,G20,'05_BAO_CAO_NGAY'!$AB$6:$AB$505)/SUMIF('05_BAO_CAO_NGAY'!$K$6:$K$505,G20,'05_BAO_CAO_NGAY'!$AC$6:$AC$505),0))</x:f>
      </x:c>
      <x:c r="X20" s="37" t="str">
        <x:f>IF(G20="","",IFERROR(SUMIFS('05_BAO_CAO_NGAY'!$W$6:$W$505,'05_BAO_CAO_NGAY'!$K$6:$K$505,G20,'05_BAO_CAO_NGAY'!$N$6:$N$505,"PRODUCTION")/SUMIFS('05_BAO_CAO_NGAY'!$U$6:$U$505,'05_BAO_CAO_NGAY'!$K$6:$K$505,G20,'05_BAO_CAO_NGAY'!$N$6:$N$505,"PRODUCTION"),0))</x:f>
      </x:c>
      <x:c r="Y20" s="29" t="str">
        <x:f>IF(G20="","",SUMIF('05_BAO_CAO_NGAY'!$K$6:$K$505,G20,'05_BAO_CAO_NGAY'!$S$6:$S$505))</x:f>
      </x:c>
      <x:c r="Z20" s="21"/>
    </x:row>
    <x:row r="21">
      <x:c r="A21" s="21"/>
      <x:c r="B21" s="21"/>
      <x:c r="C21" s="21"/>
      <x:c r="D21" s="21"/>
      <x:c r="E21" s="21"/>
      <x:c r="F21" s="29" t="str">
        <x:f>IF(OR(B21="",C21=""),"",B21&amp;"|"&amp;C21&amp;"|"&amp;IF(D21="","00",D21)&amp;"|"&amp;IF(E21="","01",E21))</x:f>
      </x:c>
      <x:c r="G21" s="29" t="str">
        <x:f>IF(F21="","",F21&amp;"|"&amp;TEXT(A21,"000"))</x:f>
      </x:c>
      <x:c r="H21" s="21"/>
      <x:c r="I21" s="21"/>
      <x:c r="J21" s="25"/>
      <x:c r="K21" s="25"/>
      <x:c r="L21" s="25"/>
      <x:c r="M21" s="39" t="str">
        <x:f>IF(G21="","",K21+L21*J21)</x:f>
      </x:c>
      <x:c r="N21" s="35"/>
      <x:c r="O21" s="35"/>
      <x:c r="P21" s="21"/>
      <x:c r="Q21" s="21"/>
      <x:c r="R21" s="29" t="str">
        <x:f>IF(G21="","",MIN(J21,SUMIF('05_BAO_CAO_NGAY'!$K$6:$K$505,G21,'05_BAO_CAO_NGAY'!$V$6:$V$505)))</x:f>
      </x:c>
      <x:c r="S21" s="37" t="str">
        <x:f>IF(G21="","",IFERROR(R21/J21,0))</x:f>
      </x:c>
      <x:c r="T21" s="41" t="str">
        <x:f>IF(OR(G21="",COUNTIF('05_BAO_CAO_NGAY'!$K$6:$K$505,G21)=0),"",_xlfn.MINIFS('05_BAO_CAO_NGAY'!$B$6:$B$505,'05_BAO_CAO_NGAY'!$K$6:$K$505,G21))</x:f>
      </x:c>
      <x:c r="U21" s="41" t="str">
        <x:f>IF(OR(G21="",S21&lt;1),"",_xlfn.MAXIFS('05_BAO_CAO_NGAY'!$B$6:$B$505,'05_BAO_CAO_NGAY'!$K$6:$K$505,G21))</x:f>
      </x:c>
      <x:c r="V21" s="29" t="str">
        <x:f>IF(G21="","",IF(S21&gt;=1,IF(U21&lt;=O21,"Hoàn thành đúng hạn","Hoàn thành trễ"),IF(TODAY()&gt;O21,"Quá hạn",IF(R21&gt;0,"Đang thực hiện","Chưa bắt đầu"))))</x:f>
      </x:c>
      <x:c r="W21" s="37" t="str">
        <x:f>IF(G21="","",IFERROR(SUMIF('05_BAO_CAO_NGAY'!$K$6:$K$505,G21,'05_BAO_CAO_NGAY'!$AB$6:$AB$505)/SUMIF('05_BAO_CAO_NGAY'!$K$6:$K$505,G21,'05_BAO_CAO_NGAY'!$AC$6:$AC$505),0))</x:f>
      </x:c>
      <x:c r="X21" s="37" t="str">
        <x:f>IF(G21="","",IFERROR(SUMIFS('05_BAO_CAO_NGAY'!$W$6:$W$505,'05_BAO_CAO_NGAY'!$K$6:$K$505,G21,'05_BAO_CAO_NGAY'!$N$6:$N$505,"PRODUCTION")/SUMIFS('05_BAO_CAO_NGAY'!$U$6:$U$505,'05_BAO_CAO_NGAY'!$K$6:$K$505,G21,'05_BAO_CAO_NGAY'!$N$6:$N$505,"PRODUCTION"),0))</x:f>
      </x:c>
      <x:c r="Y21" s="29" t="str">
        <x:f>IF(G21="","",SUMIF('05_BAO_CAO_NGAY'!$K$6:$K$505,G21,'05_BAO_CAO_NGAY'!$S$6:$S$505))</x:f>
      </x:c>
      <x:c r="Z21" s="21"/>
    </x:row>
    <x:row r="22">
      <x:c r="A22" s="21"/>
      <x:c r="B22" s="21"/>
      <x:c r="C22" s="21"/>
      <x:c r="D22" s="21"/>
      <x:c r="E22" s="21"/>
      <x:c r="F22" s="29" t="str">
        <x:f>IF(OR(B22="",C22=""),"",B22&amp;"|"&amp;C22&amp;"|"&amp;IF(D22="","00",D22)&amp;"|"&amp;IF(E22="","01",E22))</x:f>
      </x:c>
      <x:c r="G22" s="29" t="str">
        <x:f>IF(F22="","",F22&amp;"|"&amp;TEXT(A22,"000"))</x:f>
      </x:c>
      <x:c r="H22" s="21"/>
      <x:c r="I22" s="21"/>
      <x:c r="J22" s="25"/>
      <x:c r="K22" s="25"/>
      <x:c r="L22" s="25"/>
      <x:c r="M22" s="39" t="str">
        <x:f>IF(G22="","",K22+L22*J22)</x:f>
      </x:c>
      <x:c r="N22" s="35"/>
      <x:c r="O22" s="35"/>
      <x:c r="P22" s="21"/>
      <x:c r="Q22" s="21"/>
      <x:c r="R22" s="29" t="str">
        <x:f>IF(G22="","",MIN(J22,SUMIF('05_BAO_CAO_NGAY'!$K$6:$K$505,G22,'05_BAO_CAO_NGAY'!$V$6:$V$505)))</x:f>
      </x:c>
      <x:c r="S22" s="37" t="str">
        <x:f>IF(G22="","",IFERROR(R22/J22,0))</x:f>
      </x:c>
      <x:c r="T22" s="41" t="str">
        <x:f>IF(OR(G22="",COUNTIF('05_BAO_CAO_NGAY'!$K$6:$K$505,G22)=0),"",_xlfn.MINIFS('05_BAO_CAO_NGAY'!$B$6:$B$505,'05_BAO_CAO_NGAY'!$K$6:$K$505,G22))</x:f>
      </x:c>
      <x:c r="U22" s="41" t="str">
        <x:f>IF(OR(G22="",S22&lt;1),"",_xlfn.MAXIFS('05_BAO_CAO_NGAY'!$B$6:$B$505,'05_BAO_CAO_NGAY'!$K$6:$K$505,G22))</x:f>
      </x:c>
      <x:c r="V22" s="29" t="str">
        <x:f>IF(G22="","",IF(S22&gt;=1,IF(U22&lt;=O22,"Hoàn thành đúng hạn","Hoàn thành trễ"),IF(TODAY()&gt;O22,"Quá hạn",IF(R22&gt;0,"Đang thực hiện","Chưa bắt đầu"))))</x:f>
      </x:c>
      <x:c r="W22" s="37" t="str">
        <x:f>IF(G22="","",IFERROR(SUMIF('05_BAO_CAO_NGAY'!$K$6:$K$505,G22,'05_BAO_CAO_NGAY'!$AB$6:$AB$505)/SUMIF('05_BAO_CAO_NGAY'!$K$6:$K$505,G22,'05_BAO_CAO_NGAY'!$AC$6:$AC$505),0))</x:f>
      </x:c>
      <x:c r="X22" s="37" t="str">
        <x:f>IF(G22="","",IFERROR(SUMIFS('05_BAO_CAO_NGAY'!$W$6:$W$505,'05_BAO_CAO_NGAY'!$K$6:$K$505,G22,'05_BAO_CAO_NGAY'!$N$6:$N$505,"PRODUCTION")/SUMIFS('05_BAO_CAO_NGAY'!$U$6:$U$505,'05_BAO_CAO_NGAY'!$K$6:$K$505,G22,'05_BAO_CAO_NGAY'!$N$6:$N$505,"PRODUCTION"),0))</x:f>
      </x:c>
      <x:c r="Y22" s="29" t="str">
        <x:f>IF(G22="","",SUMIF('05_BAO_CAO_NGAY'!$K$6:$K$505,G22,'05_BAO_CAO_NGAY'!$S$6:$S$505))</x:f>
      </x:c>
      <x:c r="Z22" s="21"/>
    </x:row>
    <x:row r="23">
      <x:c r="A23" s="21"/>
      <x:c r="B23" s="21"/>
      <x:c r="C23" s="21"/>
      <x:c r="D23" s="21"/>
      <x:c r="E23" s="21"/>
      <x:c r="F23" s="29" t="str">
        <x:f>IF(OR(B23="",C23=""),"",B23&amp;"|"&amp;C23&amp;"|"&amp;IF(D23="","00",D23)&amp;"|"&amp;IF(E23="","01",E23))</x:f>
      </x:c>
      <x:c r="G23" s="29" t="str">
        <x:f>IF(F23="","",F23&amp;"|"&amp;TEXT(A23,"000"))</x:f>
      </x:c>
      <x:c r="H23" s="21"/>
      <x:c r="I23" s="21"/>
      <x:c r="J23" s="25"/>
      <x:c r="K23" s="25"/>
      <x:c r="L23" s="25"/>
      <x:c r="M23" s="39" t="str">
        <x:f>IF(G23="","",K23+L23*J23)</x:f>
      </x:c>
      <x:c r="N23" s="35"/>
      <x:c r="O23" s="35"/>
      <x:c r="P23" s="21"/>
      <x:c r="Q23" s="21"/>
      <x:c r="R23" s="29" t="str">
        <x:f>IF(G23="","",MIN(J23,SUMIF('05_BAO_CAO_NGAY'!$K$6:$K$505,G23,'05_BAO_CAO_NGAY'!$V$6:$V$505)))</x:f>
      </x:c>
      <x:c r="S23" s="37" t="str">
        <x:f>IF(G23="","",IFERROR(R23/J23,0))</x:f>
      </x:c>
      <x:c r="T23" s="41" t="str">
        <x:f>IF(OR(G23="",COUNTIF('05_BAO_CAO_NGAY'!$K$6:$K$505,G23)=0),"",_xlfn.MINIFS('05_BAO_CAO_NGAY'!$B$6:$B$505,'05_BAO_CAO_NGAY'!$K$6:$K$505,G23))</x:f>
      </x:c>
      <x:c r="U23" s="41" t="str">
        <x:f>IF(OR(G23="",S23&lt;1),"",_xlfn.MAXIFS('05_BAO_CAO_NGAY'!$B$6:$B$505,'05_BAO_CAO_NGAY'!$K$6:$K$505,G23))</x:f>
      </x:c>
      <x:c r="V23" s="29" t="str">
        <x:f>IF(G23="","",IF(S23&gt;=1,IF(U23&lt;=O23,"Hoàn thành đúng hạn","Hoàn thành trễ"),IF(TODAY()&gt;O23,"Quá hạn",IF(R23&gt;0,"Đang thực hiện","Chưa bắt đầu"))))</x:f>
      </x:c>
      <x:c r="W23" s="37" t="str">
        <x:f>IF(G23="","",IFERROR(SUMIF('05_BAO_CAO_NGAY'!$K$6:$K$505,G23,'05_BAO_CAO_NGAY'!$AB$6:$AB$505)/SUMIF('05_BAO_CAO_NGAY'!$K$6:$K$505,G23,'05_BAO_CAO_NGAY'!$AC$6:$AC$505),0))</x:f>
      </x:c>
      <x:c r="X23" s="37" t="str">
        <x:f>IF(G23="","",IFERROR(SUMIFS('05_BAO_CAO_NGAY'!$W$6:$W$505,'05_BAO_CAO_NGAY'!$K$6:$K$505,G23,'05_BAO_CAO_NGAY'!$N$6:$N$505,"PRODUCTION")/SUMIFS('05_BAO_CAO_NGAY'!$U$6:$U$505,'05_BAO_CAO_NGAY'!$K$6:$K$505,G23,'05_BAO_CAO_NGAY'!$N$6:$N$505,"PRODUCTION"),0))</x:f>
      </x:c>
      <x:c r="Y23" s="29" t="str">
        <x:f>IF(G23="","",SUMIF('05_BAO_CAO_NGAY'!$K$6:$K$505,G23,'05_BAO_CAO_NGAY'!$S$6:$S$505))</x:f>
      </x:c>
      <x:c r="Z23" s="21"/>
    </x:row>
    <x:row r="24">
      <x:c r="A24" s="21"/>
      <x:c r="B24" s="21"/>
      <x:c r="C24" s="21"/>
      <x:c r="D24" s="21"/>
      <x:c r="E24" s="21"/>
      <x:c r="F24" s="29" t="str">
        <x:f>IF(OR(B24="",C24=""),"",B24&amp;"|"&amp;C24&amp;"|"&amp;IF(D24="","00",D24)&amp;"|"&amp;IF(E24="","01",E24))</x:f>
      </x:c>
      <x:c r="G24" s="29" t="str">
        <x:f>IF(F24="","",F24&amp;"|"&amp;TEXT(A24,"000"))</x:f>
      </x:c>
      <x:c r="H24" s="21"/>
      <x:c r="I24" s="21"/>
      <x:c r="J24" s="25"/>
      <x:c r="K24" s="25"/>
      <x:c r="L24" s="25"/>
      <x:c r="M24" s="39" t="str">
        <x:f>IF(G24="","",K24+L24*J24)</x:f>
      </x:c>
      <x:c r="N24" s="35"/>
      <x:c r="O24" s="35"/>
      <x:c r="P24" s="21"/>
      <x:c r="Q24" s="21"/>
      <x:c r="R24" s="29" t="str">
        <x:f>IF(G24="","",MIN(J24,SUMIF('05_BAO_CAO_NGAY'!$K$6:$K$505,G24,'05_BAO_CAO_NGAY'!$V$6:$V$505)))</x:f>
      </x:c>
      <x:c r="S24" s="37" t="str">
        <x:f>IF(G24="","",IFERROR(R24/J24,0))</x:f>
      </x:c>
      <x:c r="T24" s="41" t="str">
        <x:f>IF(OR(G24="",COUNTIF('05_BAO_CAO_NGAY'!$K$6:$K$505,G24)=0),"",_xlfn.MINIFS('05_BAO_CAO_NGAY'!$B$6:$B$505,'05_BAO_CAO_NGAY'!$K$6:$K$505,G24))</x:f>
      </x:c>
      <x:c r="U24" s="41" t="str">
        <x:f>IF(OR(G24="",S24&lt;1),"",_xlfn.MAXIFS('05_BAO_CAO_NGAY'!$B$6:$B$505,'05_BAO_CAO_NGAY'!$K$6:$K$505,G24))</x:f>
      </x:c>
      <x:c r="V24" s="29" t="str">
        <x:f>IF(G24="","",IF(S24&gt;=1,IF(U24&lt;=O24,"Hoàn thành đúng hạn","Hoàn thành trễ"),IF(TODAY()&gt;O24,"Quá hạn",IF(R24&gt;0,"Đang thực hiện","Chưa bắt đầu"))))</x:f>
      </x:c>
      <x:c r="W24" s="37" t="str">
        <x:f>IF(G24="","",IFERROR(SUMIF('05_BAO_CAO_NGAY'!$K$6:$K$505,G24,'05_BAO_CAO_NGAY'!$AB$6:$AB$505)/SUMIF('05_BAO_CAO_NGAY'!$K$6:$K$505,G24,'05_BAO_CAO_NGAY'!$AC$6:$AC$505),0))</x:f>
      </x:c>
      <x:c r="X24" s="37" t="str">
        <x:f>IF(G24="","",IFERROR(SUMIFS('05_BAO_CAO_NGAY'!$W$6:$W$505,'05_BAO_CAO_NGAY'!$K$6:$K$505,G24,'05_BAO_CAO_NGAY'!$N$6:$N$505,"PRODUCTION")/SUMIFS('05_BAO_CAO_NGAY'!$U$6:$U$505,'05_BAO_CAO_NGAY'!$K$6:$K$505,G24,'05_BAO_CAO_NGAY'!$N$6:$N$505,"PRODUCTION"),0))</x:f>
      </x:c>
      <x:c r="Y24" s="29" t="str">
        <x:f>IF(G24="","",SUMIF('05_BAO_CAO_NGAY'!$K$6:$K$505,G24,'05_BAO_CAO_NGAY'!$S$6:$S$505))</x:f>
      </x:c>
      <x:c r="Z24" s="21"/>
    </x:row>
    <x:row r="25">
      <x:c r="A25" s="21"/>
      <x:c r="B25" s="21"/>
      <x:c r="C25" s="21"/>
      <x:c r="D25" s="21"/>
      <x:c r="E25" s="21"/>
      <x:c r="F25" s="29" t="str">
        <x:f>IF(OR(B25="",C25=""),"",B25&amp;"|"&amp;C25&amp;"|"&amp;IF(D25="","00",D25)&amp;"|"&amp;IF(E25="","01",E25))</x:f>
      </x:c>
      <x:c r="G25" s="29" t="str">
        <x:f>IF(F25="","",F25&amp;"|"&amp;TEXT(A25,"000"))</x:f>
      </x:c>
      <x:c r="H25" s="21"/>
      <x:c r="I25" s="21"/>
      <x:c r="J25" s="25"/>
      <x:c r="K25" s="25"/>
      <x:c r="L25" s="25"/>
      <x:c r="M25" s="39" t="str">
        <x:f>IF(G25="","",K25+L25*J25)</x:f>
      </x:c>
      <x:c r="N25" s="35"/>
      <x:c r="O25" s="35"/>
      <x:c r="P25" s="21"/>
      <x:c r="Q25" s="21"/>
      <x:c r="R25" s="29" t="str">
        <x:f>IF(G25="","",MIN(J25,SUMIF('05_BAO_CAO_NGAY'!$K$6:$K$505,G25,'05_BAO_CAO_NGAY'!$V$6:$V$505)))</x:f>
      </x:c>
      <x:c r="S25" s="37" t="str">
        <x:f>IF(G25="","",IFERROR(R25/J25,0))</x:f>
      </x:c>
      <x:c r="T25" s="41" t="str">
        <x:f>IF(OR(G25="",COUNTIF('05_BAO_CAO_NGAY'!$K$6:$K$505,G25)=0),"",_xlfn.MINIFS('05_BAO_CAO_NGAY'!$B$6:$B$505,'05_BAO_CAO_NGAY'!$K$6:$K$505,G25))</x:f>
      </x:c>
      <x:c r="U25" s="41" t="str">
        <x:f>IF(OR(G25="",S25&lt;1),"",_xlfn.MAXIFS('05_BAO_CAO_NGAY'!$B$6:$B$505,'05_BAO_CAO_NGAY'!$K$6:$K$505,G25))</x:f>
      </x:c>
      <x:c r="V25" s="29" t="str">
        <x:f>IF(G25="","",IF(S25&gt;=1,IF(U25&lt;=O25,"Hoàn thành đúng hạn","Hoàn thành trễ"),IF(TODAY()&gt;O25,"Quá hạn",IF(R25&gt;0,"Đang thực hiện","Chưa bắt đầu"))))</x:f>
      </x:c>
      <x:c r="W25" s="37" t="str">
        <x:f>IF(G25="","",IFERROR(SUMIF('05_BAO_CAO_NGAY'!$K$6:$K$505,G25,'05_BAO_CAO_NGAY'!$AB$6:$AB$505)/SUMIF('05_BAO_CAO_NGAY'!$K$6:$K$505,G25,'05_BAO_CAO_NGAY'!$AC$6:$AC$505),0))</x:f>
      </x:c>
      <x:c r="X25" s="37" t="str">
        <x:f>IF(G25="","",IFERROR(SUMIFS('05_BAO_CAO_NGAY'!$W$6:$W$505,'05_BAO_CAO_NGAY'!$K$6:$K$505,G25,'05_BAO_CAO_NGAY'!$N$6:$N$505,"PRODUCTION")/SUMIFS('05_BAO_CAO_NGAY'!$U$6:$U$505,'05_BAO_CAO_NGAY'!$K$6:$K$505,G25,'05_BAO_CAO_NGAY'!$N$6:$N$505,"PRODUCTION"),0))</x:f>
      </x:c>
      <x:c r="Y25" s="29" t="str">
        <x:f>IF(G25="","",SUMIF('05_BAO_CAO_NGAY'!$K$6:$K$505,G25,'05_BAO_CAO_NGAY'!$S$6:$S$505))</x:f>
      </x:c>
      <x:c r="Z25" s="21"/>
    </x:row>
    <x:row r="26">
      <x:c r="A26" s="21"/>
      <x:c r="B26" s="21"/>
      <x:c r="C26" s="21"/>
      <x:c r="D26" s="21"/>
      <x:c r="E26" s="21"/>
      <x:c r="F26" s="29" t="str">
        <x:f>IF(OR(B26="",C26=""),"",B26&amp;"|"&amp;C26&amp;"|"&amp;IF(D26="","00",D26)&amp;"|"&amp;IF(E26="","01",E26))</x:f>
      </x:c>
      <x:c r="G26" s="29" t="str">
        <x:f>IF(F26="","",F26&amp;"|"&amp;TEXT(A26,"000"))</x:f>
      </x:c>
      <x:c r="H26" s="21"/>
      <x:c r="I26" s="21"/>
      <x:c r="J26" s="25"/>
      <x:c r="K26" s="25"/>
      <x:c r="L26" s="25"/>
      <x:c r="M26" s="39" t="str">
        <x:f>IF(G26="","",K26+L26*J26)</x:f>
      </x:c>
      <x:c r="N26" s="35"/>
      <x:c r="O26" s="35"/>
      <x:c r="P26" s="21"/>
      <x:c r="Q26" s="21"/>
      <x:c r="R26" s="29" t="str">
        <x:f>IF(G26="","",MIN(J26,SUMIF('05_BAO_CAO_NGAY'!$K$6:$K$505,G26,'05_BAO_CAO_NGAY'!$V$6:$V$505)))</x:f>
      </x:c>
      <x:c r="S26" s="37" t="str">
        <x:f>IF(G26="","",IFERROR(R26/J26,0))</x:f>
      </x:c>
      <x:c r="T26" s="41" t="str">
        <x:f>IF(OR(G26="",COUNTIF('05_BAO_CAO_NGAY'!$K$6:$K$505,G26)=0),"",_xlfn.MINIFS('05_BAO_CAO_NGAY'!$B$6:$B$505,'05_BAO_CAO_NGAY'!$K$6:$K$505,G26))</x:f>
      </x:c>
      <x:c r="U26" s="41" t="str">
        <x:f>IF(OR(G26="",S26&lt;1),"",_xlfn.MAXIFS('05_BAO_CAO_NGAY'!$B$6:$B$505,'05_BAO_CAO_NGAY'!$K$6:$K$505,G26))</x:f>
      </x:c>
      <x:c r="V26" s="29" t="str">
        <x:f>IF(G26="","",IF(S26&gt;=1,IF(U26&lt;=O26,"Hoàn thành đúng hạn","Hoàn thành trễ"),IF(TODAY()&gt;O26,"Quá hạn",IF(R26&gt;0,"Đang thực hiện","Chưa bắt đầu"))))</x:f>
      </x:c>
      <x:c r="W26" s="37" t="str">
        <x:f>IF(G26="","",IFERROR(SUMIF('05_BAO_CAO_NGAY'!$K$6:$K$505,G26,'05_BAO_CAO_NGAY'!$AB$6:$AB$505)/SUMIF('05_BAO_CAO_NGAY'!$K$6:$K$505,G26,'05_BAO_CAO_NGAY'!$AC$6:$AC$505),0))</x:f>
      </x:c>
      <x:c r="X26" s="37" t="str">
        <x:f>IF(G26="","",IFERROR(SUMIFS('05_BAO_CAO_NGAY'!$W$6:$W$505,'05_BAO_CAO_NGAY'!$K$6:$K$505,G26,'05_BAO_CAO_NGAY'!$N$6:$N$505,"PRODUCTION")/SUMIFS('05_BAO_CAO_NGAY'!$U$6:$U$505,'05_BAO_CAO_NGAY'!$K$6:$K$505,G26,'05_BAO_CAO_NGAY'!$N$6:$N$505,"PRODUCTION"),0))</x:f>
      </x:c>
      <x:c r="Y26" s="29" t="str">
        <x:f>IF(G26="","",SUMIF('05_BAO_CAO_NGAY'!$K$6:$K$505,G26,'05_BAO_CAO_NGAY'!$S$6:$S$505))</x:f>
      </x:c>
      <x:c r="Z26" s="21"/>
    </x:row>
    <x:row r="27">
      <x:c r="A27" s="21"/>
      <x:c r="B27" s="21"/>
      <x:c r="C27" s="21"/>
      <x:c r="D27" s="21"/>
      <x:c r="E27" s="21"/>
      <x:c r="F27" s="29" t="str">
        <x:f>IF(OR(B27="",C27=""),"",B27&amp;"|"&amp;C27&amp;"|"&amp;IF(D27="","00",D27)&amp;"|"&amp;IF(E27="","01",E27))</x:f>
      </x:c>
      <x:c r="G27" s="29" t="str">
        <x:f>IF(F27="","",F27&amp;"|"&amp;TEXT(A27,"000"))</x:f>
      </x:c>
      <x:c r="H27" s="21"/>
      <x:c r="I27" s="21"/>
      <x:c r="J27" s="25"/>
      <x:c r="K27" s="25"/>
      <x:c r="L27" s="25"/>
      <x:c r="M27" s="39" t="str">
        <x:f>IF(G27="","",K27+L27*J27)</x:f>
      </x:c>
      <x:c r="N27" s="35"/>
      <x:c r="O27" s="35"/>
      <x:c r="P27" s="21"/>
      <x:c r="Q27" s="21"/>
      <x:c r="R27" s="29" t="str">
        <x:f>IF(G27="","",MIN(J27,SUMIF('05_BAO_CAO_NGAY'!$K$6:$K$505,G27,'05_BAO_CAO_NGAY'!$V$6:$V$505)))</x:f>
      </x:c>
      <x:c r="S27" s="37" t="str">
        <x:f>IF(G27="","",IFERROR(R27/J27,0))</x:f>
      </x:c>
      <x:c r="T27" s="41" t="str">
        <x:f>IF(OR(G27="",COUNTIF('05_BAO_CAO_NGAY'!$K$6:$K$505,G27)=0),"",_xlfn.MINIFS('05_BAO_CAO_NGAY'!$B$6:$B$505,'05_BAO_CAO_NGAY'!$K$6:$K$505,G27))</x:f>
      </x:c>
      <x:c r="U27" s="41" t="str">
        <x:f>IF(OR(G27="",S27&lt;1),"",_xlfn.MAXIFS('05_BAO_CAO_NGAY'!$B$6:$B$505,'05_BAO_CAO_NGAY'!$K$6:$K$505,G27))</x:f>
      </x:c>
      <x:c r="V27" s="29" t="str">
        <x:f>IF(G27="","",IF(S27&gt;=1,IF(U27&lt;=O27,"Hoàn thành đúng hạn","Hoàn thành trễ"),IF(TODAY()&gt;O27,"Quá hạn",IF(R27&gt;0,"Đang thực hiện","Chưa bắt đầu"))))</x:f>
      </x:c>
      <x:c r="W27" s="37" t="str">
        <x:f>IF(G27="","",IFERROR(SUMIF('05_BAO_CAO_NGAY'!$K$6:$K$505,G27,'05_BAO_CAO_NGAY'!$AB$6:$AB$505)/SUMIF('05_BAO_CAO_NGAY'!$K$6:$K$505,G27,'05_BAO_CAO_NGAY'!$AC$6:$AC$505),0))</x:f>
      </x:c>
      <x:c r="X27" s="37" t="str">
        <x:f>IF(G27="","",IFERROR(SUMIFS('05_BAO_CAO_NGAY'!$W$6:$W$505,'05_BAO_CAO_NGAY'!$K$6:$K$505,G27,'05_BAO_CAO_NGAY'!$N$6:$N$505,"PRODUCTION")/SUMIFS('05_BAO_CAO_NGAY'!$U$6:$U$505,'05_BAO_CAO_NGAY'!$K$6:$K$505,G27,'05_BAO_CAO_NGAY'!$N$6:$N$505,"PRODUCTION"),0))</x:f>
      </x:c>
      <x:c r="Y27" s="29" t="str">
        <x:f>IF(G27="","",SUMIF('05_BAO_CAO_NGAY'!$K$6:$K$505,G27,'05_BAO_CAO_NGAY'!$S$6:$S$505))</x:f>
      </x:c>
      <x:c r="Z27" s="21"/>
    </x:row>
    <x:row r="28">
      <x:c r="A28" s="21"/>
      <x:c r="B28" s="21"/>
      <x:c r="C28" s="21"/>
      <x:c r="D28" s="21"/>
      <x:c r="E28" s="21"/>
      <x:c r="F28" s="29" t="str">
        <x:f>IF(OR(B28="",C28=""),"",B28&amp;"|"&amp;C28&amp;"|"&amp;IF(D28="","00",D28)&amp;"|"&amp;IF(E28="","01",E28))</x:f>
      </x:c>
      <x:c r="G28" s="29" t="str">
        <x:f>IF(F28="","",F28&amp;"|"&amp;TEXT(A28,"000"))</x:f>
      </x:c>
      <x:c r="H28" s="21"/>
      <x:c r="I28" s="21"/>
      <x:c r="J28" s="25"/>
      <x:c r="K28" s="25"/>
      <x:c r="L28" s="25"/>
      <x:c r="M28" s="39" t="str">
        <x:f>IF(G28="","",K28+L28*J28)</x:f>
      </x:c>
      <x:c r="N28" s="35"/>
      <x:c r="O28" s="35"/>
      <x:c r="P28" s="21"/>
      <x:c r="Q28" s="21"/>
      <x:c r="R28" s="29" t="str">
        <x:f>IF(G28="","",MIN(J28,SUMIF('05_BAO_CAO_NGAY'!$K$6:$K$505,G28,'05_BAO_CAO_NGAY'!$V$6:$V$505)))</x:f>
      </x:c>
      <x:c r="S28" s="37" t="str">
        <x:f>IF(G28="","",IFERROR(R28/J28,0))</x:f>
      </x:c>
      <x:c r="T28" s="41" t="str">
        <x:f>IF(OR(G28="",COUNTIF('05_BAO_CAO_NGAY'!$K$6:$K$505,G28)=0),"",_xlfn.MINIFS('05_BAO_CAO_NGAY'!$B$6:$B$505,'05_BAO_CAO_NGAY'!$K$6:$K$505,G28))</x:f>
      </x:c>
      <x:c r="U28" s="41" t="str">
        <x:f>IF(OR(G28="",S28&lt;1),"",_xlfn.MAXIFS('05_BAO_CAO_NGAY'!$B$6:$B$505,'05_BAO_CAO_NGAY'!$K$6:$K$505,G28))</x:f>
      </x:c>
      <x:c r="V28" s="29" t="str">
        <x:f>IF(G28="","",IF(S28&gt;=1,IF(U28&lt;=O28,"Hoàn thành đúng hạn","Hoàn thành trễ"),IF(TODAY()&gt;O28,"Quá hạn",IF(R28&gt;0,"Đang thực hiện","Chưa bắt đầu"))))</x:f>
      </x:c>
      <x:c r="W28" s="37" t="str">
        <x:f>IF(G28="","",IFERROR(SUMIF('05_BAO_CAO_NGAY'!$K$6:$K$505,G28,'05_BAO_CAO_NGAY'!$AB$6:$AB$505)/SUMIF('05_BAO_CAO_NGAY'!$K$6:$K$505,G28,'05_BAO_CAO_NGAY'!$AC$6:$AC$505),0))</x:f>
      </x:c>
      <x:c r="X28" s="37" t="str">
        <x:f>IF(G28="","",IFERROR(SUMIFS('05_BAO_CAO_NGAY'!$W$6:$W$505,'05_BAO_CAO_NGAY'!$K$6:$K$505,G28,'05_BAO_CAO_NGAY'!$N$6:$N$505,"PRODUCTION")/SUMIFS('05_BAO_CAO_NGAY'!$U$6:$U$505,'05_BAO_CAO_NGAY'!$K$6:$K$505,G28,'05_BAO_CAO_NGAY'!$N$6:$N$505,"PRODUCTION"),0))</x:f>
      </x:c>
      <x:c r="Y28" s="29" t="str">
        <x:f>IF(G28="","",SUMIF('05_BAO_CAO_NGAY'!$K$6:$K$505,G28,'05_BAO_CAO_NGAY'!$S$6:$S$505))</x:f>
      </x:c>
      <x:c r="Z28" s="21"/>
    </x:row>
    <x:row r="29">
      <x:c r="A29" s="21"/>
      <x:c r="B29" s="21"/>
      <x:c r="C29" s="21"/>
      <x:c r="D29" s="21"/>
      <x:c r="E29" s="21"/>
      <x:c r="F29" s="29" t="str">
        <x:f>IF(OR(B29="",C29=""),"",B29&amp;"|"&amp;C29&amp;"|"&amp;IF(D29="","00",D29)&amp;"|"&amp;IF(E29="","01",E29))</x:f>
      </x:c>
      <x:c r="G29" s="29" t="str">
        <x:f>IF(F29="","",F29&amp;"|"&amp;TEXT(A29,"000"))</x:f>
      </x:c>
      <x:c r="H29" s="21"/>
      <x:c r="I29" s="21"/>
      <x:c r="J29" s="25"/>
      <x:c r="K29" s="25"/>
      <x:c r="L29" s="25"/>
      <x:c r="M29" s="39" t="str">
        <x:f>IF(G29="","",K29+L29*J29)</x:f>
      </x:c>
      <x:c r="N29" s="35"/>
      <x:c r="O29" s="35"/>
      <x:c r="P29" s="21"/>
      <x:c r="Q29" s="21"/>
      <x:c r="R29" s="29" t="str">
        <x:f>IF(G29="","",MIN(J29,SUMIF('05_BAO_CAO_NGAY'!$K$6:$K$505,G29,'05_BAO_CAO_NGAY'!$V$6:$V$505)))</x:f>
      </x:c>
      <x:c r="S29" s="37" t="str">
        <x:f>IF(G29="","",IFERROR(R29/J29,0))</x:f>
      </x:c>
      <x:c r="T29" s="41" t="str">
        <x:f>IF(OR(G29="",COUNTIF('05_BAO_CAO_NGAY'!$K$6:$K$505,G29)=0),"",_xlfn.MINIFS('05_BAO_CAO_NGAY'!$B$6:$B$505,'05_BAO_CAO_NGAY'!$K$6:$K$505,G29))</x:f>
      </x:c>
      <x:c r="U29" s="41" t="str">
        <x:f>IF(OR(G29="",S29&lt;1),"",_xlfn.MAXIFS('05_BAO_CAO_NGAY'!$B$6:$B$505,'05_BAO_CAO_NGAY'!$K$6:$K$505,G29))</x:f>
      </x:c>
      <x:c r="V29" s="29" t="str">
        <x:f>IF(G29="","",IF(S29&gt;=1,IF(U29&lt;=O29,"Hoàn thành đúng hạn","Hoàn thành trễ"),IF(TODAY()&gt;O29,"Quá hạn",IF(R29&gt;0,"Đang thực hiện","Chưa bắt đầu"))))</x:f>
      </x:c>
      <x:c r="W29" s="37" t="str">
        <x:f>IF(G29="","",IFERROR(SUMIF('05_BAO_CAO_NGAY'!$K$6:$K$505,G29,'05_BAO_CAO_NGAY'!$AB$6:$AB$505)/SUMIF('05_BAO_CAO_NGAY'!$K$6:$K$505,G29,'05_BAO_CAO_NGAY'!$AC$6:$AC$505),0))</x:f>
      </x:c>
      <x:c r="X29" s="37" t="str">
        <x:f>IF(G29="","",IFERROR(SUMIFS('05_BAO_CAO_NGAY'!$W$6:$W$505,'05_BAO_CAO_NGAY'!$K$6:$K$505,G29,'05_BAO_CAO_NGAY'!$N$6:$N$505,"PRODUCTION")/SUMIFS('05_BAO_CAO_NGAY'!$U$6:$U$505,'05_BAO_CAO_NGAY'!$K$6:$K$505,G29,'05_BAO_CAO_NGAY'!$N$6:$N$505,"PRODUCTION"),0))</x:f>
      </x:c>
      <x:c r="Y29" s="29" t="str">
        <x:f>IF(G29="","",SUMIF('05_BAO_CAO_NGAY'!$K$6:$K$505,G29,'05_BAO_CAO_NGAY'!$S$6:$S$505))</x:f>
      </x:c>
      <x:c r="Z29" s="21"/>
    </x:row>
    <x:row r="30">
      <x:c r="A30" s="21"/>
      <x:c r="B30" s="21"/>
      <x:c r="C30" s="21"/>
      <x:c r="D30" s="21"/>
      <x:c r="E30" s="21"/>
      <x:c r="F30" s="29" t="str">
        <x:f>IF(OR(B30="",C30=""),"",B30&amp;"|"&amp;C30&amp;"|"&amp;IF(D30="","00",D30)&amp;"|"&amp;IF(E30="","01",E30))</x:f>
      </x:c>
      <x:c r="G30" s="29" t="str">
        <x:f>IF(F30="","",F30&amp;"|"&amp;TEXT(A30,"000"))</x:f>
      </x:c>
      <x:c r="H30" s="21"/>
      <x:c r="I30" s="21"/>
      <x:c r="J30" s="25"/>
      <x:c r="K30" s="25"/>
      <x:c r="L30" s="25"/>
      <x:c r="M30" s="39" t="str">
        <x:f>IF(G30="","",K30+L30*J30)</x:f>
      </x:c>
      <x:c r="N30" s="35"/>
      <x:c r="O30" s="35"/>
      <x:c r="P30" s="21"/>
      <x:c r="Q30" s="21"/>
      <x:c r="R30" s="29" t="str">
        <x:f>IF(G30="","",MIN(J30,SUMIF('05_BAO_CAO_NGAY'!$K$6:$K$505,G30,'05_BAO_CAO_NGAY'!$V$6:$V$505)))</x:f>
      </x:c>
      <x:c r="S30" s="37" t="str">
        <x:f>IF(G30="","",IFERROR(R30/J30,0))</x:f>
      </x:c>
      <x:c r="T30" s="41" t="str">
        <x:f>IF(OR(G30="",COUNTIF('05_BAO_CAO_NGAY'!$K$6:$K$505,G30)=0),"",_xlfn.MINIFS('05_BAO_CAO_NGAY'!$B$6:$B$505,'05_BAO_CAO_NGAY'!$K$6:$K$505,G30))</x:f>
      </x:c>
      <x:c r="U30" s="41" t="str">
        <x:f>IF(OR(G30="",S30&lt;1),"",_xlfn.MAXIFS('05_BAO_CAO_NGAY'!$B$6:$B$505,'05_BAO_CAO_NGAY'!$K$6:$K$505,G30))</x:f>
      </x:c>
      <x:c r="V30" s="29" t="str">
        <x:f>IF(G30="","",IF(S30&gt;=1,IF(U30&lt;=O30,"Hoàn thành đúng hạn","Hoàn thành trễ"),IF(TODAY()&gt;O30,"Quá hạn",IF(R30&gt;0,"Đang thực hiện","Chưa bắt đầu"))))</x:f>
      </x:c>
      <x:c r="W30" s="37" t="str">
        <x:f>IF(G30="","",IFERROR(SUMIF('05_BAO_CAO_NGAY'!$K$6:$K$505,G30,'05_BAO_CAO_NGAY'!$AB$6:$AB$505)/SUMIF('05_BAO_CAO_NGAY'!$K$6:$K$505,G30,'05_BAO_CAO_NGAY'!$AC$6:$AC$505),0))</x:f>
      </x:c>
      <x:c r="X30" s="37" t="str">
        <x:f>IF(G30="","",IFERROR(SUMIFS('05_BAO_CAO_NGAY'!$W$6:$W$505,'05_BAO_CAO_NGAY'!$K$6:$K$505,G30,'05_BAO_CAO_NGAY'!$N$6:$N$505,"PRODUCTION")/SUMIFS('05_BAO_CAO_NGAY'!$U$6:$U$505,'05_BAO_CAO_NGAY'!$K$6:$K$505,G30,'05_BAO_CAO_NGAY'!$N$6:$N$505,"PRODUCTION"),0))</x:f>
      </x:c>
      <x:c r="Y30" s="29" t="str">
        <x:f>IF(G30="","",SUMIF('05_BAO_CAO_NGAY'!$K$6:$K$505,G30,'05_BAO_CAO_NGAY'!$S$6:$S$505))</x:f>
      </x:c>
      <x:c r="Z30" s="21"/>
    </x:row>
    <x:row r="31">
      <x:c r="A31" s="21"/>
      <x:c r="B31" s="21"/>
      <x:c r="C31" s="21"/>
      <x:c r="D31" s="21"/>
      <x:c r="E31" s="21"/>
      <x:c r="F31" s="29" t="str">
        <x:f>IF(OR(B31="",C31=""),"",B31&amp;"|"&amp;C31&amp;"|"&amp;IF(D31="","00",D31)&amp;"|"&amp;IF(E31="","01",E31))</x:f>
      </x:c>
      <x:c r="G31" s="29" t="str">
        <x:f>IF(F31="","",F31&amp;"|"&amp;TEXT(A31,"000"))</x:f>
      </x:c>
      <x:c r="H31" s="21"/>
      <x:c r="I31" s="21"/>
      <x:c r="J31" s="25"/>
      <x:c r="K31" s="25"/>
      <x:c r="L31" s="25"/>
      <x:c r="M31" s="39" t="str">
        <x:f>IF(G31="","",K31+L31*J31)</x:f>
      </x:c>
      <x:c r="N31" s="35"/>
      <x:c r="O31" s="35"/>
      <x:c r="P31" s="21"/>
      <x:c r="Q31" s="21"/>
      <x:c r="R31" s="29" t="str">
        <x:f>IF(G31="","",MIN(J31,SUMIF('05_BAO_CAO_NGAY'!$K$6:$K$505,G31,'05_BAO_CAO_NGAY'!$V$6:$V$505)))</x:f>
      </x:c>
      <x:c r="S31" s="37" t="str">
        <x:f>IF(G31="","",IFERROR(R31/J31,0))</x:f>
      </x:c>
      <x:c r="T31" s="41" t="str">
        <x:f>IF(OR(G31="",COUNTIF('05_BAO_CAO_NGAY'!$K$6:$K$505,G31)=0),"",_xlfn.MINIFS('05_BAO_CAO_NGAY'!$B$6:$B$505,'05_BAO_CAO_NGAY'!$K$6:$K$505,G31))</x:f>
      </x:c>
      <x:c r="U31" s="41" t="str">
        <x:f>IF(OR(G31="",S31&lt;1),"",_xlfn.MAXIFS('05_BAO_CAO_NGAY'!$B$6:$B$505,'05_BAO_CAO_NGAY'!$K$6:$K$505,G31))</x:f>
      </x:c>
      <x:c r="V31" s="29" t="str">
        <x:f>IF(G31="","",IF(S31&gt;=1,IF(U31&lt;=O31,"Hoàn thành đúng hạn","Hoàn thành trễ"),IF(TODAY()&gt;O31,"Quá hạn",IF(R31&gt;0,"Đang thực hiện","Chưa bắt đầu"))))</x:f>
      </x:c>
      <x:c r="W31" s="37" t="str">
        <x:f>IF(G31="","",IFERROR(SUMIF('05_BAO_CAO_NGAY'!$K$6:$K$505,G31,'05_BAO_CAO_NGAY'!$AB$6:$AB$505)/SUMIF('05_BAO_CAO_NGAY'!$K$6:$K$505,G31,'05_BAO_CAO_NGAY'!$AC$6:$AC$505),0))</x:f>
      </x:c>
      <x:c r="X31" s="37" t="str">
        <x:f>IF(G31="","",IFERROR(SUMIFS('05_BAO_CAO_NGAY'!$W$6:$W$505,'05_BAO_CAO_NGAY'!$K$6:$K$505,G31,'05_BAO_CAO_NGAY'!$N$6:$N$505,"PRODUCTION")/SUMIFS('05_BAO_CAO_NGAY'!$U$6:$U$505,'05_BAO_CAO_NGAY'!$K$6:$K$505,G31,'05_BAO_CAO_NGAY'!$N$6:$N$505,"PRODUCTION"),0))</x:f>
      </x:c>
      <x:c r="Y31" s="29" t="str">
        <x:f>IF(G31="","",SUMIF('05_BAO_CAO_NGAY'!$K$6:$K$505,G31,'05_BAO_CAO_NGAY'!$S$6:$S$505))</x:f>
      </x:c>
      <x:c r="Z31" s="21"/>
    </x:row>
    <x:row r="32">
      <x:c r="A32" s="21"/>
      <x:c r="B32" s="21"/>
      <x:c r="C32" s="21"/>
      <x:c r="D32" s="21"/>
      <x:c r="E32" s="21"/>
      <x:c r="F32" s="29" t="str">
        <x:f>IF(OR(B32="",C32=""),"",B32&amp;"|"&amp;C32&amp;"|"&amp;IF(D32="","00",D32)&amp;"|"&amp;IF(E32="","01",E32))</x:f>
      </x:c>
      <x:c r="G32" s="29" t="str">
        <x:f>IF(F32="","",F32&amp;"|"&amp;TEXT(A32,"000"))</x:f>
      </x:c>
      <x:c r="H32" s="21"/>
      <x:c r="I32" s="21"/>
      <x:c r="J32" s="25"/>
      <x:c r="K32" s="25"/>
      <x:c r="L32" s="25"/>
      <x:c r="M32" s="39" t="str">
        <x:f>IF(G32="","",K32+L32*J32)</x:f>
      </x:c>
      <x:c r="N32" s="35"/>
      <x:c r="O32" s="35"/>
      <x:c r="P32" s="21"/>
      <x:c r="Q32" s="21"/>
      <x:c r="R32" s="29" t="str">
        <x:f>IF(G32="","",MIN(J32,SUMIF('05_BAO_CAO_NGAY'!$K$6:$K$505,G32,'05_BAO_CAO_NGAY'!$V$6:$V$505)))</x:f>
      </x:c>
      <x:c r="S32" s="37" t="str">
        <x:f>IF(G32="","",IFERROR(R32/J32,0))</x:f>
      </x:c>
      <x:c r="T32" s="41" t="str">
        <x:f>IF(OR(G32="",COUNTIF('05_BAO_CAO_NGAY'!$K$6:$K$505,G32)=0),"",_xlfn.MINIFS('05_BAO_CAO_NGAY'!$B$6:$B$505,'05_BAO_CAO_NGAY'!$K$6:$K$505,G32))</x:f>
      </x:c>
      <x:c r="U32" s="41" t="str">
        <x:f>IF(OR(G32="",S32&lt;1),"",_xlfn.MAXIFS('05_BAO_CAO_NGAY'!$B$6:$B$505,'05_BAO_CAO_NGAY'!$K$6:$K$505,G32))</x:f>
      </x:c>
      <x:c r="V32" s="29" t="str">
        <x:f>IF(G32="","",IF(S32&gt;=1,IF(U32&lt;=O32,"Hoàn thành đúng hạn","Hoàn thành trễ"),IF(TODAY()&gt;O32,"Quá hạn",IF(R32&gt;0,"Đang thực hiện","Chưa bắt đầu"))))</x:f>
      </x:c>
      <x:c r="W32" s="37" t="str">
        <x:f>IF(G32="","",IFERROR(SUMIF('05_BAO_CAO_NGAY'!$K$6:$K$505,G32,'05_BAO_CAO_NGAY'!$AB$6:$AB$505)/SUMIF('05_BAO_CAO_NGAY'!$K$6:$K$505,G32,'05_BAO_CAO_NGAY'!$AC$6:$AC$505),0))</x:f>
      </x:c>
      <x:c r="X32" s="37" t="str">
        <x:f>IF(G32="","",IFERROR(SUMIFS('05_BAO_CAO_NGAY'!$W$6:$W$505,'05_BAO_CAO_NGAY'!$K$6:$K$505,G32,'05_BAO_CAO_NGAY'!$N$6:$N$505,"PRODUCTION")/SUMIFS('05_BAO_CAO_NGAY'!$U$6:$U$505,'05_BAO_CAO_NGAY'!$K$6:$K$505,G32,'05_BAO_CAO_NGAY'!$N$6:$N$505,"PRODUCTION"),0))</x:f>
      </x:c>
      <x:c r="Y32" s="29" t="str">
        <x:f>IF(G32="","",SUMIF('05_BAO_CAO_NGAY'!$K$6:$K$505,G32,'05_BAO_CAO_NGAY'!$S$6:$S$505))</x:f>
      </x:c>
      <x:c r="Z32" s="21"/>
    </x:row>
    <x:row r="33">
      <x:c r="A33" s="21"/>
      <x:c r="B33" s="21"/>
      <x:c r="C33" s="21"/>
      <x:c r="D33" s="21"/>
      <x:c r="E33" s="21"/>
      <x:c r="F33" s="29" t="str">
        <x:f>IF(OR(B33="",C33=""),"",B33&amp;"|"&amp;C33&amp;"|"&amp;IF(D33="","00",D33)&amp;"|"&amp;IF(E33="","01",E33))</x:f>
      </x:c>
      <x:c r="G33" s="29" t="str">
        <x:f>IF(F33="","",F33&amp;"|"&amp;TEXT(A33,"000"))</x:f>
      </x:c>
      <x:c r="H33" s="21"/>
      <x:c r="I33" s="21"/>
      <x:c r="J33" s="25"/>
      <x:c r="K33" s="25"/>
      <x:c r="L33" s="25"/>
      <x:c r="M33" s="39" t="str">
        <x:f>IF(G33="","",K33+L33*J33)</x:f>
      </x:c>
      <x:c r="N33" s="35"/>
      <x:c r="O33" s="35"/>
      <x:c r="P33" s="21"/>
      <x:c r="Q33" s="21"/>
      <x:c r="R33" s="29" t="str">
        <x:f>IF(G33="","",MIN(J33,SUMIF('05_BAO_CAO_NGAY'!$K$6:$K$505,G33,'05_BAO_CAO_NGAY'!$V$6:$V$505)))</x:f>
      </x:c>
      <x:c r="S33" s="37" t="str">
        <x:f>IF(G33="","",IFERROR(R33/J33,0))</x:f>
      </x:c>
      <x:c r="T33" s="41" t="str">
        <x:f>IF(OR(G33="",COUNTIF('05_BAO_CAO_NGAY'!$K$6:$K$505,G33)=0),"",_xlfn.MINIFS('05_BAO_CAO_NGAY'!$B$6:$B$505,'05_BAO_CAO_NGAY'!$K$6:$K$505,G33))</x:f>
      </x:c>
      <x:c r="U33" s="41" t="str">
        <x:f>IF(OR(G33="",S33&lt;1),"",_xlfn.MAXIFS('05_BAO_CAO_NGAY'!$B$6:$B$505,'05_BAO_CAO_NGAY'!$K$6:$K$505,G33))</x:f>
      </x:c>
      <x:c r="V33" s="29" t="str">
        <x:f>IF(G33="","",IF(S33&gt;=1,IF(U33&lt;=O33,"Hoàn thành đúng hạn","Hoàn thành trễ"),IF(TODAY()&gt;O33,"Quá hạn",IF(R33&gt;0,"Đang thực hiện","Chưa bắt đầu"))))</x:f>
      </x:c>
      <x:c r="W33" s="37" t="str">
        <x:f>IF(G33="","",IFERROR(SUMIF('05_BAO_CAO_NGAY'!$K$6:$K$505,G33,'05_BAO_CAO_NGAY'!$AB$6:$AB$505)/SUMIF('05_BAO_CAO_NGAY'!$K$6:$K$505,G33,'05_BAO_CAO_NGAY'!$AC$6:$AC$505),0))</x:f>
      </x:c>
      <x:c r="X33" s="37" t="str">
        <x:f>IF(G33="","",IFERROR(SUMIFS('05_BAO_CAO_NGAY'!$W$6:$W$505,'05_BAO_CAO_NGAY'!$K$6:$K$505,G33,'05_BAO_CAO_NGAY'!$N$6:$N$505,"PRODUCTION")/SUMIFS('05_BAO_CAO_NGAY'!$U$6:$U$505,'05_BAO_CAO_NGAY'!$K$6:$K$505,G33,'05_BAO_CAO_NGAY'!$N$6:$N$505,"PRODUCTION"),0))</x:f>
      </x:c>
      <x:c r="Y33" s="29" t="str">
        <x:f>IF(G33="","",SUMIF('05_BAO_CAO_NGAY'!$K$6:$K$505,G33,'05_BAO_CAO_NGAY'!$S$6:$S$505))</x:f>
      </x:c>
      <x:c r="Z33" s="21"/>
    </x:row>
    <x:row r="34">
      <x:c r="A34" s="21"/>
      <x:c r="B34" s="21"/>
      <x:c r="C34" s="21"/>
      <x:c r="D34" s="21"/>
      <x:c r="E34" s="21"/>
      <x:c r="F34" s="29" t="str">
        <x:f>IF(OR(B34="",C34=""),"",B34&amp;"|"&amp;C34&amp;"|"&amp;IF(D34="","00",D34)&amp;"|"&amp;IF(E34="","01",E34))</x:f>
      </x:c>
      <x:c r="G34" s="29" t="str">
        <x:f>IF(F34="","",F34&amp;"|"&amp;TEXT(A34,"000"))</x:f>
      </x:c>
      <x:c r="H34" s="21"/>
      <x:c r="I34" s="21"/>
      <x:c r="J34" s="25"/>
      <x:c r="K34" s="25"/>
      <x:c r="L34" s="25"/>
      <x:c r="M34" s="39" t="str">
        <x:f>IF(G34="","",K34+L34*J34)</x:f>
      </x:c>
      <x:c r="N34" s="35"/>
      <x:c r="O34" s="35"/>
      <x:c r="P34" s="21"/>
      <x:c r="Q34" s="21"/>
      <x:c r="R34" s="29" t="str">
        <x:f>IF(G34="","",MIN(J34,SUMIF('05_BAO_CAO_NGAY'!$K$6:$K$505,G34,'05_BAO_CAO_NGAY'!$V$6:$V$505)))</x:f>
      </x:c>
      <x:c r="S34" s="37" t="str">
        <x:f>IF(G34="","",IFERROR(R34/J34,0))</x:f>
      </x:c>
      <x:c r="T34" s="41" t="str">
        <x:f>IF(OR(G34="",COUNTIF('05_BAO_CAO_NGAY'!$K$6:$K$505,G34)=0),"",_xlfn.MINIFS('05_BAO_CAO_NGAY'!$B$6:$B$505,'05_BAO_CAO_NGAY'!$K$6:$K$505,G34))</x:f>
      </x:c>
      <x:c r="U34" s="41" t="str">
        <x:f>IF(OR(G34="",S34&lt;1),"",_xlfn.MAXIFS('05_BAO_CAO_NGAY'!$B$6:$B$505,'05_BAO_CAO_NGAY'!$K$6:$K$505,G34))</x:f>
      </x:c>
      <x:c r="V34" s="29" t="str">
        <x:f>IF(G34="","",IF(S34&gt;=1,IF(U34&lt;=O34,"Hoàn thành đúng hạn","Hoàn thành trễ"),IF(TODAY()&gt;O34,"Quá hạn",IF(R34&gt;0,"Đang thực hiện","Chưa bắt đầu"))))</x:f>
      </x:c>
      <x:c r="W34" s="37" t="str">
        <x:f>IF(G34="","",IFERROR(SUMIF('05_BAO_CAO_NGAY'!$K$6:$K$505,G34,'05_BAO_CAO_NGAY'!$AB$6:$AB$505)/SUMIF('05_BAO_CAO_NGAY'!$K$6:$K$505,G34,'05_BAO_CAO_NGAY'!$AC$6:$AC$505),0))</x:f>
      </x:c>
      <x:c r="X34" s="37" t="str">
        <x:f>IF(G34="","",IFERROR(SUMIFS('05_BAO_CAO_NGAY'!$W$6:$W$505,'05_BAO_CAO_NGAY'!$K$6:$K$505,G34,'05_BAO_CAO_NGAY'!$N$6:$N$505,"PRODUCTION")/SUMIFS('05_BAO_CAO_NGAY'!$U$6:$U$505,'05_BAO_CAO_NGAY'!$K$6:$K$505,G34,'05_BAO_CAO_NGAY'!$N$6:$N$505,"PRODUCTION"),0))</x:f>
      </x:c>
      <x:c r="Y34" s="29" t="str">
        <x:f>IF(G34="","",SUMIF('05_BAO_CAO_NGAY'!$K$6:$K$505,G34,'05_BAO_CAO_NGAY'!$S$6:$S$505))</x:f>
      </x:c>
      <x:c r="Z34" s="21"/>
    </x:row>
    <x:row r="35">
      <x:c r="A35" s="21"/>
      <x:c r="B35" s="21"/>
      <x:c r="C35" s="21"/>
      <x:c r="D35" s="21"/>
      <x:c r="E35" s="21"/>
      <x:c r="F35" s="29" t="str">
        <x:f>IF(OR(B35="",C35=""),"",B35&amp;"|"&amp;C35&amp;"|"&amp;IF(D35="","00",D35)&amp;"|"&amp;IF(E35="","01",E35))</x:f>
      </x:c>
      <x:c r="G35" s="29" t="str">
        <x:f>IF(F35="","",F35&amp;"|"&amp;TEXT(A35,"000"))</x:f>
      </x:c>
      <x:c r="H35" s="21"/>
      <x:c r="I35" s="21"/>
      <x:c r="J35" s="25"/>
      <x:c r="K35" s="25"/>
      <x:c r="L35" s="25"/>
      <x:c r="M35" s="39" t="str">
        <x:f>IF(G35="","",K35+L35*J35)</x:f>
      </x:c>
      <x:c r="N35" s="35"/>
      <x:c r="O35" s="35"/>
      <x:c r="P35" s="21"/>
      <x:c r="Q35" s="21"/>
      <x:c r="R35" s="29" t="str">
        <x:f>IF(G35="","",MIN(J35,SUMIF('05_BAO_CAO_NGAY'!$K$6:$K$505,G35,'05_BAO_CAO_NGAY'!$V$6:$V$505)))</x:f>
      </x:c>
      <x:c r="S35" s="37" t="str">
        <x:f>IF(G35="","",IFERROR(R35/J35,0))</x:f>
      </x:c>
      <x:c r="T35" s="41" t="str">
        <x:f>IF(OR(G35="",COUNTIF('05_BAO_CAO_NGAY'!$K$6:$K$505,G35)=0),"",_xlfn.MINIFS('05_BAO_CAO_NGAY'!$B$6:$B$505,'05_BAO_CAO_NGAY'!$K$6:$K$505,G35))</x:f>
      </x:c>
      <x:c r="U35" s="41" t="str">
        <x:f>IF(OR(G35="",S35&lt;1),"",_xlfn.MAXIFS('05_BAO_CAO_NGAY'!$B$6:$B$505,'05_BAO_CAO_NGAY'!$K$6:$K$505,G35))</x:f>
      </x:c>
      <x:c r="V35" s="29" t="str">
        <x:f>IF(G35="","",IF(S35&gt;=1,IF(U35&lt;=O35,"Hoàn thành đúng hạn","Hoàn thành trễ"),IF(TODAY()&gt;O35,"Quá hạn",IF(R35&gt;0,"Đang thực hiện","Chưa bắt đầu"))))</x:f>
      </x:c>
      <x:c r="W35" s="37" t="str">
        <x:f>IF(G35="","",IFERROR(SUMIF('05_BAO_CAO_NGAY'!$K$6:$K$505,G35,'05_BAO_CAO_NGAY'!$AB$6:$AB$505)/SUMIF('05_BAO_CAO_NGAY'!$K$6:$K$505,G35,'05_BAO_CAO_NGAY'!$AC$6:$AC$505),0))</x:f>
      </x:c>
      <x:c r="X35" s="37" t="str">
        <x:f>IF(G35="","",IFERROR(SUMIFS('05_BAO_CAO_NGAY'!$W$6:$W$505,'05_BAO_CAO_NGAY'!$K$6:$K$505,G35,'05_BAO_CAO_NGAY'!$N$6:$N$505,"PRODUCTION")/SUMIFS('05_BAO_CAO_NGAY'!$U$6:$U$505,'05_BAO_CAO_NGAY'!$K$6:$K$505,G35,'05_BAO_CAO_NGAY'!$N$6:$N$505,"PRODUCTION"),0))</x:f>
      </x:c>
      <x:c r="Y35" s="29" t="str">
        <x:f>IF(G35="","",SUMIF('05_BAO_CAO_NGAY'!$K$6:$K$505,G35,'05_BAO_CAO_NGAY'!$S$6:$S$505))</x:f>
      </x:c>
      <x:c r="Z35" s="21"/>
    </x:row>
    <x:row r="36">
      <x:c r="A36" s="21"/>
      <x:c r="B36" s="21"/>
      <x:c r="C36" s="21"/>
      <x:c r="D36" s="21"/>
      <x:c r="E36" s="21"/>
      <x:c r="F36" s="29" t="str">
        <x:f>IF(OR(B36="",C36=""),"",B36&amp;"|"&amp;C36&amp;"|"&amp;IF(D36="","00",D36)&amp;"|"&amp;IF(E36="","01",E36))</x:f>
      </x:c>
      <x:c r="G36" s="29" t="str">
        <x:f>IF(F36="","",F36&amp;"|"&amp;TEXT(A36,"000"))</x:f>
      </x:c>
      <x:c r="H36" s="21"/>
      <x:c r="I36" s="21"/>
      <x:c r="J36" s="25"/>
      <x:c r="K36" s="25"/>
      <x:c r="L36" s="25"/>
      <x:c r="M36" s="39" t="str">
        <x:f>IF(G36="","",K36+L36*J36)</x:f>
      </x:c>
      <x:c r="N36" s="35"/>
      <x:c r="O36" s="35"/>
      <x:c r="P36" s="21"/>
      <x:c r="Q36" s="21"/>
      <x:c r="R36" s="29" t="str">
        <x:f>IF(G36="","",MIN(J36,SUMIF('05_BAO_CAO_NGAY'!$K$6:$K$505,G36,'05_BAO_CAO_NGAY'!$V$6:$V$505)))</x:f>
      </x:c>
      <x:c r="S36" s="37" t="str">
        <x:f>IF(G36="","",IFERROR(R36/J36,0))</x:f>
      </x:c>
      <x:c r="T36" s="41" t="str">
        <x:f>IF(OR(G36="",COUNTIF('05_BAO_CAO_NGAY'!$K$6:$K$505,G36)=0),"",_xlfn.MINIFS('05_BAO_CAO_NGAY'!$B$6:$B$505,'05_BAO_CAO_NGAY'!$K$6:$K$505,G36))</x:f>
      </x:c>
      <x:c r="U36" s="41" t="str">
        <x:f>IF(OR(G36="",S36&lt;1),"",_xlfn.MAXIFS('05_BAO_CAO_NGAY'!$B$6:$B$505,'05_BAO_CAO_NGAY'!$K$6:$K$505,G36))</x:f>
      </x:c>
      <x:c r="V36" s="29" t="str">
        <x:f>IF(G36="","",IF(S36&gt;=1,IF(U36&lt;=O36,"Hoàn thành đúng hạn","Hoàn thành trễ"),IF(TODAY()&gt;O36,"Quá hạn",IF(R36&gt;0,"Đang thực hiện","Chưa bắt đầu"))))</x:f>
      </x:c>
      <x:c r="W36" s="37" t="str">
        <x:f>IF(G36="","",IFERROR(SUMIF('05_BAO_CAO_NGAY'!$K$6:$K$505,G36,'05_BAO_CAO_NGAY'!$AB$6:$AB$505)/SUMIF('05_BAO_CAO_NGAY'!$K$6:$K$505,G36,'05_BAO_CAO_NGAY'!$AC$6:$AC$505),0))</x:f>
      </x:c>
      <x:c r="X36" s="37" t="str">
        <x:f>IF(G36="","",IFERROR(SUMIFS('05_BAO_CAO_NGAY'!$W$6:$W$505,'05_BAO_CAO_NGAY'!$K$6:$K$505,G36,'05_BAO_CAO_NGAY'!$N$6:$N$505,"PRODUCTION")/SUMIFS('05_BAO_CAO_NGAY'!$U$6:$U$505,'05_BAO_CAO_NGAY'!$K$6:$K$505,G36,'05_BAO_CAO_NGAY'!$N$6:$N$505,"PRODUCTION"),0))</x:f>
      </x:c>
      <x:c r="Y36" s="29" t="str">
        <x:f>IF(G36="","",SUMIF('05_BAO_CAO_NGAY'!$K$6:$K$505,G36,'05_BAO_CAO_NGAY'!$S$6:$S$505))</x:f>
      </x:c>
      <x:c r="Z36" s="21"/>
    </x:row>
    <x:row r="37">
      <x:c r="A37" s="21"/>
      <x:c r="B37" s="21"/>
      <x:c r="C37" s="21"/>
      <x:c r="D37" s="21"/>
      <x:c r="E37" s="21"/>
      <x:c r="F37" s="29" t="str">
        <x:f>IF(OR(B37="",C37=""),"",B37&amp;"|"&amp;C37&amp;"|"&amp;IF(D37="","00",D37)&amp;"|"&amp;IF(E37="","01",E37))</x:f>
      </x:c>
      <x:c r="G37" s="29" t="str">
        <x:f>IF(F37="","",F37&amp;"|"&amp;TEXT(A37,"000"))</x:f>
      </x:c>
      <x:c r="H37" s="21"/>
      <x:c r="I37" s="21"/>
      <x:c r="J37" s="25"/>
      <x:c r="K37" s="25"/>
      <x:c r="L37" s="25"/>
      <x:c r="M37" s="39" t="str">
        <x:f>IF(G37="","",K37+L37*J37)</x:f>
      </x:c>
      <x:c r="N37" s="35"/>
      <x:c r="O37" s="35"/>
      <x:c r="P37" s="21"/>
      <x:c r="Q37" s="21"/>
      <x:c r="R37" s="29" t="str">
        <x:f>IF(G37="","",MIN(J37,SUMIF('05_BAO_CAO_NGAY'!$K$6:$K$505,G37,'05_BAO_CAO_NGAY'!$V$6:$V$505)))</x:f>
      </x:c>
      <x:c r="S37" s="37" t="str">
        <x:f>IF(G37="","",IFERROR(R37/J37,0))</x:f>
      </x:c>
      <x:c r="T37" s="41" t="str">
        <x:f>IF(OR(G37="",COUNTIF('05_BAO_CAO_NGAY'!$K$6:$K$505,G37)=0),"",_xlfn.MINIFS('05_BAO_CAO_NGAY'!$B$6:$B$505,'05_BAO_CAO_NGAY'!$K$6:$K$505,G37))</x:f>
      </x:c>
      <x:c r="U37" s="41" t="str">
        <x:f>IF(OR(G37="",S37&lt;1),"",_xlfn.MAXIFS('05_BAO_CAO_NGAY'!$B$6:$B$505,'05_BAO_CAO_NGAY'!$K$6:$K$505,G37))</x:f>
      </x:c>
      <x:c r="V37" s="29" t="str">
        <x:f>IF(G37="","",IF(S37&gt;=1,IF(U37&lt;=O37,"Hoàn thành đúng hạn","Hoàn thành trễ"),IF(TODAY()&gt;O37,"Quá hạn",IF(R37&gt;0,"Đang thực hiện","Chưa bắt đầu"))))</x:f>
      </x:c>
      <x:c r="W37" s="37" t="str">
        <x:f>IF(G37="","",IFERROR(SUMIF('05_BAO_CAO_NGAY'!$K$6:$K$505,G37,'05_BAO_CAO_NGAY'!$AB$6:$AB$505)/SUMIF('05_BAO_CAO_NGAY'!$K$6:$K$505,G37,'05_BAO_CAO_NGAY'!$AC$6:$AC$505),0))</x:f>
      </x:c>
      <x:c r="X37" s="37" t="str">
        <x:f>IF(G37="","",IFERROR(SUMIFS('05_BAO_CAO_NGAY'!$W$6:$W$505,'05_BAO_CAO_NGAY'!$K$6:$K$505,G37,'05_BAO_CAO_NGAY'!$N$6:$N$505,"PRODUCTION")/SUMIFS('05_BAO_CAO_NGAY'!$U$6:$U$505,'05_BAO_CAO_NGAY'!$K$6:$K$505,G37,'05_BAO_CAO_NGAY'!$N$6:$N$505,"PRODUCTION"),0))</x:f>
      </x:c>
      <x:c r="Y37" s="29" t="str">
        <x:f>IF(G37="","",SUMIF('05_BAO_CAO_NGAY'!$K$6:$K$505,G37,'05_BAO_CAO_NGAY'!$S$6:$S$505))</x:f>
      </x:c>
      <x:c r="Z37" s="21"/>
    </x:row>
    <x:row r="38">
      <x:c r="A38" s="21"/>
      <x:c r="B38" s="21"/>
      <x:c r="C38" s="21"/>
      <x:c r="D38" s="21"/>
      <x:c r="E38" s="21"/>
      <x:c r="F38" s="29" t="str">
        <x:f>IF(OR(B38="",C38=""),"",B38&amp;"|"&amp;C38&amp;"|"&amp;IF(D38="","00",D38)&amp;"|"&amp;IF(E38="","01",E38))</x:f>
      </x:c>
      <x:c r="G38" s="29" t="str">
        <x:f>IF(F38="","",F38&amp;"|"&amp;TEXT(A38,"000"))</x:f>
      </x:c>
      <x:c r="H38" s="21"/>
      <x:c r="I38" s="21"/>
      <x:c r="J38" s="25"/>
      <x:c r="K38" s="25"/>
      <x:c r="L38" s="25"/>
      <x:c r="M38" s="39" t="str">
        <x:f>IF(G38="","",K38+L38*J38)</x:f>
      </x:c>
      <x:c r="N38" s="35"/>
      <x:c r="O38" s="35"/>
      <x:c r="P38" s="21"/>
      <x:c r="Q38" s="21"/>
      <x:c r="R38" s="29" t="str">
        <x:f>IF(G38="","",MIN(J38,SUMIF('05_BAO_CAO_NGAY'!$K$6:$K$505,G38,'05_BAO_CAO_NGAY'!$V$6:$V$505)))</x:f>
      </x:c>
      <x:c r="S38" s="37" t="str">
        <x:f>IF(G38="","",IFERROR(R38/J38,0))</x:f>
      </x:c>
      <x:c r="T38" s="41" t="str">
        <x:f>IF(OR(G38="",COUNTIF('05_BAO_CAO_NGAY'!$K$6:$K$505,G38)=0),"",_xlfn.MINIFS('05_BAO_CAO_NGAY'!$B$6:$B$505,'05_BAO_CAO_NGAY'!$K$6:$K$505,G38))</x:f>
      </x:c>
      <x:c r="U38" s="41" t="str">
        <x:f>IF(OR(G38="",S38&lt;1),"",_xlfn.MAXIFS('05_BAO_CAO_NGAY'!$B$6:$B$505,'05_BAO_CAO_NGAY'!$K$6:$K$505,G38))</x:f>
      </x:c>
      <x:c r="V38" s="29" t="str">
        <x:f>IF(G38="","",IF(S38&gt;=1,IF(U38&lt;=O38,"Hoàn thành đúng hạn","Hoàn thành trễ"),IF(TODAY()&gt;O38,"Quá hạn",IF(R38&gt;0,"Đang thực hiện","Chưa bắt đầu"))))</x:f>
      </x:c>
      <x:c r="W38" s="37" t="str">
        <x:f>IF(G38="","",IFERROR(SUMIF('05_BAO_CAO_NGAY'!$K$6:$K$505,G38,'05_BAO_CAO_NGAY'!$AB$6:$AB$505)/SUMIF('05_BAO_CAO_NGAY'!$K$6:$K$505,G38,'05_BAO_CAO_NGAY'!$AC$6:$AC$505),0))</x:f>
      </x:c>
      <x:c r="X38" s="37" t="str">
        <x:f>IF(G38="","",IFERROR(SUMIFS('05_BAO_CAO_NGAY'!$W$6:$W$505,'05_BAO_CAO_NGAY'!$K$6:$K$505,G38,'05_BAO_CAO_NGAY'!$N$6:$N$505,"PRODUCTION")/SUMIFS('05_BAO_CAO_NGAY'!$U$6:$U$505,'05_BAO_CAO_NGAY'!$K$6:$K$505,G38,'05_BAO_CAO_NGAY'!$N$6:$N$505,"PRODUCTION"),0))</x:f>
      </x:c>
      <x:c r="Y38" s="29" t="str">
        <x:f>IF(G38="","",SUMIF('05_BAO_CAO_NGAY'!$K$6:$K$505,G38,'05_BAO_CAO_NGAY'!$S$6:$S$505))</x:f>
      </x:c>
      <x:c r="Z38" s="21"/>
    </x:row>
    <x:row r="39">
      <x:c r="A39" s="21"/>
      <x:c r="B39" s="21"/>
      <x:c r="C39" s="21"/>
      <x:c r="D39" s="21"/>
      <x:c r="E39" s="21"/>
      <x:c r="F39" s="29" t="str">
        <x:f>IF(OR(B39="",C39=""),"",B39&amp;"|"&amp;C39&amp;"|"&amp;IF(D39="","00",D39)&amp;"|"&amp;IF(E39="","01",E39))</x:f>
      </x:c>
      <x:c r="G39" s="29" t="str">
        <x:f>IF(F39="","",F39&amp;"|"&amp;TEXT(A39,"000"))</x:f>
      </x:c>
      <x:c r="H39" s="21"/>
      <x:c r="I39" s="21"/>
      <x:c r="J39" s="25"/>
      <x:c r="K39" s="25"/>
      <x:c r="L39" s="25"/>
      <x:c r="M39" s="39" t="str">
        <x:f>IF(G39="","",K39+L39*J39)</x:f>
      </x:c>
      <x:c r="N39" s="35"/>
      <x:c r="O39" s="35"/>
      <x:c r="P39" s="21"/>
      <x:c r="Q39" s="21"/>
      <x:c r="R39" s="29" t="str">
        <x:f>IF(G39="","",MIN(J39,SUMIF('05_BAO_CAO_NGAY'!$K$6:$K$505,G39,'05_BAO_CAO_NGAY'!$V$6:$V$505)))</x:f>
      </x:c>
      <x:c r="S39" s="37" t="str">
        <x:f>IF(G39="","",IFERROR(R39/J39,0))</x:f>
      </x:c>
      <x:c r="T39" s="41" t="str">
        <x:f>IF(OR(G39="",COUNTIF('05_BAO_CAO_NGAY'!$K$6:$K$505,G39)=0),"",_xlfn.MINIFS('05_BAO_CAO_NGAY'!$B$6:$B$505,'05_BAO_CAO_NGAY'!$K$6:$K$505,G39))</x:f>
      </x:c>
      <x:c r="U39" s="41" t="str">
        <x:f>IF(OR(G39="",S39&lt;1),"",_xlfn.MAXIFS('05_BAO_CAO_NGAY'!$B$6:$B$505,'05_BAO_CAO_NGAY'!$K$6:$K$505,G39))</x:f>
      </x:c>
      <x:c r="V39" s="29" t="str">
        <x:f>IF(G39="","",IF(S39&gt;=1,IF(U39&lt;=O39,"Hoàn thành đúng hạn","Hoàn thành trễ"),IF(TODAY()&gt;O39,"Quá hạn",IF(R39&gt;0,"Đang thực hiện","Chưa bắt đầu"))))</x:f>
      </x:c>
      <x:c r="W39" s="37" t="str">
        <x:f>IF(G39="","",IFERROR(SUMIF('05_BAO_CAO_NGAY'!$K$6:$K$505,G39,'05_BAO_CAO_NGAY'!$AB$6:$AB$505)/SUMIF('05_BAO_CAO_NGAY'!$K$6:$K$505,G39,'05_BAO_CAO_NGAY'!$AC$6:$AC$505),0))</x:f>
      </x:c>
      <x:c r="X39" s="37" t="str">
        <x:f>IF(G39="","",IFERROR(SUMIFS('05_BAO_CAO_NGAY'!$W$6:$W$505,'05_BAO_CAO_NGAY'!$K$6:$K$505,G39,'05_BAO_CAO_NGAY'!$N$6:$N$505,"PRODUCTION")/SUMIFS('05_BAO_CAO_NGAY'!$U$6:$U$505,'05_BAO_CAO_NGAY'!$K$6:$K$505,G39,'05_BAO_CAO_NGAY'!$N$6:$N$505,"PRODUCTION"),0))</x:f>
      </x:c>
      <x:c r="Y39" s="29" t="str">
        <x:f>IF(G39="","",SUMIF('05_BAO_CAO_NGAY'!$K$6:$K$505,G39,'05_BAO_CAO_NGAY'!$S$6:$S$505))</x:f>
      </x:c>
      <x:c r="Z39" s="21"/>
    </x:row>
    <x:row r="40">
      <x:c r="A40" s="21"/>
      <x:c r="B40" s="21"/>
      <x:c r="C40" s="21"/>
      <x:c r="D40" s="21"/>
      <x:c r="E40" s="21"/>
      <x:c r="F40" s="29" t="str">
        <x:f>IF(OR(B40="",C40=""),"",B40&amp;"|"&amp;C40&amp;"|"&amp;IF(D40="","00",D40)&amp;"|"&amp;IF(E40="","01",E40))</x:f>
      </x:c>
      <x:c r="G40" s="29" t="str">
        <x:f>IF(F40="","",F40&amp;"|"&amp;TEXT(A40,"000"))</x:f>
      </x:c>
      <x:c r="H40" s="21"/>
      <x:c r="I40" s="21"/>
      <x:c r="J40" s="25"/>
      <x:c r="K40" s="25"/>
      <x:c r="L40" s="25"/>
      <x:c r="M40" s="39" t="str">
        <x:f>IF(G40="","",K40+L40*J40)</x:f>
      </x:c>
      <x:c r="N40" s="35"/>
      <x:c r="O40" s="35"/>
      <x:c r="P40" s="21"/>
      <x:c r="Q40" s="21"/>
      <x:c r="R40" s="29" t="str">
        <x:f>IF(G40="","",MIN(J40,SUMIF('05_BAO_CAO_NGAY'!$K$6:$K$505,G40,'05_BAO_CAO_NGAY'!$V$6:$V$505)))</x:f>
      </x:c>
      <x:c r="S40" s="37" t="str">
        <x:f>IF(G40="","",IFERROR(R40/J40,0))</x:f>
      </x:c>
      <x:c r="T40" s="41" t="str">
        <x:f>IF(OR(G40="",COUNTIF('05_BAO_CAO_NGAY'!$K$6:$K$505,G40)=0),"",_xlfn.MINIFS('05_BAO_CAO_NGAY'!$B$6:$B$505,'05_BAO_CAO_NGAY'!$K$6:$K$505,G40))</x:f>
      </x:c>
      <x:c r="U40" s="41" t="str">
        <x:f>IF(OR(G40="",S40&lt;1),"",_xlfn.MAXIFS('05_BAO_CAO_NGAY'!$B$6:$B$505,'05_BAO_CAO_NGAY'!$K$6:$K$505,G40))</x:f>
      </x:c>
      <x:c r="V40" s="29" t="str">
        <x:f>IF(G40="","",IF(S40&gt;=1,IF(U40&lt;=O40,"Hoàn thành đúng hạn","Hoàn thành trễ"),IF(TODAY()&gt;O40,"Quá hạn",IF(R40&gt;0,"Đang thực hiện","Chưa bắt đầu"))))</x:f>
      </x:c>
      <x:c r="W40" s="37" t="str">
        <x:f>IF(G40="","",IFERROR(SUMIF('05_BAO_CAO_NGAY'!$K$6:$K$505,G40,'05_BAO_CAO_NGAY'!$AB$6:$AB$505)/SUMIF('05_BAO_CAO_NGAY'!$K$6:$K$505,G40,'05_BAO_CAO_NGAY'!$AC$6:$AC$505),0))</x:f>
      </x:c>
      <x:c r="X40" s="37" t="str">
        <x:f>IF(G40="","",IFERROR(SUMIFS('05_BAO_CAO_NGAY'!$W$6:$W$505,'05_BAO_CAO_NGAY'!$K$6:$K$505,G40,'05_BAO_CAO_NGAY'!$N$6:$N$505,"PRODUCTION")/SUMIFS('05_BAO_CAO_NGAY'!$U$6:$U$505,'05_BAO_CAO_NGAY'!$K$6:$K$505,G40,'05_BAO_CAO_NGAY'!$N$6:$N$505,"PRODUCTION"),0))</x:f>
      </x:c>
      <x:c r="Y40" s="29" t="str">
        <x:f>IF(G40="","",SUMIF('05_BAO_CAO_NGAY'!$K$6:$K$505,G40,'05_BAO_CAO_NGAY'!$S$6:$S$505))</x:f>
      </x:c>
      <x:c r="Z40" s="21"/>
    </x:row>
    <x:row r="41">
      <x:c r="A41" s="21"/>
      <x:c r="B41" s="21"/>
      <x:c r="C41" s="21"/>
      <x:c r="D41" s="21"/>
      <x:c r="E41" s="21"/>
      <x:c r="F41" s="29" t="str">
        <x:f>IF(OR(B41="",C41=""),"",B41&amp;"|"&amp;C41&amp;"|"&amp;IF(D41="","00",D41)&amp;"|"&amp;IF(E41="","01",E41))</x:f>
      </x:c>
      <x:c r="G41" s="29" t="str">
        <x:f>IF(F41="","",F41&amp;"|"&amp;TEXT(A41,"000"))</x:f>
      </x:c>
      <x:c r="H41" s="21"/>
      <x:c r="I41" s="21"/>
      <x:c r="J41" s="25"/>
      <x:c r="K41" s="25"/>
      <x:c r="L41" s="25"/>
      <x:c r="M41" s="39" t="str">
        <x:f>IF(G41="","",K41+L41*J41)</x:f>
      </x:c>
      <x:c r="N41" s="35"/>
      <x:c r="O41" s="35"/>
      <x:c r="P41" s="21"/>
      <x:c r="Q41" s="21"/>
      <x:c r="R41" s="29" t="str">
        <x:f>IF(G41="","",MIN(J41,SUMIF('05_BAO_CAO_NGAY'!$K$6:$K$505,G41,'05_BAO_CAO_NGAY'!$V$6:$V$505)))</x:f>
      </x:c>
      <x:c r="S41" s="37" t="str">
        <x:f>IF(G41="","",IFERROR(R41/J41,0))</x:f>
      </x:c>
      <x:c r="T41" s="41" t="str">
        <x:f>IF(OR(G41="",COUNTIF('05_BAO_CAO_NGAY'!$K$6:$K$505,G41)=0),"",_xlfn.MINIFS('05_BAO_CAO_NGAY'!$B$6:$B$505,'05_BAO_CAO_NGAY'!$K$6:$K$505,G41))</x:f>
      </x:c>
      <x:c r="U41" s="41" t="str">
        <x:f>IF(OR(G41="",S41&lt;1),"",_xlfn.MAXIFS('05_BAO_CAO_NGAY'!$B$6:$B$505,'05_BAO_CAO_NGAY'!$K$6:$K$505,G41))</x:f>
      </x:c>
      <x:c r="V41" s="29" t="str">
        <x:f>IF(G41="","",IF(S41&gt;=1,IF(U41&lt;=O41,"Hoàn thành đúng hạn","Hoàn thành trễ"),IF(TODAY()&gt;O41,"Quá hạn",IF(R41&gt;0,"Đang thực hiện","Chưa bắt đầu"))))</x:f>
      </x:c>
      <x:c r="W41" s="37" t="str">
        <x:f>IF(G41="","",IFERROR(SUMIF('05_BAO_CAO_NGAY'!$K$6:$K$505,G41,'05_BAO_CAO_NGAY'!$AB$6:$AB$505)/SUMIF('05_BAO_CAO_NGAY'!$K$6:$K$505,G41,'05_BAO_CAO_NGAY'!$AC$6:$AC$505),0))</x:f>
      </x:c>
      <x:c r="X41" s="37" t="str">
        <x:f>IF(G41="","",IFERROR(SUMIFS('05_BAO_CAO_NGAY'!$W$6:$W$505,'05_BAO_CAO_NGAY'!$K$6:$K$505,G41,'05_BAO_CAO_NGAY'!$N$6:$N$505,"PRODUCTION")/SUMIFS('05_BAO_CAO_NGAY'!$U$6:$U$505,'05_BAO_CAO_NGAY'!$K$6:$K$505,G41,'05_BAO_CAO_NGAY'!$N$6:$N$505,"PRODUCTION"),0))</x:f>
      </x:c>
      <x:c r="Y41" s="29" t="str">
        <x:f>IF(G41="","",SUMIF('05_BAO_CAO_NGAY'!$K$6:$K$505,G41,'05_BAO_CAO_NGAY'!$S$6:$S$505))</x:f>
      </x:c>
      <x:c r="Z41" s="21"/>
    </x:row>
    <x:row r="42">
      <x:c r="A42" s="21"/>
      <x:c r="B42" s="21"/>
      <x:c r="C42" s="21"/>
      <x:c r="D42" s="21"/>
      <x:c r="E42" s="21"/>
      <x:c r="F42" s="29" t="str">
        <x:f>IF(OR(B42="",C42=""),"",B42&amp;"|"&amp;C42&amp;"|"&amp;IF(D42="","00",D42)&amp;"|"&amp;IF(E42="","01",E42))</x:f>
      </x:c>
      <x:c r="G42" s="29" t="str">
        <x:f>IF(F42="","",F42&amp;"|"&amp;TEXT(A42,"000"))</x:f>
      </x:c>
      <x:c r="H42" s="21"/>
      <x:c r="I42" s="21"/>
      <x:c r="J42" s="25"/>
      <x:c r="K42" s="25"/>
      <x:c r="L42" s="25"/>
      <x:c r="M42" s="39" t="str">
        <x:f>IF(G42="","",K42+L42*J42)</x:f>
      </x:c>
      <x:c r="N42" s="35"/>
      <x:c r="O42" s="35"/>
      <x:c r="P42" s="21"/>
      <x:c r="Q42" s="21"/>
      <x:c r="R42" s="29" t="str">
        <x:f>IF(G42="","",MIN(J42,SUMIF('05_BAO_CAO_NGAY'!$K$6:$K$505,G42,'05_BAO_CAO_NGAY'!$V$6:$V$505)))</x:f>
      </x:c>
      <x:c r="S42" s="37" t="str">
        <x:f>IF(G42="","",IFERROR(R42/J42,0))</x:f>
      </x:c>
      <x:c r="T42" s="41" t="str">
        <x:f>IF(OR(G42="",COUNTIF('05_BAO_CAO_NGAY'!$K$6:$K$505,G42)=0),"",_xlfn.MINIFS('05_BAO_CAO_NGAY'!$B$6:$B$505,'05_BAO_CAO_NGAY'!$K$6:$K$505,G42))</x:f>
      </x:c>
      <x:c r="U42" s="41" t="str">
        <x:f>IF(OR(G42="",S42&lt;1),"",_xlfn.MAXIFS('05_BAO_CAO_NGAY'!$B$6:$B$505,'05_BAO_CAO_NGAY'!$K$6:$K$505,G42))</x:f>
      </x:c>
      <x:c r="V42" s="29" t="str">
        <x:f>IF(G42="","",IF(S42&gt;=1,IF(U42&lt;=O42,"Hoàn thành đúng hạn","Hoàn thành trễ"),IF(TODAY()&gt;O42,"Quá hạn",IF(R42&gt;0,"Đang thực hiện","Chưa bắt đầu"))))</x:f>
      </x:c>
      <x:c r="W42" s="37" t="str">
        <x:f>IF(G42="","",IFERROR(SUMIF('05_BAO_CAO_NGAY'!$K$6:$K$505,G42,'05_BAO_CAO_NGAY'!$AB$6:$AB$505)/SUMIF('05_BAO_CAO_NGAY'!$K$6:$K$505,G42,'05_BAO_CAO_NGAY'!$AC$6:$AC$505),0))</x:f>
      </x:c>
      <x:c r="X42" s="37" t="str">
        <x:f>IF(G42="","",IFERROR(SUMIFS('05_BAO_CAO_NGAY'!$W$6:$W$505,'05_BAO_CAO_NGAY'!$K$6:$K$505,G42,'05_BAO_CAO_NGAY'!$N$6:$N$505,"PRODUCTION")/SUMIFS('05_BAO_CAO_NGAY'!$U$6:$U$505,'05_BAO_CAO_NGAY'!$K$6:$K$505,G42,'05_BAO_CAO_NGAY'!$N$6:$N$505,"PRODUCTION"),0))</x:f>
      </x:c>
      <x:c r="Y42" s="29" t="str">
        <x:f>IF(G42="","",SUMIF('05_BAO_CAO_NGAY'!$K$6:$K$505,G42,'05_BAO_CAO_NGAY'!$S$6:$S$505))</x:f>
      </x:c>
      <x:c r="Z42" s="21"/>
    </x:row>
    <x:row r="43">
      <x:c r="A43" s="21"/>
      <x:c r="B43" s="21"/>
      <x:c r="C43" s="21"/>
      <x:c r="D43" s="21"/>
      <x:c r="E43" s="21"/>
      <x:c r="F43" s="29" t="str">
        <x:f>IF(OR(B43="",C43=""),"",B43&amp;"|"&amp;C43&amp;"|"&amp;IF(D43="","00",D43)&amp;"|"&amp;IF(E43="","01",E43))</x:f>
      </x:c>
      <x:c r="G43" s="29" t="str">
        <x:f>IF(F43="","",F43&amp;"|"&amp;TEXT(A43,"000"))</x:f>
      </x:c>
      <x:c r="H43" s="21"/>
      <x:c r="I43" s="21"/>
      <x:c r="J43" s="25"/>
      <x:c r="K43" s="25"/>
      <x:c r="L43" s="25"/>
      <x:c r="M43" s="39" t="str">
        <x:f>IF(G43="","",K43+L43*J43)</x:f>
      </x:c>
      <x:c r="N43" s="35"/>
      <x:c r="O43" s="35"/>
      <x:c r="P43" s="21"/>
      <x:c r="Q43" s="21"/>
      <x:c r="R43" s="29" t="str">
        <x:f>IF(G43="","",MIN(J43,SUMIF('05_BAO_CAO_NGAY'!$K$6:$K$505,G43,'05_BAO_CAO_NGAY'!$V$6:$V$505)))</x:f>
      </x:c>
      <x:c r="S43" s="37" t="str">
        <x:f>IF(G43="","",IFERROR(R43/J43,0))</x:f>
      </x:c>
      <x:c r="T43" s="41" t="str">
        <x:f>IF(OR(G43="",COUNTIF('05_BAO_CAO_NGAY'!$K$6:$K$505,G43)=0),"",_xlfn.MINIFS('05_BAO_CAO_NGAY'!$B$6:$B$505,'05_BAO_CAO_NGAY'!$K$6:$K$505,G43))</x:f>
      </x:c>
      <x:c r="U43" s="41" t="str">
        <x:f>IF(OR(G43="",S43&lt;1),"",_xlfn.MAXIFS('05_BAO_CAO_NGAY'!$B$6:$B$505,'05_BAO_CAO_NGAY'!$K$6:$K$505,G43))</x:f>
      </x:c>
      <x:c r="V43" s="29" t="str">
        <x:f>IF(G43="","",IF(S43&gt;=1,IF(U43&lt;=O43,"Hoàn thành đúng hạn","Hoàn thành trễ"),IF(TODAY()&gt;O43,"Quá hạn",IF(R43&gt;0,"Đang thực hiện","Chưa bắt đầu"))))</x:f>
      </x:c>
      <x:c r="W43" s="37" t="str">
        <x:f>IF(G43="","",IFERROR(SUMIF('05_BAO_CAO_NGAY'!$K$6:$K$505,G43,'05_BAO_CAO_NGAY'!$AB$6:$AB$505)/SUMIF('05_BAO_CAO_NGAY'!$K$6:$K$505,G43,'05_BAO_CAO_NGAY'!$AC$6:$AC$505),0))</x:f>
      </x:c>
      <x:c r="X43" s="37" t="str">
        <x:f>IF(G43="","",IFERROR(SUMIFS('05_BAO_CAO_NGAY'!$W$6:$W$505,'05_BAO_CAO_NGAY'!$K$6:$K$505,G43,'05_BAO_CAO_NGAY'!$N$6:$N$505,"PRODUCTION")/SUMIFS('05_BAO_CAO_NGAY'!$U$6:$U$505,'05_BAO_CAO_NGAY'!$K$6:$K$505,G43,'05_BAO_CAO_NGAY'!$N$6:$N$505,"PRODUCTION"),0))</x:f>
      </x:c>
      <x:c r="Y43" s="29" t="str">
        <x:f>IF(G43="","",SUMIF('05_BAO_CAO_NGAY'!$K$6:$K$505,G43,'05_BAO_CAO_NGAY'!$S$6:$S$505))</x:f>
      </x:c>
      <x:c r="Z43" s="21"/>
    </x:row>
    <x:row r="44">
      <x:c r="A44" s="21"/>
      <x:c r="B44" s="21"/>
      <x:c r="C44" s="21"/>
      <x:c r="D44" s="21"/>
      <x:c r="E44" s="21"/>
      <x:c r="F44" s="29" t="str">
        <x:f>IF(OR(B44="",C44=""),"",B44&amp;"|"&amp;C44&amp;"|"&amp;IF(D44="","00",D44)&amp;"|"&amp;IF(E44="","01",E44))</x:f>
      </x:c>
      <x:c r="G44" s="29" t="str">
        <x:f>IF(F44="","",F44&amp;"|"&amp;TEXT(A44,"000"))</x:f>
      </x:c>
      <x:c r="H44" s="21"/>
      <x:c r="I44" s="21"/>
      <x:c r="J44" s="25"/>
      <x:c r="K44" s="25"/>
      <x:c r="L44" s="25"/>
      <x:c r="M44" s="39" t="str">
        <x:f>IF(G44="","",K44+L44*J44)</x:f>
      </x:c>
      <x:c r="N44" s="35"/>
      <x:c r="O44" s="35"/>
      <x:c r="P44" s="21"/>
      <x:c r="Q44" s="21"/>
      <x:c r="R44" s="29" t="str">
        <x:f>IF(G44="","",MIN(J44,SUMIF('05_BAO_CAO_NGAY'!$K$6:$K$505,G44,'05_BAO_CAO_NGAY'!$V$6:$V$505)))</x:f>
      </x:c>
      <x:c r="S44" s="37" t="str">
        <x:f>IF(G44="","",IFERROR(R44/J44,0))</x:f>
      </x:c>
      <x:c r="T44" s="41" t="str">
        <x:f>IF(OR(G44="",COUNTIF('05_BAO_CAO_NGAY'!$K$6:$K$505,G44)=0),"",_xlfn.MINIFS('05_BAO_CAO_NGAY'!$B$6:$B$505,'05_BAO_CAO_NGAY'!$K$6:$K$505,G44))</x:f>
      </x:c>
      <x:c r="U44" s="41" t="str">
        <x:f>IF(OR(G44="",S44&lt;1),"",_xlfn.MAXIFS('05_BAO_CAO_NGAY'!$B$6:$B$505,'05_BAO_CAO_NGAY'!$K$6:$K$505,G44))</x:f>
      </x:c>
      <x:c r="V44" s="29" t="str">
        <x:f>IF(G44="","",IF(S44&gt;=1,IF(U44&lt;=O44,"Hoàn thành đúng hạn","Hoàn thành trễ"),IF(TODAY()&gt;O44,"Quá hạn",IF(R44&gt;0,"Đang thực hiện","Chưa bắt đầu"))))</x:f>
      </x:c>
      <x:c r="W44" s="37" t="str">
        <x:f>IF(G44="","",IFERROR(SUMIF('05_BAO_CAO_NGAY'!$K$6:$K$505,G44,'05_BAO_CAO_NGAY'!$AB$6:$AB$505)/SUMIF('05_BAO_CAO_NGAY'!$K$6:$K$505,G44,'05_BAO_CAO_NGAY'!$AC$6:$AC$505),0))</x:f>
      </x:c>
      <x:c r="X44" s="37" t="str">
        <x:f>IF(G44="","",IFERROR(SUMIFS('05_BAO_CAO_NGAY'!$W$6:$W$505,'05_BAO_CAO_NGAY'!$K$6:$K$505,G44,'05_BAO_CAO_NGAY'!$N$6:$N$505,"PRODUCTION")/SUMIFS('05_BAO_CAO_NGAY'!$U$6:$U$505,'05_BAO_CAO_NGAY'!$K$6:$K$505,G44,'05_BAO_CAO_NGAY'!$N$6:$N$505,"PRODUCTION"),0))</x:f>
      </x:c>
      <x:c r="Y44" s="29" t="str">
        <x:f>IF(G44="","",SUMIF('05_BAO_CAO_NGAY'!$K$6:$K$505,G44,'05_BAO_CAO_NGAY'!$S$6:$S$505))</x:f>
      </x:c>
      <x:c r="Z44" s="21"/>
    </x:row>
    <x:row r="45">
      <x:c r="A45" s="21"/>
      <x:c r="B45" s="21"/>
      <x:c r="C45" s="21"/>
      <x:c r="D45" s="21"/>
      <x:c r="E45" s="21"/>
      <x:c r="F45" s="29" t="str">
        <x:f>IF(OR(B45="",C45=""),"",B45&amp;"|"&amp;C45&amp;"|"&amp;IF(D45="","00",D45)&amp;"|"&amp;IF(E45="","01",E45))</x:f>
      </x:c>
      <x:c r="G45" s="29" t="str">
        <x:f>IF(F45="","",F45&amp;"|"&amp;TEXT(A45,"000"))</x:f>
      </x:c>
      <x:c r="H45" s="21"/>
      <x:c r="I45" s="21"/>
      <x:c r="J45" s="25"/>
      <x:c r="K45" s="25"/>
      <x:c r="L45" s="25"/>
      <x:c r="M45" s="39" t="str">
        <x:f>IF(G45="","",K45+L45*J45)</x:f>
      </x:c>
      <x:c r="N45" s="35"/>
      <x:c r="O45" s="35"/>
      <x:c r="P45" s="21"/>
      <x:c r="Q45" s="21"/>
      <x:c r="R45" s="29" t="str">
        <x:f>IF(G45="","",MIN(J45,SUMIF('05_BAO_CAO_NGAY'!$K$6:$K$505,G45,'05_BAO_CAO_NGAY'!$V$6:$V$505)))</x:f>
      </x:c>
      <x:c r="S45" s="37" t="str">
        <x:f>IF(G45="","",IFERROR(R45/J45,0))</x:f>
      </x:c>
      <x:c r="T45" s="41" t="str">
        <x:f>IF(OR(G45="",COUNTIF('05_BAO_CAO_NGAY'!$K$6:$K$505,G45)=0),"",_xlfn.MINIFS('05_BAO_CAO_NGAY'!$B$6:$B$505,'05_BAO_CAO_NGAY'!$K$6:$K$505,G45))</x:f>
      </x:c>
      <x:c r="U45" s="41" t="str">
        <x:f>IF(OR(G45="",S45&lt;1),"",_xlfn.MAXIFS('05_BAO_CAO_NGAY'!$B$6:$B$505,'05_BAO_CAO_NGAY'!$K$6:$K$505,G45))</x:f>
      </x:c>
      <x:c r="V45" s="29" t="str">
        <x:f>IF(G45="","",IF(S45&gt;=1,IF(U45&lt;=O45,"Hoàn thành đúng hạn","Hoàn thành trễ"),IF(TODAY()&gt;O45,"Quá hạn",IF(R45&gt;0,"Đang thực hiện","Chưa bắt đầu"))))</x:f>
      </x:c>
      <x:c r="W45" s="37" t="str">
        <x:f>IF(G45="","",IFERROR(SUMIF('05_BAO_CAO_NGAY'!$K$6:$K$505,G45,'05_BAO_CAO_NGAY'!$AB$6:$AB$505)/SUMIF('05_BAO_CAO_NGAY'!$K$6:$K$505,G45,'05_BAO_CAO_NGAY'!$AC$6:$AC$505),0))</x:f>
      </x:c>
      <x:c r="X45" s="37" t="str">
        <x:f>IF(G45="","",IFERROR(SUMIFS('05_BAO_CAO_NGAY'!$W$6:$W$505,'05_BAO_CAO_NGAY'!$K$6:$K$505,G45,'05_BAO_CAO_NGAY'!$N$6:$N$505,"PRODUCTION")/SUMIFS('05_BAO_CAO_NGAY'!$U$6:$U$505,'05_BAO_CAO_NGAY'!$K$6:$K$505,G45,'05_BAO_CAO_NGAY'!$N$6:$N$505,"PRODUCTION"),0))</x:f>
      </x:c>
      <x:c r="Y45" s="29" t="str">
        <x:f>IF(G45="","",SUMIF('05_BAO_CAO_NGAY'!$K$6:$K$505,G45,'05_BAO_CAO_NGAY'!$S$6:$S$505))</x:f>
      </x:c>
      <x:c r="Z45" s="21"/>
    </x:row>
    <x:row r="46">
      <x:c r="A46" s="21"/>
      <x:c r="B46" s="21"/>
      <x:c r="C46" s="21"/>
      <x:c r="D46" s="21"/>
      <x:c r="E46" s="21"/>
      <x:c r="F46" s="29" t="str">
        <x:f>IF(OR(B46="",C46=""),"",B46&amp;"|"&amp;C46&amp;"|"&amp;IF(D46="","00",D46)&amp;"|"&amp;IF(E46="","01",E46))</x:f>
      </x:c>
      <x:c r="G46" s="29" t="str">
        <x:f>IF(F46="","",F46&amp;"|"&amp;TEXT(A46,"000"))</x:f>
      </x:c>
      <x:c r="H46" s="21"/>
      <x:c r="I46" s="21"/>
      <x:c r="J46" s="25"/>
      <x:c r="K46" s="25"/>
      <x:c r="L46" s="25"/>
      <x:c r="M46" s="39" t="str">
        <x:f>IF(G46="","",K46+L46*J46)</x:f>
      </x:c>
      <x:c r="N46" s="35"/>
      <x:c r="O46" s="35"/>
      <x:c r="P46" s="21"/>
      <x:c r="Q46" s="21"/>
      <x:c r="R46" s="29" t="str">
        <x:f>IF(G46="","",MIN(J46,SUMIF('05_BAO_CAO_NGAY'!$K$6:$K$505,G46,'05_BAO_CAO_NGAY'!$V$6:$V$505)))</x:f>
      </x:c>
      <x:c r="S46" s="37" t="str">
        <x:f>IF(G46="","",IFERROR(R46/J46,0))</x:f>
      </x:c>
      <x:c r="T46" s="41" t="str">
        <x:f>IF(OR(G46="",COUNTIF('05_BAO_CAO_NGAY'!$K$6:$K$505,G46)=0),"",_xlfn.MINIFS('05_BAO_CAO_NGAY'!$B$6:$B$505,'05_BAO_CAO_NGAY'!$K$6:$K$505,G46))</x:f>
      </x:c>
      <x:c r="U46" s="41" t="str">
        <x:f>IF(OR(G46="",S46&lt;1),"",_xlfn.MAXIFS('05_BAO_CAO_NGAY'!$B$6:$B$505,'05_BAO_CAO_NGAY'!$K$6:$K$505,G46))</x:f>
      </x:c>
      <x:c r="V46" s="29" t="str">
        <x:f>IF(G46="","",IF(S46&gt;=1,IF(U46&lt;=O46,"Hoàn thành đúng hạn","Hoàn thành trễ"),IF(TODAY()&gt;O46,"Quá hạn",IF(R46&gt;0,"Đang thực hiện","Chưa bắt đầu"))))</x:f>
      </x:c>
      <x:c r="W46" s="37" t="str">
        <x:f>IF(G46="","",IFERROR(SUMIF('05_BAO_CAO_NGAY'!$K$6:$K$505,G46,'05_BAO_CAO_NGAY'!$AB$6:$AB$505)/SUMIF('05_BAO_CAO_NGAY'!$K$6:$K$505,G46,'05_BAO_CAO_NGAY'!$AC$6:$AC$505),0))</x:f>
      </x:c>
      <x:c r="X46" s="37" t="str">
        <x:f>IF(G46="","",IFERROR(SUMIFS('05_BAO_CAO_NGAY'!$W$6:$W$505,'05_BAO_CAO_NGAY'!$K$6:$K$505,G46,'05_BAO_CAO_NGAY'!$N$6:$N$505,"PRODUCTION")/SUMIFS('05_BAO_CAO_NGAY'!$U$6:$U$505,'05_BAO_CAO_NGAY'!$K$6:$K$505,G46,'05_BAO_CAO_NGAY'!$N$6:$N$505,"PRODUCTION"),0))</x:f>
      </x:c>
      <x:c r="Y46" s="29" t="str">
        <x:f>IF(G46="","",SUMIF('05_BAO_CAO_NGAY'!$K$6:$K$505,G46,'05_BAO_CAO_NGAY'!$S$6:$S$505))</x:f>
      </x:c>
      <x:c r="Z46" s="21"/>
    </x:row>
    <x:row r="47">
      <x:c r="A47" s="21"/>
      <x:c r="B47" s="21"/>
      <x:c r="C47" s="21"/>
      <x:c r="D47" s="21"/>
      <x:c r="E47" s="21"/>
      <x:c r="F47" s="29" t="str">
        <x:f>IF(OR(B47="",C47=""),"",B47&amp;"|"&amp;C47&amp;"|"&amp;IF(D47="","00",D47)&amp;"|"&amp;IF(E47="","01",E47))</x:f>
      </x:c>
      <x:c r="G47" s="29" t="str">
        <x:f>IF(F47="","",F47&amp;"|"&amp;TEXT(A47,"000"))</x:f>
      </x:c>
      <x:c r="H47" s="21"/>
      <x:c r="I47" s="21"/>
      <x:c r="J47" s="25"/>
      <x:c r="K47" s="25"/>
      <x:c r="L47" s="25"/>
      <x:c r="M47" s="39" t="str">
        <x:f>IF(G47="","",K47+L47*J47)</x:f>
      </x:c>
      <x:c r="N47" s="35"/>
      <x:c r="O47" s="35"/>
      <x:c r="P47" s="21"/>
      <x:c r="Q47" s="21"/>
      <x:c r="R47" s="29" t="str">
        <x:f>IF(G47="","",MIN(J47,SUMIF('05_BAO_CAO_NGAY'!$K$6:$K$505,G47,'05_BAO_CAO_NGAY'!$V$6:$V$505)))</x:f>
      </x:c>
      <x:c r="S47" s="37" t="str">
        <x:f>IF(G47="","",IFERROR(R47/J47,0))</x:f>
      </x:c>
      <x:c r="T47" s="41" t="str">
        <x:f>IF(OR(G47="",COUNTIF('05_BAO_CAO_NGAY'!$K$6:$K$505,G47)=0),"",_xlfn.MINIFS('05_BAO_CAO_NGAY'!$B$6:$B$505,'05_BAO_CAO_NGAY'!$K$6:$K$505,G47))</x:f>
      </x:c>
      <x:c r="U47" s="41" t="str">
        <x:f>IF(OR(G47="",S47&lt;1),"",_xlfn.MAXIFS('05_BAO_CAO_NGAY'!$B$6:$B$505,'05_BAO_CAO_NGAY'!$K$6:$K$505,G47))</x:f>
      </x:c>
      <x:c r="V47" s="29" t="str">
        <x:f>IF(G47="","",IF(S47&gt;=1,IF(U47&lt;=O47,"Hoàn thành đúng hạn","Hoàn thành trễ"),IF(TODAY()&gt;O47,"Quá hạn",IF(R47&gt;0,"Đang thực hiện","Chưa bắt đầu"))))</x:f>
      </x:c>
      <x:c r="W47" s="37" t="str">
        <x:f>IF(G47="","",IFERROR(SUMIF('05_BAO_CAO_NGAY'!$K$6:$K$505,G47,'05_BAO_CAO_NGAY'!$AB$6:$AB$505)/SUMIF('05_BAO_CAO_NGAY'!$K$6:$K$505,G47,'05_BAO_CAO_NGAY'!$AC$6:$AC$505),0))</x:f>
      </x:c>
      <x:c r="X47" s="37" t="str">
        <x:f>IF(G47="","",IFERROR(SUMIFS('05_BAO_CAO_NGAY'!$W$6:$W$505,'05_BAO_CAO_NGAY'!$K$6:$K$505,G47,'05_BAO_CAO_NGAY'!$N$6:$N$505,"PRODUCTION")/SUMIFS('05_BAO_CAO_NGAY'!$U$6:$U$505,'05_BAO_CAO_NGAY'!$K$6:$K$505,G47,'05_BAO_CAO_NGAY'!$N$6:$N$505,"PRODUCTION"),0))</x:f>
      </x:c>
      <x:c r="Y47" s="29" t="str">
        <x:f>IF(G47="","",SUMIF('05_BAO_CAO_NGAY'!$K$6:$K$505,G47,'05_BAO_CAO_NGAY'!$S$6:$S$505))</x:f>
      </x:c>
      <x:c r="Z47" s="21"/>
    </x:row>
    <x:row r="48">
      <x:c r="A48" s="21"/>
      <x:c r="B48" s="21"/>
      <x:c r="C48" s="21"/>
      <x:c r="D48" s="21"/>
      <x:c r="E48" s="21"/>
      <x:c r="F48" s="29" t="str">
        <x:f>IF(OR(B48="",C48=""),"",B48&amp;"|"&amp;C48&amp;"|"&amp;IF(D48="","00",D48)&amp;"|"&amp;IF(E48="","01",E48))</x:f>
      </x:c>
      <x:c r="G48" s="29" t="str">
        <x:f>IF(F48="","",F48&amp;"|"&amp;TEXT(A48,"000"))</x:f>
      </x:c>
      <x:c r="H48" s="21"/>
      <x:c r="I48" s="21"/>
      <x:c r="J48" s="25"/>
      <x:c r="K48" s="25"/>
      <x:c r="L48" s="25"/>
      <x:c r="M48" s="39" t="str">
        <x:f>IF(G48="","",K48+L48*J48)</x:f>
      </x:c>
      <x:c r="N48" s="35"/>
      <x:c r="O48" s="35"/>
      <x:c r="P48" s="21"/>
      <x:c r="Q48" s="21"/>
      <x:c r="R48" s="29" t="str">
        <x:f>IF(G48="","",MIN(J48,SUMIF('05_BAO_CAO_NGAY'!$K$6:$K$505,G48,'05_BAO_CAO_NGAY'!$V$6:$V$505)))</x:f>
      </x:c>
      <x:c r="S48" s="37" t="str">
        <x:f>IF(G48="","",IFERROR(R48/J48,0))</x:f>
      </x:c>
      <x:c r="T48" s="41" t="str">
        <x:f>IF(OR(G48="",COUNTIF('05_BAO_CAO_NGAY'!$K$6:$K$505,G48)=0),"",_xlfn.MINIFS('05_BAO_CAO_NGAY'!$B$6:$B$505,'05_BAO_CAO_NGAY'!$K$6:$K$505,G48))</x:f>
      </x:c>
      <x:c r="U48" s="41" t="str">
        <x:f>IF(OR(G48="",S48&lt;1),"",_xlfn.MAXIFS('05_BAO_CAO_NGAY'!$B$6:$B$505,'05_BAO_CAO_NGAY'!$K$6:$K$505,G48))</x:f>
      </x:c>
      <x:c r="V48" s="29" t="str">
        <x:f>IF(G48="","",IF(S48&gt;=1,IF(U48&lt;=O48,"Hoàn thành đúng hạn","Hoàn thành trễ"),IF(TODAY()&gt;O48,"Quá hạn",IF(R48&gt;0,"Đang thực hiện","Chưa bắt đầu"))))</x:f>
      </x:c>
      <x:c r="W48" s="37" t="str">
        <x:f>IF(G48="","",IFERROR(SUMIF('05_BAO_CAO_NGAY'!$K$6:$K$505,G48,'05_BAO_CAO_NGAY'!$AB$6:$AB$505)/SUMIF('05_BAO_CAO_NGAY'!$K$6:$K$505,G48,'05_BAO_CAO_NGAY'!$AC$6:$AC$505),0))</x:f>
      </x:c>
      <x:c r="X48" s="37" t="str">
        <x:f>IF(G48="","",IFERROR(SUMIFS('05_BAO_CAO_NGAY'!$W$6:$W$505,'05_BAO_CAO_NGAY'!$K$6:$K$505,G48,'05_BAO_CAO_NGAY'!$N$6:$N$505,"PRODUCTION")/SUMIFS('05_BAO_CAO_NGAY'!$U$6:$U$505,'05_BAO_CAO_NGAY'!$K$6:$K$505,G48,'05_BAO_CAO_NGAY'!$N$6:$N$505,"PRODUCTION"),0))</x:f>
      </x:c>
      <x:c r="Y48" s="29" t="str">
        <x:f>IF(G48="","",SUMIF('05_BAO_CAO_NGAY'!$K$6:$K$505,G48,'05_BAO_CAO_NGAY'!$S$6:$S$505))</x:f>
      </x:c>
      <x:c r="Z48" s="21"/>
    </x:row>
    <x:row r="49">
      <x:c r="A49" s="21"/>
      <x:c r="B49" s="21"/>
      <x:c r="C49" s="21"/>
      <x:c r="D49" s="21"/>
      <x:c r="E49" s="21"/>
      <x:c r="F49" s="29" t="str">
        <x:f>IF(OR(B49="",C49=""),"",B49&amp;"|"&amp;C49&amp;"|"&amp;IF(D49="","00",D49)&amp;"|"&amp;IF(E49="","01",E49))</x:f>
      </x:c>
      <x:c r="G49" s="29" t="str">
        <x:f>IF(F49="","",F49&amp;"|"&amp;TEXT(A49,"000"))</x:f>
      </x:c>
      <x:c r="H49" s="21"/>
      <x:c r="I49" s="21"/>
      <x:c r="J49" s="25"/>
      <x:c r="K49" s="25"/>
      <x:c r="L49" s="25"/>
      <x:c r="M49" s="39" t="str">
        <x:f>IF(G49="","",K49+L49*J49)</x:f>
      </x:c>
      <x:c r="N49" s="35"/>
      <x:c r="O49" s="35"/>
      <x:c r="P49" s="21"/>
      <x:c r="Q49" s="21"/>
      <x:c r="R49" s="29" t="str">
        <x:f>IF(G49="","",MIN(J49,SUMIF('05_BAO_CAO_NGAY'!$K$6:$K$505,G49,'05_BAO_CAO_NGAY'!$V$6:$V$505)))</x:f>
      </x:c>
      <x:c r="S49" s="37" t="str">
        <x:f>IF(G49="","",IFERROR(R49/J49,0))</x:f>
      </x:c>
      <x:c r="T49" s="41" t="str">
        <x:f>IF(OR(G49="",COUNTIF('05_BAO_CAO_NGAY'!$K$6:$K$505,G49)=0),"",_xlfn.MINIFS('05_BAO_CAO_NGAY'!$B$6:$B$505,'05_BAO_CAO_NGAY'!$K$6:$K$505,G49))</x:f>
      </x:c>
      <x:c r="U49" s="41" t="str">
        <x:f>IF(OR(G49="",S49&lt;1),"",_xlfn.MAXIFS('05_BAO_CAO_NGAY'!$B$6:$B$505,'05_BAO_CAO_NGAY'!$K$6:$K$505,G49))</x:f>
      </x:c>
      <x:c r="V49" s="29" t="str">
        <x:f>IF(G49="","",IF(S49&gt;=1,IF(U49&lt;=O49,"Hoàn thành đúng hạn","Hoàn thành trễ"),IF(TODAY()&gt;O49,"Quá hạn",IF(R49&gt;0,"Đang thực hiện","Chưa bắt đầu"))))</x:f>
      </x:c>
      <x:c r="W49" s="37" t="str">
        <x:f>IF(G49="","",IFERROR(SUMIF('05_BAO_CAO_NGAY'!$K$6:$K$505,G49,'05_BAO_CAO_NGAY'!$AB$6:$AB$505)/SUMIF('05_BAO_CAO_NGAY'!$K$6:$K$505,G49,'05_BAO_CAO_NGAY'!$AC$6:$AC$505),0))</x:f>
      </x:c>
      <x:c r="X49" s="37" t="str">
        <x:f>IF(G49="","",IFERROR(SUMIFS('05_BAO_CAO_NGAY'!$W$6:$W$505,'05_BAO_CAO_NGAY'!$K$6:$K$505,G49,'05_BAO_CAO_NGAY'!$N$6:$N$505,"PRODUCTION")/SUMIFS('05_BAO_CAO_NGAY'!$U$6:$U$505,'05_BAO_CAO_NGAY'!$K$6:$K$505,G49,'05_BAO_CAO_NGAY'!$N$6:$N$505,"PRODUCTION"),0))</x:f>
      </x:c>
      <x:c r="Y49" s="29" t="str">
        <x:f>IF(G49="","",SUMIF('05_BAO_CAO_NGAY'!$K$6:$K$505,G49,'05_BAO_CAO_NGAY'!$S$6:$S$505))</x:f>
      </x:c>
      <x:c r="Z49" s="21"/>
    </x:row>
    <x:row r="50">
      <x:c r="A50" s="21"/>
      <x:c r="B50" s="21"/>
      <x:c r="C50" s="21"/>
      <x:c r="D50" s="21"/>
      <x:c r="E50" s="21"/>
      <x:c r="F50" s="29" t="str">
        <x:f>IF(OR(B50="",C50=""),"",B50&amp;"|"&amp;C50&amp;"|"&amp;IF(D50="","00",D50)&amp;"|"&amp;IF(E50="","01",E50))</x:f>
      </x:c>
      <x:c r="G50" s="29" t="str">
        <x:f>IF(F50="","",F50&amp;"|"&amp;TEXT(A50,"000"))</x:f>
      </x:c>
      <x:c r="H50" s="21"/>
      <x:c r="I50" s="21"/>
      <x:c r="J50" s="25"/>
      <x:c r="K50" s="25"/>
      <x:c r="L50" s="25"/>
      <x:c r="M50" s="39" t="str">
        <x:f>IF(G50="","",K50+L50*J50)</x:f>
      </x:c>
      <x:c r="N50" s="35"/>
      <x:c r="O50" s="35"/>
      <x:c r="P50" s="21"/>
      <x:c r="Q50" s="21"/>
      <x:c r="R50" s="29" t="str">
        <x:f>IF(G50="","",MIN(J50,SUMIF('05_BAO_CAO_NGAY'!$K$6:$K$505,G50,'05_BAO_CAO_NGAY'!$V$6:$V$505)))</x:f>
      </x:c>
      <x:c r="S50" s="37" t="str">
        <x:f>IF(G50="","",IFERROR(R50/J50,0))</x:f>
      </x:c>
      <x:c r="T50" s="41" t="str">
        <x:f>IF(OR(G50="",COUNTIF('05_BAO_CAO_NGAY'!$K$6:$K$505,G50)=0),"",_xlfn.MINIFS('05_BAO_CAO_NGAY'!$B$6:$B$505,'05_BAO_CAO_NGAY'!$K$6:$K$505,G50))</x:f>
      </x:c>
      <x:c r="U50" s="41" t="str">
        <x:f>IF(OR(G50="",S50&lt;1),"",_xlfn.MAXIFS('05_BAO_CAO_NGAY'!$B$6:$B$505,'05_BAO_CAO_NGAY'!$K$6:$K$505,G50))</x:f>
      </x:c>
      <x:c r="V50" s="29" t="str">
        <x:f>IF(G50="","",IF(S50&gt;=1,IF(U50&lt;=O50,"Hoàn thành đúng hạn","Hoàn thành trễ"),IF(TODAY()&gt;O50,"Quá hạn",IF(R50&gt;0,"Đang thực hiện","Chưa bắt đầu"))))</x:f>
      </x:c>
      <x:c r="W50" s="37" t="str">
        <x:f>IF(G50="","",IFERROR(SUMIF('05_BAO_CAO_NGAY'!$K$6:$K$505,G50,'05_BAO_CAO_NGAY'!$AB$6:$AB$505)/SUMIF('05_BAO_CAO_NGAY'!$K$6:$K$505,G50,'05_BAO_CAO_NGAY'!$AC$6:$AC$505),0))</x:f>
      </x:c>
      <x:c r="X50" s="37" t="str">
        <x:f>IF(G50="","",IFERROR(SUMIFS('05_BAO_CAO_NGAY'!$W$6:$W$505,'05_BAO_CAO_NGAY'!$K$6:$K$505,G50,'05_BAO_CAO_NGAY'!$N$6:$N$505,"PRODUCTION")/SUMIFS('05_BAO_CAO_NGAY'!$U$6:$U$505,'05_BAO_CAO_NGAY'!$K$6:$K$505,G50,'05_BAO_CAO_NGAY'!$N$6:$N$505,"PRODUCTION"),0))</x:f>
      </x:c>
      <x:c r="Y50" s="29" t="str">
        <x:f>IF(G50="","",SUMIF('05_BAO_CAO_NGAY'!$K$6:$K$505,G50,'05_BAO_CAO_NGAY'!$S$6:$S$505))</x:f>
      </x:c>
      <x:c r="Z50" s="21"/>
    </x:row>
    <x:row r="51">
      <x:c r="A51" s="21"/>
      <x:c r="B51" s="21"/>
      <x:c r="C51" s="21"/>
      <x:c r="D51" s="21"/>
      <x:c r="E51" s="21"/>
      <x:c r="F51" s="29" t="str">
        <x:f>IF(OR(B51="",C51=""),"",B51&amp;"|"&amp;C51&amp;"|"&amp;IF(D51="","00",D51)&amp;"|"&amp;IF(E51="","01",E51))</x:f>
      </x:c>
      <x:c r="G51" s="29" t="str">
        <x:f>IF(F51="","",F51&amp;"|"&amp;TEXT(A51,"000"))</x:f>
      </x:c>
      <x:c r="H51" s="21"/>
      <x:c r="I51" s="21"/>
      <x:c r="J51" s="25"/>
      <x:c r="K51" s="25"/>
      <x:c r="L51" s="25"/>
      <x:c r="M51" s="39" t="str">
        <x:f>IF(G51="","",K51+L51*J51)</x:f>
      </x:c>
      <x:c r="N51" s="35"/>
      <x:c r="O51" s="35"/>
      <x:c r="P51" s="21"/>
      <x:c r="Q51" s="21"/>
      <x:c r="R51" s="29" t="str">
        <x:f>IF(G51="","",MIN(J51,SUMIF('05_BAO_CAO_NGAY'!$K$6:$K$505,G51,'05_BAO_CAO_NGAY'!$V$6:$V$505)))</x:f>
      </x:c>
      <x:c r="S51" s="37" t="str">
        <x:f>IF(G51="","",IFERROR(R51/J51,0))</x:f>
      </x:c>
      <x:c r="T51" s="41" t="str">
        <x:f>IF(OR(G51="",COUNTIF('05_BAO_CAO_NGAY'!$K$6:$K$505,G51)=0),"",_xlfn.MINIFS('05_BAO_CAO_NGAY'!$B$6:$B$505,'05_BAO_CAO_NGAY'!$K$6:$K$505,G51))</x:f>
      </x:c>
      <x:c r="U51" s="41" t="str">
        <x:f>IF(OR(G51="",S51&lt;1),"",_xlfn.MAXIFS('05_BAO_CAO_NGAY'!$B$6:$B$505,'05_BAO_CAO_NGAY'!$K$6:$K$505,G51))</x:f>
      </x:c>
      <x:c r="V51" s="29" t="str">
        <x:f>IF(G51="","",IF(S51&gt;=1,IF(U51&lt;=O51,"Hoàn thành đúng hạn","Hoàn thành trễ"),IF(TODAY()&gt;O51,"Quá hạn",IF(R51&gt;0,"Đang thực hiện","Chưa bắt đầu"))))</x:f>
      </x:c>
      <x:c r="W51" s="37" t="str">
        <x:f>IF(G51="","",IFERROR(SUMIF('05_BAO_CAO_NGAY'!$K$6:$K$505,G51,'05_BAO_CAO_NGAY'!$AB$6:$AB$505)/SUMIF('05_BAO_CAO_NGAY'!$K$6:$K$505,G51,'05_BAO_CAO_NGAY'!$AC$6:$AC$505),0))</x:f>
      </x:c>
      <x:c r="X51" s="37" t="str">
        <x:f>IF(G51="","",IFERROR(SUMIFS('05_BAO_CAO_NGAY'!$W$6:$W$505,'05_BAO_CAO_NGAY'!$K$6:$K$505,G51,'05_BAO_CAO_NGAY'!$N$6:$N$505,"PRODUCTION")/SUMIFS('05_BAO_CAO_NGAY'!$U$6:$U$505,'05_BAO_CAO_NGAY'!$K$6:$K$505,G51,'05_BAO_CAO_NGAY'!$N$6:$N$505,"PRODUCTION"),0))</x:f>
      </x:c>
      <x:c r="Y51" s="29" t="str">
        <x:f>IF(G51="","",SUMIF('05_BAO_CAO_NGAY'!$K$6:$K$505,G51,'05_BAO_CAO_NGAY'!$S$6:$S$505))</x:f>
      </x:c>
      <x:c r="Z51" s="21"/>
    </x:row>
    <x:row r="52">
      <x:c r="A52" s="21"/>
      <x:c r="B52" s="21"/>
      <x:c r="C52" s="21"/>
      <x:c r="D52" s="21"/>
      <x:c r="E52" s="21"/>
      <x:c r="F52" s="29" t="str">
        <x:f>IF(OR(B52="",C52=""),"",B52&amp;"|"&amp;C52&amp;"|"&amp;IF(D52="","00",D52)&amp;"|"&amp;IF(E52="","01",E52))</x:f>
      </x:c>
      <x:c r="G52" s="29" t="str">
        <x:f>IF(F52="","",F52&amp;"|"&amp;TEXT(A52,"000"))</x:f>
      </x:c>
      <x:c r="H52" s="21"/>
      <x:c r="I52" s="21"/>
      <x:c r="J52" s="25"/>
      <x:c r="K52" s="25"/>
      <x:c r="L52" s="25"/>
      <x:c r="M52" s="39" t="str">
        <x:f>IF(G52="","",K52+L52*J52)</x:f>
      </x:c>
      <x:c r="N52" s="35"/>
      <x:c r="O52" s="35"/>
      <x:c r="P52" s="21"/>
      <x:c r="Q52" s="21"/>
      <x:c r="R52" s="29" t="str">
        <x:f>IF(G52="","",MIN(J52,SUMIF('05_BAO_CAO_NGAY'!$K$6:$K$505,G52,'05_BAO_CAO_NGAY'!$V$6:$V$505)))</x:f>
      </x:c>
      <x:c r="S52" s="37" t="str">
        <x:f>IF(G52="","",IFERROR(R52/J52,0))</x:f>
      </x:c>
      <x:c r="T52" s="41" t="str">
        <x:f>IF(OR(G52="",COUNTIF('05_BAO_CAO_NGAY'!$K$6:$K$505,G52)=0),"",_xlfn.MINIFS('05_BAO_CAO_NGAY'!$B$6:$B$505,'05_BAO_CAO_NGAY'!$K$6:$K$505,G52))</x:f>
      </x:c>
      <x:c r="U52" s="41" t="str">
        <x:f>IF(OR(G52="",S52&lt;1),"",_xlfn.MAXIFS('05_BAO_CAO_NGAY'!$B$6:$B$505,'05_BAO_CAO_NGAY'!$K$6:$K$505,G52))</x:f>
      </x:c>
      <x:c r="V52" s="29" t="str">
        <x:f>IF(G52="","",IF(S52&gt;=1,IF(U52&lt;=O52,"Hoàn thành đúng hạn","Hoàn thành trễ"),IF(TODAY()&gt;O52,"Quá hạn",IF(R52&gt;0,"Đang thực hiện","Chưa bắt đầu"))))</x:f>
      </x:c>
      <x:c r="W52" s="37" t="str">
        <x:f>IF(G52="","",IFERROR(SUMIF('05_BAO_CAO_NGAY'!$K$6:$K$505,G52,'05_BAO_CAO_NGAY'!$AB$6:$AB$505)/SUMIF('05_BAO_CAO_NGAY'!$K$6:$K$505,G52,'05_BAO_CAO_NGAY'!$AC$6:$AC$505),0))</x:f>
      </x:c>
      <x:c r="X52" s="37" t="str">
        <x:f>IF(G52="","",IFERROR(SUMIFS('05_BAO_CAO_NGAY'!$W$6:$W$505,'05_BAO_CAO_NGAY'!$K$6:$K$505,G52,'05_BAO_CAO_NGAY'!$N$6:$N$505,"PRODUCTION")/SUMIFS('05_BAO_CAO_NGAY'!$U$6:$U$505,'05_BAO_CAO_NGAY'!$K$6:$K$505,G52,'05_BAO_CAO_NGAY'!$N$6:$N$505,"PRODUCTION"),0))</x:f>
      </x:c>
      <x:c r="Y52" s="29" t="str">
        <x:f>IF(G52="","",SUMIF('05_BAO_CAO_NGAY'!$K$6:$K$505,G52,'05_BAO_CAO_NGAY'!$S$6:$S$505))</x:f>
      </x:c>
      <x:c r="Z52" s="21"/>
    </x:row>
    <x:row r="53">
      <x:c r="A53" s="21"/>
      <x:c r="B53" s="21"/>
      <x:c r="C53" s="21"/>
      <x:c r="D53" s="21"/>
      <x:c r="E53" s="21"/>
      <x:c r="F53" s="29" t="str">
        <x:f>IF(OR(B53="",C53=""),"",B53&amp;"|"&amp;C53&amp;"|"&amp;IF(D53="","00",D53)&amp;"|"&amp;IF(E53="","01",E53))</x:f>
      </x:c>
      <x:c r="G53" s="29" t="str">
        <x:f>IF(F53="","",F53&amp;"|"&amp;TEXT(A53,"000"))</x:f>
      </x:c>
      <x:c r="H53" s="21"/>
      <x:c r="I53" s="21"/>
      <x:c r="J53" s="25"/>
      <x:c r="K53" s="25"/>
      <x:c r="L53" s="25"/>
      <x:c r="M53" s="39" t="str">
        <x:f>IF(G53="","",K53+L53*J53)</x:f>
      </x:c>
      <x:c r="N53" s="35"/>
      <x:c r="O53" s="35"/>
      <x:c r="P53" s="21"/>
      <x:c r="Q53" s="21"/>
      <x:c r="R53" s="29" t="str">
        <x:f>IF(G53="","",MIN(J53,SUMIF('05_BAO_CAO_NGAY'!$K$6:$K$505,G53,'05_BAO_CAO_NGAY'!$V$6:$V$505)))</x:f>
      </x:c>
      <x:c r="S53" s="37" t="str">
        <x:f>IF(G53="","",IFERROR(R53/J53,0))</x:f>
      </x:c>
      <x:c r="T53" s="41" t="str">
        <x:f>IF(OR(G53="",COUNTIF('05_BAO_CAO_NGAY'!$K$6:$K$505,G53)=0),"",_xlfn.MINIFS('05_BAO_CAO_NGAY'!$B$6:$B$505,'05_BAO_CAO_NGAY'!$K$6:$K$505,G53))</x:f>
      </x:c>
      <x:c r="U53" s="41" t="str">
        <x:f>IF(OR(G53="",S53&lt;1),"",_xlfn.MAXIFS('05_BAO_CAO_NGAY'!$B$6:$B$505,'05_BAO_CAO_NGAY'!$K$6:$K$505,G53))</x:f>
      </x:c>
      <x:c r="V53" s="29" t="str">
        <x:f>IF(G53="","",IF(S53&gt;=1,IF(U53&lt;=O53,"Hoàn thành đúng hạn","Hoàn thành trễ"),IF(TODAY()&gt;O53,"Quá hạn",IF(R53&gt;0,"Đang thực hiện","Chưa bắt đầu"))))</x:f>
      </x:c>
      <x:c r="W53" s="37" t="str">
        <x:f>IF(G53="","",IFERROR(SUMIF('05_BAO_CAO_NGAY'!$K$6:$K$505,G53,'05_BAO_CAO_NGAY'!$AB$6:$AB$505)/SUMIF('05_BAO_CAO_NGAY'!$K$6:$K$505,G53,'05_BAO_CAO_NGAY'!$AC$6:$AC$505),0))</x:f>
      </x:c>
      <x:c r="X53" s="37" t="str">
        <x:f>IF(G53="","",IFERROR(SUMIFS('05_BAO_CAO_NGAY'!$W$6:$W$505,'05_BAO_CAO_NGAY'!$K$6:$K$505,G53,'05_BAO_CAO_NGAY'!$N$6:$N$505,"PRODUCTION")/SUMIFS('05_BAO_CAO_NGAY'!$U$6:$U$505,'05_BAO_CAO_NGAY'!$K$6:$K$505,G53,'05_BAO_CAO_NGAY'!$N$6:$N$505,"PRODUCTION"),0))</x:f>
      </x:c>
      <x:c r="Y53" s="29" t="str">
        <x:f>IF(G53="","",SUMIF('05_BAO_CAO_NGAY'!$K$6:$K$505,G53,'05_BAO_CAO_NGAY'!$S$6:$S$505))</x:f>
      </x:c>
      <x:c r="Z53" s="21"/>
    </x:row>
    <x:row r="54">
      <x:c r="A54" s="21"/>
      <x:c r="B54" s="21"/>
      <x:c r="C54" s="21"/>
      <x:c r="D54" s="21"/>
      <x:c r="E54" s="21"/>
      <x:c r="F54" s="29" t="str">
        <x:f>IF(OR(B54="",C54=""),"",B54&amp;"|"&amp;C54&amp;"|"&amp;IF(D54="","00",D54)&amp;"|"&amp;IF(E54="","01",E54))</x:f>
      </x:c>
      <x:c r="G54" s="29" t="str">
        <x:f>IF(F54="","",F54&amp;"|"&amp;TEXT(A54,"000"))</x:f>
      </x:c>
      <x:c r="H54" s="21"/>
      <x:c r="I54" s="21"/>
      <x:c r="J54" s="25"/>
      <x:c r="K54" s="25"/>
      <x:c r="L54" s="25"/>
      <x:c r="M54" s="39" t="str">
        <x:f>IF(G54="","",K54+L54*J54)</x:f>
      </x:c>
      <x:c r="N54" s="35"/>
      <x:c r="O54" s="35"/>
      <x:c r="P54" s="21"/>
      <x:c r="Q54" s="21"/>
      <x:c r="R54" s="29" t="str">
        <x:f>IF(G54="","",MIN(J54,SUMIF('05_BAO_CAO_NGAY'!$K$6:$K$505,G54,'05_BAO_CAO_NGAY'!$V$6:$V$505)))</x:f>
      </x:c>
      <x:c r="S54" s="37" t="str">
        <x:f>IF(G54="","",IFERROR(R54/J54,0))</x:f>
      </x:c>
      <x:c r="T54" s="41" t="str">
        <x:f>IF(OR(G54="",COUNTIF('05_BAO_CAO_NGAY'!$K$6:$K$505,G54)=0),"",_xlfn.MINIFS('05_BAO_CAO_NGAY'!$B$6:$B$505,'05_BAO_CAO_NGAY'!$K$6:$K$505,G54))</x:f>
      </x:c>
      <x:c r="U54" s="41" t="str">
        <x:f>IF(OR(G54="",S54&lt;1),"",_xlfn.MAXIFS('05_BAO_CAO_NGAY'!$B$6:$B$505,'05_BAO_CAO_NGAY'!$K$6:$K$505,G54))</x:f>
      </x:c>
      <x:c r="V54" s="29" t="str">
        <x:f>IF(G54="","",IF(S54&gt;=1,IF(U54&lt;=O54,"Hoàn thành đúng hạn","Hoàn thành trễ"),IF(TODAY()&gt;O54,"Quá hạn",IF(R54&gt;0,"Đang thực hiện","Chưa bắt đầu"))))</x:f>
      </x:c>
      <x:c r="W54" s="37" t="str">
        <x:f>IF(G54="","",IFERROR(SUMIF('05_BAO_CAO_NGAY'!$K$6:$K$505,G54,'05_BAO_CAO_NGAY'!$AB$6:$AB$505)/SUMIF('05_BAO_CAO_NGAY'!$K$6:$K$505,G54,'05_BAO_CAO_NGAY'!$AC$6:$AC$505),0))</x:f>
      </x:c>
      <x:c r="X54" s="37" t="str">
        <x:f>IF(G54="","",IFERROR(SUMIFS('05_BAO_CAO_NGAY'!$W$6:$W$505,'05_BAO_CAO_NGAY'!$K$6:$K$505,G54,'05_BAO_CAO_NGAY'!$N$6:$N$505,"PRODUCTION")/SUMIFS('05_BAO_CAO_NGAY'!$U$6:$U$505,'05_BAO_CAO_NGAY'!$K$6:$K$505,G54,'05_BAO_CAO_NGAY'!$N$6:$N$505,"PRODUCTION"),0))</x:f>
      </x:c>
      <x:c r="Y54" s="29" t="str">
        <x:f>IF(G54="","",SUMIF('05_BAO_CAO_NGAY'!$K$6:$K$505,G54,'05_BAO_CAO_NGAY'!$S$6:$S$505))</x:f>
      </x:c>
      <x:c r="Z54" s="21"/>
    </x:row>
    <x:row r="55">
      <x:c r="A55" s="21"/>
      <x:c r="B55" s="21"/>
      <x:c r="C55" s="21"/>
      <x:c r="D55" s="21"/>
      <x:c r="E55" s="21"/>
      <x:c r="F55" s="29" t="str">
        <x:f>IF(OR(B55="",C55=""),"",B55&amp;"|"&amp;C55&amp;"|"&amp;IF(D55="","00",D55)&amp;"|"&amp;IF(E55="","01",E55))</x:f>
      </x:c>
      <x:c r="G55" s="29" t="str">
        <x:f>IF(F55="","",F55&amp;"|"&amp;TEXT(A55,"000"))</x:f>
      </x:c>
      <x:c r="H55" s="21"/>
      <x:c r="I55" s="21"/>
      <x:c r="J55" s="25"/>
      <x:c r="K55" s="25"/>
      <x:c r="L55" s="25"/>
      <x:c r="M55" s="39" t="str">
        <x:f>IF(G55="","",K55+L55*J55)</x:f>
      </x:c>
      <x:c r="N55" s="35"/>
      <x:c r="O55" s="35"/>
      <x:c r="P55" s="21"/>
      <x:c r="Q55" s="21"/>
      <x:c r="R55" s="29" t="str">
        <x:f>IF(G55="","",MIN(J55,SUMIF('05_BAO_CAO_NGAY'!$K$6:$K$505,G55,'05_BAO_CAO_NGAY'!$V$6:$V$505)))</x:f>
      </x:c>
      <x:c r="S55" s="37" t="str">
        <x:f>IF(G55="","",IFERROR(R55/J55,0))</x:f>
      </x:c>
      <x:c r="T55" s="41" t="str">
        <x:f>IF(OR(G55="",COUNTIF('05_BAO_CAO_NGAY'!$K$6:$K$505,G55)=0),"",_xlfn.MINIFS('05_BAO_CAO_NGAY'!$B$6:$B$505,'05_BAO_CAO_NGAY'!$K$6:$K$505,G55))</x:f>
      </x:c>
      <x:c r="U55" s="41" t="str">
        <x:f>IF(OR(G55="",S55&lt;1),"",_xlfn.MAXIFS('05_BAO_CAO_NGAY'!$B$6:$B$505,'05_BAO_CAO_NGAY'!$K$6:$K$505,G55))</x:f>
      </x:c>
      <x:c r="V55" s="29" t="str">
        <x:f>IF(G55="","",IF(S55&gt;=1,IF(U55&lt;=O55,"Hoàn thành đúng hạn","Hoàn thành trễ"),IF(TODAY()&gt;O55,"Quá hạn",IF(R55&gt;0,"Đang thực hiện","Chưa bắt đầu"))))</x:f>
      </x:c>
      <x:c r="W55" s="37" t="str">
        <x:f>IF(G55="","",IFERROR(SUMIF('05_BAO_CAO_NGAY'!$K$6:$K$505,G55,'05_BAO_CAO_NGAY'!$AB$6:$AB$505)/SUMIF('05_BAO_CAO_NGAY'!$K$6:$K$505,G55,'05_BAO_CAO_NGAY'!$AC$6:$AC$505),0))</x:f>
      </x:c>
      <x:c r="X55" s="37" t="str">
        <x:f>IF(G55="","",IFERROR(SUMIFS('05_BAO_CAO_NGAY'!$W$6:$W$505,'05_BAO_CAO_NGAY'!$K$6:$K$505,G55,'05_BAO_CAO_NGAY'!$N$6:$N$505,"PRODUCTION")/SUMIFS('05_BAO_CAO_NGAY'!$U$6:$U$505,'05_BAO_CAO_NGAY'!$K$6:$K$505,G55,'05_BAO_CAO_NGAY'!$N$6:$N$505,"PRODUCTION"),0))</x:f>
      </x:c>
      <x:c r="Y55" s="29" t="str">
        <x:f>IF(G55="","",SUMIF('05_BAO_CAO_NGAY'!$K$6:$K$505,G55,'05_BAO_CAO_NGAY'!$S$6:$S$505))</x:f>
      </x:c>
      <x:c r="Z55" s="21"/>
    </x:row>
    <x:row r="56">
      <x:c r="A56" s="21"/>
      <x:c r="B56" s="21"/>
      <x:c r="C56" s="21"/>
      <x:c r="D56" s="21"/>
      <x:c r="E56" s="21"/>
      <x:c r="F56" s="29" t="str">
        <x:f>IF(OR(B56="",C56=""),"",B56&amp;"|"&amp;C56&amp;"|"&amp;IF(D56="","00",D56)&amp;"|"&amp;IF(E56="","01",E56))</x:f>
      </x:c>
      <x:c r="G56" s="29" t="str">
        <x:f>IF(F56="","",F56&amp;"|"&amp;TEXT(A56,"000"))</x:f>
      </x:c>
      <x:c r="H56" s="21"/>
      <x:c r="I56" s="21"/>
      <x:c r="J56" s="25"/>
      <x:c r="K56" s="25"/>
      <x:c r="L56" s="25"/>
      <x:c r="M56" s="39" t="str">
        <x:f>IF(G56="","",K56+L56*J56)</x:f>
      </x:c>
      <x:c r="N56" s="35"/>
      <x:c r="O56" s="35"/>
      <x:c r="P56" s="21"/>
      <x:c r="Q56" s="21"/>
      <x:c r="R56" s="29" t="str">
        <x:f>IF(G56="","",MIN(J56,SUMIF('05_BAO_CAO_NGAY'!$K$6:$K$505,G56,'05_BAO_CAO_NGAY'!$V$6:$V$505)))</x:f>
      </x:c>
      <x:c r="S56" s="37" t="str">
        <x:f>IF(G56="","",IFERROR(R56/J56,0))</x:f>
      </x:c>
      <x:c r="T56" s="41" t="str">
        <x:f>IF(OR(G56="",COUNTIF('05_BAO_CAO_NGAY'!$K$6:$K$505,G56)=0),"",_xlfn.MINIFS('05_BAO_CAO_NGAY'!$B$6:$B$505,'05_BAO_CAO_NGAY'!$K$6:$K$505,G56))</x:f>
      </x:c>
      <x:c r="U56" s="41" t="str">
        <x:f>IF(OR(G56="",S56&lt;1),"",_xlfn.MAXIFS('05_BAO_CAO_NGAY'!$B$6:$B$505,'05_BAO_CAO_NGAY'!$K$6:$K$505,G56))</x:f>
      </x:c>
      <x:c r="V56" s="29" t="str">
        <x:f>IF(G56="","",IF(S56&gt;=1,IF(U56&lt;=O56,"Hoàn thành đúng hạn","Hoàn thành trễ"),IF(TODAY()&gt;O56,"Quá hạn",IF(R56&gt;0,"Đang thực hiện","Chưa bắt đầu"))))</x:f>
      </x:c>
      <x:c r="W56" s="37" t="str">
        <x:f>IF(G56="","",IFERROR(SUMIF('05_BAO_CAO_NGAY'!$K$6:$K$505,G56,'05_BAO_CAO_NGAY'!$AB$6:$AB$505)/SUMIF('05_BAO_CAO_NGAY'!$K$6:$K$505,G56,'05_BAO_CAO_NGAY'!$AC$6:$AC$505),0))</x:f>
      </x:c>
      <x:c r="X56" s="37" t="str">
        <x:f>IF(G56="","",IFERROR(SUMIFS('05_BAO_CAO_NGAY'!$W$6:$W$505,'05_BAO_CAO_NGAY'!$K$6:$K$505,G56,'05_BAO_CAO_NGAY'!$N$6:$N$505,"PRODUCTION")/SUMIFS('05_BAO_CAO_NGAY'!$U$6:$U$505,'05_BAO_CAO_NGAY'!$K$6:$K$505,G56,'05_BAO_CAO_NGAY'!$N$6:$N$505,"PRODUCTION"),0))</x:f>
      </x:c>
      <x:c r="Y56" s="29" t="str">
        <x:f>IF(G56="","",SUMIF('05_BAO_CAO_NGAY'!$K$6:$K$505,G56,'05_BAO_CAO_NGAY'!$S$6:$S$505))</x:f>
      </x:c>
      <x:c r="Z56" s="21"/>
    </x:row>
    <x:row r="57">
      <x:c r="A57" s="21"/>
      <x:c r="B57" s="21"/>
      <x:c r="C57" s="21"/>
      <x:c r="D57" s="21"/>
      <x:c r="E57" s="21"/>
      <x:c r="F57" s="29" t="str">
        <x:f>IF(OR(B57="",C57=""),"",B57&amp;"|"&amp;C57&amp;"|"&amp;IF(D57="","00",D57)&amp;"|"&amp;IF(E57="","01",E57))</x:f>
      </x:c>
      <x:c r="G57" s="29" t="str">
        <x:f>IF(F57="","",F57&amp;"|"&amp;TEXT(A57,"000"))</x:f>
      </x:c>
      <x:c r="H57" s="21"/>
      <x:c r="I57" s="21"/>
      <x:c r="J57" s="25"/>
      <x:c r="K57" s="25"/>
      <x:c r="L57" s="25"/>
      <x:c r="M57" s="39" t="str">
        <x:f>IF(G57="","",K57+L57*J57)</x:f>
      </x:c>
      <x:c r="N57" s="35"/>
      <x:c r="O57" s="35"/>
      <x:c r="P57" s="21"/>
      <x:c r="Q57" s="21"/>
      <x:c r="R57" s="29" t="str">
        <x:f>IF(G57="","",MIN(J57,SUMIF('05_BAO_CAO_NGAY'!$K$6:$K$505,G57,'05_BAO_CAO_NGAY'!$V$6:$V$505)))</x:f>
      </x:c>
      <x:c r="S57" s="37" t="str">
        <x:f>IF(G57="","",IFERROR(R57/J57,0))</x:f>
      </x:c>
      <x:c r="T57" s="41" t="str">
        <x:f>IF(OR(G57="",COUNTIF('05_BAO_CAO_NGAY'!$K$6:$K$505,G57)=0),"",_xlfn.MINIFS('05_BAO_CAO_NGAY'!$B$6:$B$505,'05_BAO_CAO_NGAY'!$K$6:$K$505,G57))</x:f>
      </x:c>
      <x:c r="U57" s="41" t="str">
        <x:f>IF(OR(G57="",S57&lt;1),"",_xlfn.MAXIFS('05_BAO_CAO_NGAY'!$B$6:$B$505,'05_BAO_CAO_NGAY'!$K$6:$K$505,G57))</x:f>
      </x:c>
      <x:c r="V57" s="29" t="str">
        <x:f>IF(G57="","",IF(S57&gt;=1,IF(U57&lt;=O57,"Hoàn thành đúng hạn","Hoàn thành trễ"),IF(TODAY()&gt;O57,"Quá hạn",IF(R57&gt;0,"Đang thực hiện","Chưa bắt đầu"))))</x:f>
      </x:c>
      <x:c r="W57" s="37" t="str">
        <x:f>IF(G57="","",IFERROR(SUMIF('05_BAO_CAO_NGAY'!$K$6:$K$505,G57,'05_BAO_CAO_NGAY'!$AB$6:$AB$505)/SUMIF('05_BAO_CAO_NGAY'!$K$6:$K$505,G57,'05_BAO_CAO_NGAY'!$AC$6:$AC$505),0))</x:f>
      </x:c>
      <x:c r="X57" s="37" t="str">
        <x:f>IF(G57="","",IFERROR(SUMIFS('05_BAO_CAO_NGAY'!$W$6:$W$505,'05_BAO_CAO_NGAY'!$K$6:$K$505,G57,'05_BAO_CAO_NGAY'!$N$6:$N$505,"PRODUCTION")/SUMIFS('05_BAO_CAO_NGAY'!$U$6:$U$505,'05_BAO_CAO_NGAY'!$K$6:$K$505,G57,'05_BAO_CAO_NGAY'!$N$6:$N$505,"PRODUCTION"),0))</x:f>
      </x:c>
      <x:c r="Y57" s="29" t="str">
        <x:f>IF(G57="","",SUMIF('05_BAO_CAO_NGAY'!$K$6:$K$505,G57,'05_BAO_CAO_NGAY'!$S$6:$S$505))</x:f>
      </x:c>
      <x:c r="Z57" s="21"/>
    </x:row>
    <x:row r="58">
      <x:c r="A58" s="21"/>
      <x:c r="B58" s="21"/>
      <x:c r="C58" s="21"/>
      <x:c r="D58" s="21"/>
      <x:c r="E58" s="21"/>
      <x:c r="F58" s="29" t="str">
        <x:f>IF(OR(B58="",C58=""),"",B58&amp;"|"&amp;C58&amp;"|"&amp;IF(D58="","00",D58)&amp;"|"&amp;IF(E58="","01",E58))</x:f>
      </x:c>
      <x:c r="G58" s="29" t="str">
        <x:f>IF(F58="","",F58&amp;"|"&amp;TEXT(A58,"000"))</x:f>
      </x:c>
      <x:c r="H58" s="21"/>
      <x:c r="I58" s="21"/>
      <x:c r="J58" s="25"/>
      <x:c r="K58" s="25"/>
      <x:c r="L58" s="25"/>
      <x:c r="M58" s="39" t="str">
        <x:f>IF(G58="","",K58+L58*J58)</x:f>
      </x:c>
      <x:c r="N58" s="35"/>
      <x:c r="O58" s="35"/>
      <x:c r="P58" s="21"/>
      <x:c r="Q58" s="21"/>
      <x:c r="R58" s="29" t="str">
        <x:f>IF(G58="","",MIN(J58,SUMIF('05_BAO_CAO_NGAY'!$K$6:$K$505,G58,'05_BAO_CAO_NGAY'!$V$6:$V$505)))</x:f>
      </x:c>
      <x:c r="S58" s="37" t="str">
        <x:f>IF(G58="","",IFERROR(R58/J58,0))</x:f>
      </x:c>
      <x:c r="T58" s="41" t="str">
        <x:f>IF(OR(G58="",COUNTIF('05_BAO_CAO_NGAY'!$K$6:$K$505,G58)=0),"",_xlfn.MINIFS('05_BAO_CAO_NGAY'!$B$6:$B$505,'05_BAO_CAO_NGAY'!$K$6:$K$505,G58))</x:f>
      </x:c>
      <x:c r="U58" s="41" t="str">
        <x:f>IF(OR(G58="",S58&lt;1),"",_xlfn.MAXIFS('05_BAO_CAO_NGAY'!$B$6:$B$505,'05_BAO_CAO_NGAY'!$K$6:$K$505,G58))</x:f>
      </x:c>
      <x:c r="V58" s="29" t="str">
        <x:f>IF(G58="","",IF(S58&gt;=1,IF(U58&lt;=O58,"Hoàn thành đúng hạn","Hoàn thành trễ"),IF(TODAY()&gt;O58,"Quá hạn",IF(R58&gt;0,"Đang thực hiện","Chưa bắt đầu"))))</x:f>
      </x:c>
      <x:c r="W58" s="37" t="str">
        <x:f>IF(G58="","",IFERROR(SUMIF('05_BAO_CAO_NGAY'!$K$6:$K$505,G58,'05_BAO_CAO_NGAY'!$AB$6:$AB$505)/SUMIF('05_BAO_CAO_NGAY'!$K$6:$K$505,G58,'05_BAO_CAO_NGAY'!$AC$6:$AC$505),0))</x:f>
      </x:c>
      <x:c r="X58" s="37" t="str">
        <x:f>IF(G58="","",IFERROR(SUMIFS('05_BAO_CAO_NGAY'!$W$6:$W$505,'05_BAO_CAO_NGAY'!$K$6:$K$505,G58,'05_BAO_CAO_NGAY'!$N$6:$N$505,"PRODUCTION")/SUMIFS('05_BAO_CAO_NGAY'!$U$6:$U$505,'05_BAO_CAO_NGAY'!$K$6:$K$505,G58,'05_BAO_CAO_NGAY'!$N$6:$N$505,"PRODUCTION"),0))</x:f>
      </x:c>
      <x:c r="Y58" s="29" t="str">
        <x:f>IF(G58="","",SUMIF('05_BAO_CAO_NGAY'!$K$6:$K$505,G58,'05_BAO_CAO_NGAY'!$S$6:$S$505))</x:f>
      </x:c>
      <x:c r="Z58" s="21"/>
    </x:row>
    <x:row r="59">
      <x:c r="A59" s="21"/>
      <x:c r="B59" s="21"/>
      <x:c r="C59" s="21"/>
      <x:c r="D59" s="21"/>
      <x:c r="E59" s="21"/>
      <x:c r="F59" s="29" t="str">
        <x:f>IF(OR(B59="",C59=""),"",B59&amp;"|"&amp;C59&amp;"|"&amp;IF(D59="","00",D59)&amp;"|"&amp;IF(E59="","01",E59))</x:f>
      </x:c>
      <x:c r="G59" s="29" t="str">
        <x:f>IF(F59="","",F59&amp;"|"&amp;TEXT(A59,"000"))</x:f>
      </x:c>
      <x:c r="H59" s="21"/>
      <x:c r="I59" s="21"/>
      <x:c r="J59" s="25"/>
      <x:c r="K59" s="25"/>
      <x:c r="L59" s="25"/>
      <x:c r="M59" s="39" t="str">
        <x:f>IF(G59="","",K59+L59*J59)</x:f>
      </x:c>
      <x:c r="N59" s="35"/>
      <x:c r="O59" s="35"/>
      <x:c r="P59" s="21"/>
      <x:c r="Q59" s="21"/>
      <x:c r="R59" s="29" t="str">
        <x:f>IF(G59="","",MIN(J59,SUMIF('05_BAO_CAO_NGAY'!$K$6:$K$505,G59,'05_BAO_CAO_NGAY'!$V$6:$V$505)))</x:f>
      </x:c>
      <x:c r="S59" s="37" t="str">
        <x:f>IF(G59="","",IFERROR(R59/J59,0))</x:f>
      </x:c>
      <x:c r="T59" s="41" t="str">
        <x:f>IF(OR(G59="",COUNTIF('05_BAO_CAO_NGAY'!$K$6:$K$505,G59)=0),"",_xlfn.MINIFS('05_BAO_CAO_NGAY'!$B$6:$B$505,'05_BAO_CAO_NGAY'!$K$6:$K$505,G59))</x:f>
      </x:c>
      <x:c r="U59" s="41" t="str">
        <x:f>IF(OR(G59="",S59&lt;1),"",_xlfn.MAXIFS('05_BAO_CAO_NGAY'!$B$6:$B$505,'05_BAO_CAO_NGAY'!$K$6:$K$505,G59))</x:f>
      </x:c>
      <x:c r="V59" s="29" t="str">
        <x:f>IF(G59="","",IF(S59&gt;=1,IF(U59&lt;=O59,"Hoàn thành đúng hạn","Hoàn thành trễ"),IF(TODAY()&gt;O59,"Quá hạn",IF(R59&gt;0,"Đang thực hiện","Chưa bắt đầu"))))</x:f>
      </x:c>
      <x:c r="W59" s="37" t="str">
        <x:f>IF(G59="","",IFERROR(SUMIF('05_BAO_CAO_NGAY'!$K$6:$K$505,G59,'05_BAO_CAO_NGAY'!$AB$6:$AB$505)/SUMIF('05_BAO_CAO_NGAY'!$K$6:$K$505,G59,'05_BAO_CAO_NGAY'!$AC$6:$AC$505),0))</x:f>
      </x:c>
      <x:c r="X59" s="37" t="str">
        <x:f>IF(G59="","",IFERROR(SUMIFS('05_BAO_CAO_NGAY'!$W$6:$W$505,'05_BAO_CAO_NGAY'!$K$6:$K$505,G59,'05_BAO_CAO_NGAY'!$N$6:$N$505,"PRODUCTION")/SUMIFS('05_BAO_CAO_NGAY'!$U$6:$U$505,'05_BAO_CAO_NGAY'!$K$6:$K$505,G59,'05_BAO_CAO_NGAY'!$N$6:$N$505,"PRODUCTION"),0))</x:f>
      </x:c>
      <x:c r="Y59" s="29" t="str">
        <x:f>IF(G59="","",SUMIF('05_BAO_CAO_NGAY'!$K$6:$K$505,G59,'05_BAO_CAO_NGAY'!$S$6:$S$505))</x:f>
      </x:c>
      <x:c r="Z59" s="21"/>
    </x:row>
    <x:row r="60">
      <x:c r="A60" s="21"/>
      <x:c r="B60" s="21"/>
      <x:c r="C60" s="21"/>
      <x:c r="D60" s="21"/>
      <x:c r="E60" s="21"/>
      <x:c r="F60" s="29" t="str">
        <x:f>IF(OR(B60="",C60=""),"",B60&amp;"|"&amp;C60&amp;"|"&amp;IF(D60="","00",D60)&amp;"|"&amp;IF(E60="","01",E60))</x:f>
      </x:c>
      <x:c r="G60" s="29" t="str">
        <x:f>IF(F60="","",F60&amp;"|"&amp;TEXT(A60,"000"))</x:f>
      </x:c>
      <x:c r="H60" s="21"/>
      <x:c r="I60" s="21"/>
      <x:c r="J60" s="25"/>
      <x:c r="K60" s="25"/>
      <x:c r="L60" s="25"/>
      <x:c r="M60" s="39" t="str">
        <x:f>IF(G60="","",K60+L60*J60)</x:f>
      </x:c>
      <x:c r="N60" s="35"/>
      <x:c r="O60" s="35"/>
      <x:c r="P60" s="21"/>
      <x:c r="Q60" s="21"/>
      <x:c r="R60" s="29" t="str">
        <x:f>IF(G60="","",MIN(J60,SUMIF('05_BAO_CAO_NGAY'!$K$6:$K$505,G60,'05_BAO_CAO_NGAY'!$V$6:$V$505)))</x:f>
      </x:c>
      <x:c r="S60" s="37" t="str">
        <x:f>IF(G60="","",IFERROR(R60/J60,0))</x:f>
      </x:c>
      <x:c r="T60" s="41" t="str">
        <x:f>IF(OR(G60="",COUNTIF('05_BAO_CAO_NGAY'!$K$6:$K$505,G60)=0),"",_xlfn.MINIFS('05_BAO_CAO_NGAY'!$B$6:$B$505,'05_BAO_CAO_NGAY'!$K$6:$K$505,G60))</x:f>
      </x:c>
      <x:c r="U60" s="41" t="str">
        <x:f>IF(OR(G60="",S60&lt;1),"",_xlfn.MAXIFS('05_BAO_CAO_NGAY'!$B$6:$B$505,'05_BAO_CAO_NGAY'!$K$6:$K$505,G60))</x:f>
      </x:c>
      <x:c r="V60" s="29" t="str">
        <x:f>IF(G60="","",IF(S60&gt;=1,IF(U60&lt;=O60,"Hoàn thành đúng hạn","Hoàn thành trễ"),IF(TODAY()&gt;O60,"Quá hạn",IF(R60&gt;0,"Đang thực hiện","Chưa bắt đầu"))))</x:f>
      </x:c>
      <x:c r="W60" s="37" t="str">
        <x:f>IF(G60="","",IFERROR(SUMIF('05_BAO_CAO_NGAY'!$K$6:$K$505,G60,'05_BAO_CAO_NGAY'!$AB$6:$AB$505)/SUMIF('05_BAO_CAO_NGAY'!$K$6:$K$505,G60,'05_BAO_CAO_NGAY'!$AC$6:$AC$505),0))</x:f>
      </x:c>
      <x:c r="X60" s="37" t="str">
        <x:f>IF(G60="","",IFERROR(SUMIFS('05_BAO_CAO_NGAY'!$W$6:$W$505,'05_BAO_CAO_NGAY'!$K$6:$K$505,G60,'05_BAO_CAO_NGAY'!$N$6:$N$505,"PRODUCTION")/SUMIFS('05_BAO_CAO_NGAY'!$U$6:$U$505,'05_BAO_CAO_NGAY'!$K$6:$K$505,G60,'05_BAO_CAO_NGAY'!$N$6:$N$505,"PRODUCTION"),0))</x:f>
      </x:c>
      <x:c r="Y60" s="29" t="str">
        <x:f>IF(G60="","",SUMIF('05_BAO_CAO_NGAY'!$K$6:$K$505,G60,'05_BAO_CAO_NGAY'!$S$6:$S$505))</x:f>
      </x:c>
      <x:c r="Z60" s="21"/>
    </x:row>
    <x:row r="61">
      <x:c r="A61" s="21"/>
      <x:c r="B61" s="21"/>
      <x:c r="C61" s="21"/>
      <x:c r="D61" s="21"/>
      <x:c r="E61" s="21"/>
      <x:c r="F61" s="29" t="str">
        <x:f>IF(OR(B61="",C61=""),"",B61&amp;"|"&amp;C61&amp;"|"&amp;IF(D61="","00",D61)&amp;"|"&amp;IF(E61="","01",E61))</x:f>
      </x:c>
      <x:c r="G61" s="29" t="str">
        <x:f>IF(F61="","",F61&amp;"|"&amp;TEXT(A61,"000"))</x:f>
      </x:c>
      <x:c r="H61" s="21"/>
      <x:c r="I61" s="21"/>
      <x:c r="J61" s="25"/>
      <x:c r="K61" s="25"/>
      <x:c r="L61" s="25"/>
      <x:c r="M61" s="39" t="str">
        <x:f>IF(G61="","",K61+L61*J61)</x:f>
      </x:c>
      <x:c r="N61" s="35"/>
      <x:c r="O61" s="35"/>
      <x:c r="P61" s="21"/>
      <x:c r="Q61" s="21"/>
      <x:c r="R61" s="29" t="str">
        <x:f>IF(G61="","",MIN(J61,SUMIF('05_BAO_CAO_NGAY'!$K$6:$K$505,G61,'05_BAO_CAO_NGAY'!$V$6:$V$505)))</x:f>
      </x:c>
      <x:c r="S61" s="37" t="str">
        <x:f>IF(G61="","",IFERROR(R61/J61,0))</x:f>
      </x:c>
      <x:c r="T61" s="41" t="str">
        <x:f>IF(OR(G61="",COUNTIF('05_BAO_CAO_NGAY'!$K$6:$K$505,G61)=0),"",_xlfn.MINIFS('05_BAO_CAO_NGAY'!$B$6:$B$505,'05_BAO_CAO_NGAY'!$K$6:$K$505,G61))</x:f>
      </x:c>
      <x:c r="U61" s="41" t="str">
        <x:f>IF(OR(G61="",S61&lt;1),"",_xlfn.MAXIFS('05_BAO_CAO_NGAY'!$B$6:$B$505,'05_BAO_CAO_NGAY'!$K$6:$K$505,G61))</x:f>
      </x:c>
      <x:c r="V61" s="29" t="str">
        <x:f>IF(G61="","",IF(S61&gt;=1,IF(U61&lt;=O61,"Hoàn thành đúng hạn","Hoàn thành trễ"),IF(TODAY()&gt;O61,"Quá hạn",IF(R61&gt;0,"Đang thực hiện","Chưa bắt đầu"))))</x:f>
      </x:c>
      <x:c r="W61" s="37" t="str">
        <x:f>IF(G61="","",IFERROR(SUMIF('05_BAO_CAO_NGAY'!$K$6:$K$505,G61,'05_BAO_CAO_NGAY'!$AB$6:$AB$505)/SUMIF('05_BAO_CAO_NGAY'!$K$6:$K$505,G61,'05_BAO_CAO_NGAY'!$AC$6:$AC$505),0))</x:f>
      </x:c>
      <x:c r="X61" s="37" t="str">
        <x:f>IF(G61="","",IFERROR(SUMIFS('05_BAO_CAO_NGAY'!$W$6:$W$505,'05_BAO_CAO_NGAY'!$K$6:$K$505,G61,'05_BAO_CAO_NGAY'!$N$6:$N$505,"PRODUCTION")/SUMIFS('05_BAO_CAO_NGAY'!$U$6:$U$505,'05_BAO_CAO_NGAY'!$K$6:$K$505,G61,'05_BAO_CAO_NGAY'!$N$6:$N$505,"PRODUCTION"),0))</x:f>
      </x:c>
      <x:c r="Y61" s="29" t="str">
        <x:f>IF(G61="","",SUMIF('05_BAO_CAO_NGAY'!$K$6:$K$505,G61,'05_BAO_CAO_NGAY'!$S$6:$S$505))</x:f>
      </x:c>
      <x:c r="Z61" s="21"/>
    </x:row>
    <x:row r="62">
      <x:c r="A62" s="21"/>
      <x:c r="B62" s="21"/>
      <x:c r="C62" s="21"/>
      <x:c r="D62" s="21"/>
      <x:c r="E62" s="21"/>
      <x:c r="F62" s="29" t="str">
        <x:f>IF(OR(B62="",C62=""),"",B62&amp;"|"&amp;C62&amp;"|"&amp;IF(D62="","00",D62)&amp;"|"&amp;IF(E62="","01",E62))</x:f>
      </x:c>
      <x:c r="G62" s="29" t="str">
        <x:f>IF(F62="","",F62&amp;"|"&amp;TEXT(A62,"000"))</x:f>
      </x:c>
      <x:c r="H62" s="21"/>
      <x:c r="I62" s="21"/>
      <x:c r="J62" s="25"/>
      <x:c r="K62" s="25"/>
      <x:c r="L62" s="25"/>
      <x:c r="M62" s="39" t="str">
        <x:f>IF(G62="","",K62+L62*J62)</x:f>
      </x:c>
      <x:c r="N62" s="35"/>
      <x:c r="O62" s="35"/>
      <x:c r="P62" s="21"/>
      <x:c r="Q62" s="21"/>
      <x:c r="R62" s="29" t="str">
        <x:f>IF(G62="","",MIN(J62,SUMIF('05_BAO_CAO_NGAY'!$K$6:$K$505,G62,'05_BAO_CAO_NGAY'!$V$6:$V$505)))</x:f>
      </x:c>
      <x:c r="S62" s="37" t="str">
        <x:f>IF(G62="","",IFERROR(R62/J62,0))</x:f>
      </x:c>
      <x:c r="T62" s="41" t="str">
        <x:f>IF(OR(G62="",COUNTIF('05_BAO_CAO_NGAY'!$K$6:$K$505,G62)=0),"",_xlfn.MINIFS('05_BAO_CAO_NGAY'!$B$6:$B$505,'05_BAO_CAO_NGAY'!$K$6:$K$505,G62))</x:f>
      </x:c>
      <x:c r="U62" s="41" t="str">
        <x:f>IF(OR(G62="",S62&lt;1),"",_xlfn.MAXIFS('05_BAO_CAO_NGAY'!$B$6:$B$505,'05_BAO_CAO_NGAY'!$K$6:$K$505,G62))</x:f>
      </x:c>
      <x:c r="V62" s="29" t="str">
        <x:f>IF(G62="","",IF(S62&gt;=1,IF(U62&lt;=O62,"Hoàn thành đúng hạn","Hoàn thành trễ"),IF(TODAY()&gt;O62,"Quá hạn",IF(R62&gt;0,"Đang thực hiện","Chưa bắt đầu"))))</x:f>
      </x:c>
      <x:c r="W62" s="37" t="str">
        <x:f>IF(G62="","",IFERROR(SUMIF('05_BAO_CAO_NGAY'!$K$6:$K$505,G62,'05_BAO_CAO_NGAY'!$AB$6:$AB$505)/SUMIF('05_BAO_CAO_NGAY'!$K$6:$K$505,G62,'05_BAO_CAO_NGAY'!$AC$6:$AC$505),0))</x:f>
      </x:c>
      <x:c r="X62" s="37" t="str">
        <x:f>IF(G62="","",IFERROR(SUMIFS('05_BAO_CAO_NGAY'!$W$6:$W$505,'05_BAO_CAO_NGAY'!$K$6:$K$505,G62,'05_BAO_CAO_NGAY'!$N$6:$N$505,"PRODUCTION")/SUMIFS('05_BAO_CAO_NGAY'!$U$6:$U$505,'05_BAO_CAO_NGAY'!$K$6:$K$505,G62,'05_BAO_CAO_NGAY'!$N$6:$N$505,"PRODUCTION"),0))</x:f>
      </x:c>
      <x:c r="Y62" s="29" t="str">
        <x:f>IF(G62="","",SUMIF('05_BAO_CAO_NGAY'!$K$6:$K$505,G62,'05_BAO_CAO_NGAY'!$S$6:$S$505))</x:f>
      </x:c>
      <x:c r="Z62" s="21"/>
    </x:row>
    <x:row r="63">
      <x:c r="A63" s="21"/>
      <x:c r="B63" s="21"/>
      <x:c r="C63" s="21"/>
      <x:c r="D63" s="21"/>
      <x:c r="E63" s="21"/>
      <x:c r="F63" s="29" t="str">
        <x:f>IF(OR(B63="",C63=""),"",B63&amp;"|"&amp;C63&amp;"|"&amp;IF(D63="","00",D63)&amp;"|"&amp;IF(E63="","01",E63))</x:f>
      </x:c>
      <x:c r="G63" s="29" t="str">
        <x:f>IF(F63="","",F63&amp;"|"&amp;TEXT(A63,"000"))</x:f>
      </x:c>
      <x:c r="H63" s="21"/>
      <x:c r="I63" s="21"/>
      <x:c r="J63" s="25"/>
      <x:c r="K63" s="25"/>
      <x:c r="L63" s="25"/>
      <x:c r="M63" s="39" t="str">
        <x:f>IF(G63="","",K63+L63*J63)</x:f>
      </x:c>
      <x:c r="N63" s="35"/>
      <x:c r="O63" s="35"/>
      <x:c r="P63" s="21"/>
      <x:c r="Q63" s="21"/>
      <x:c r="R63" s="29" t="str">
        <x:f>IF(G63="","",MIN(J63,SUMIF('05_BAO_CAO_NGAY'!$K$6:$K$505,G63,'05_BAO_CAO_NGAY'!$V$6:$V$505)))</x:f>
      </x:c>
      <x:c r="S63" s="37" t="str">
        <x:f>IF(G63="","",IFERROR(R63/J63,0))</x:f>
      </x:c>
      <x:c r="T63" s="41" t="str">
        <x:f>IF(OR(G63="",COUNTIF('05_BAO_CAO_NGAY'!$K$6:$K$505,G63)=0),"",_xlfn.MINIFS('05_BAO_CAO_NGAY'!$B$6:$B$505,'05_BAO_CAO_NGAY'!$K$6:$K$505,G63))</x:f>
      </x:c>
      <x:c r="U63" s="41" t="str">
        <x:f>IF(OR(G63="",S63&lt;1),"",_xlfn.MAXIFS('05_BAO_CAO_NGAY'!$B$6:$B$505,'05_BAO_CAO_NGAY'!$K$6:$K$505,G63))</x:f>
      </x:c>
      <x:c r="V63" s="29" t="str">
        <x:f>IF(G63="","",IF(S63&gt;=1,IF(U63&lt;=O63,"Hoàn thành đúng hạn","Hoàn thành trễ"),IF(TODAY()&gt;O63,"Quá hạn",IF(R63&gt;0,"Đang thực hiện","Chưa bắt đầu"))))</x:f>
      </x:c>
      <x:c r="W63" s="37" t="str">
        <x:f>IF(G63="","",IFERROR(SUMIF('05_BAO_CAO_NGAY'!$K$6:$K$505,G63,'05_BAO_CAO_NGAY'!$AB$6:$AB$505)/SUMIF('05_BAO_CAO_NGAY'!$K$6:$K$505,G63,'05_BAO_CAO_NGAY'!$AC$6:$AC$505),0))</x:f>
      </x:c>
      <x:c r="X63" s="37" t="str">
        <x:f>IF(G63="","",IFERROR(SUMIFS('05_BAO_CAO_NGAY'!$W$6:$W$505,'05_BAO_CAO_NGAY'!$K$6:$K$505,G63,'05_BAO_CAO_NGAY'!$N$6:$N$505,"PRODUCTION")/SUMIFS('05_BAO_CAO_NGAY'!$U$6:$U$505,'05_BAO_CAO_NGAY'!$K$6:$K$505,G63,'05_BAO_CAO_NGAY'!$N$6:$N$505,"PRODUCTION"),0))</x:f>
      </x:c>
      <x:c r="Y63" s="29" t="str">
        <x:f>IF(G63="","",SUMIF('05_BAO_CAO_NGAY'!$K$6:$K$505,G63,'05_BAO_CAO_NGAY'!$S$6:$S$505))</x:f>
      </x:c>
      <x:c r="Z63" s="21"/>
    </x:row>
    <x:row r="64">
      <x:c r="A64" s="21"/>
      <x:c r="B64" s="21"/>
      <x:c r="C64" s="21"/>
      <x:c r="D64" s="21"/>
      <x:c r="E64" s="21"/>
      <x:c r="F64" s="29" t="str">
        <x:f>IF(OR(B64="",C64=""),"",B64&amp;"|"&amp;C64&amp;"|"&amp;IF(D64="","00",D64)&amp;"|"&amp;IF(E64="","01",E64))</x:f>
      </x:c>
      <x:c r="G64" s="29" t="str">
        <x:f>IF(F64="","",F64&amp;"|"&amp;TEXT(A64,"000"))</x:f>
      </x:c>
      <x:c r="H64" s="21"/>
      <x:c r="I64" s="21"/>
      <x:c r="J64" s="25"/>
      <x:c r="K64" s="25"/>
      <x:c r="L64" s="25"/>
      <x:c r="M64" s="39" t="str">
        <x:f>IF(G64="","",K64+L64*J64)</x:f>
      </x:c>
      <x:c r="N64" s="35"/>
      <x:c r="O64" s="35"/>
      <x:c r="P64" s="21"/>
      <x:c r="Q64" s="21"/>
      <x:c r="R64" s="29" t="str">
        <x:f>IF(G64="","",MIN(J64,SUMIF('05_BAO_CAO_NGAY'!$K$6:$K$505,G64,'05_BAO_CAO_NGAY'!$V$6:$V$505)))</x:f>
      </x:c>
      <x:c r="S64" s="37" t="str">
        <x:f>IF(G64="","",IFERROR(R64/J64,0))</x:f>
      </x:c>
      <x:c r="T64" s="41" t="str">
        <x:f>IF(OR(G64="",COUNTIF('05_BAO_CAO_NGAY'!$K$6:$K$505,G64)=0),"",_xlfn.MINIFS('05_BAO_CAO_NGAY'!$B$6:$B$505,'05_BAO_CAO_NGAY'!$K$6:$K$505,G64))</x:f>
      </x:c>
      <x:c r="U64" s="41" t="str">
        <x:f>IF(OR(G64="",S64&lt;1),"",_xlfn.MAXIFS('05_BAO_CAO_NGAY'!$B$6:$B$505,'05_BAO_CAO_NGAY'!$K$6:$K$505,G64))</x:f>
      </x:c>
      <x:c r="V64" s="29" t="str">
        <x:f>IF(G64="","",IF(S64&gt;=1,IF(U64&lt;=O64,"Hoàn thành đúng hạn","Hoàn thành trễ"),IF(TODAY()&gt;O64,"Quá hạn",IF(R64&gt;0,"Đang thực hiện","Chưa bắt đầu"))))</x:f>
      </x:c>
      <x:c r="W64" s="37" t="str">
        <x:f>IF(G64="","",IFERROR(SUMIF('05_BAO_CAO_NGAY'!$K$6:$K$505,G64,'05_BAO_CAO_NGAY'!$AB$6:$AB$505)/SUMIF('05_BAO_CAO_NGAY'!$K$6:$K$505,G64,'05_BAO_CAO_NGAY'!$AC$6:$AC$505),0))</x:f>
      </x:c>
      <x:c r="X64" s="37" t="str">
        <x:f>IF(G64="","",IFERROR(SUMIFS('05_BAO_CAO_NGAY'!$W$6:$W$505,'05_BAO_CAO_NGAY'!$K$6:$K$505,G64,'05_BAO_CAO_NGAY'!$N$6:$N$505,"PRODUCTION")/SUMIFS('05_BAO_CAO_NGAY'!$U$6:$U$505,'05_BAO_CAO_NGAY'!$K$6:$K$505,G64,'05_BAO_CAO_NGAY'!$N$6:$N$505,"PRODUCTION"),0))</x:f>
      </x:c>
      <x:c r="Y64" s="29" t="str">
        <x:f>IF(G64="","",SUMIF('05_BAO_CAO_NGAY'!$K$6:$K$505,G64,'05_BAO_CAO_NGAY'!$S$6:$S$505))</x:f>
      </x:c>
      <x:c r="Z64" s="21"/>
    </x:row>
    <x:row r="65">
      <x:c r="A65" s="21"/>
      <x:c r="B65" s="21"/>
      <x:c r="C65" s="21"/>
      <x:c r="D65" s="21"/>
      <x:c r="E65" s="21"/>
      <x:c r="F65" s="29" t="str">
        <x:f>IF(OR(B65="",C65=""),"",B65&amp;"|"&amp;C65&amp;"|"&amp;IF(D65="","00",D65)&amp;"|"&amp;IF(E65="","01",E65))</x:f>
      </x:c>
      <x:c r="G65" s="29" t="str">
        <x:f>IF(F65="","",F65&amp;"|"&amp;TEXT(A65,"000"))</x:f>
      </x:c>
      <x:c r="H65" s="21"/>
      <x:c r="I65" s="21"/>
      <x:c r="J65" s="25"/>
      <x:c r="K65" s="25"/>
      <x:c r="L65" s="25"/>
      <x:c r="M65" s="39" t="str">
        <x:f>IF(G65="","",K65+L65*J65)</x:f>
      </x:c>
      <x:c r="N65" s="35"/>
      <x:c r="O65" s="35"/>
      <x:c r="P65" s="21"/>
      <x:c r="Q65" s="21"/>
      <x:c r="R65" s="29" t="str">
        <x:f>IF(G65="","",MIN(J65,SUMIF('05_BAO_CAO_NGAY'!$K$6:$K$505,G65,'05_BAO_CAO_NGAY'!$V$6:$V$505)))</x:f>
      </x:c>
      <x:c r="S65" s="37" t="str">
        <x:f>IF(G65="","",IFERROR(R65/J65,0))</x:f>
      </x:c>
      <x:c r="T65" s="41" t="str">
        <x:f>IF(OR(G65="",COUNTIF('05_BAO_CAO_NGAY'!$K$6:$K$505,G65)=0),"",_xlfn.MINIFS('05_BAO_CAO_NGAY'!$B$6:$B$505,'05_BAO_CAO_NGAY'!$K$6:$K$505,G65))</x:f>
      </x:c>
      <x:c r="U65" s="41" t="str">
        <x:f>IF(OR(G65="",S65&lt;1),"",_xlfn.MAXIFS('05_BAO_CAO_NGAY'!$B$6:$B$505,'05_BAO_CAO_NGAY'!$K$6:$K$505,G65))</x:f>
      </x:c>
      <x:c r="V65" s="29" t="str">
        <x:f>IF(G65="","",IF(S65&gt;=1,IF(U65&lt;=O65,"Hoàn thành đúng hạn","Hoàn thành trễ"),IF(TODAY()&gt;O65,"Quá hạn",IF(R65&gt;0,"Đang thực hiện","Chưa bắt đầu"))))</x:f>
      </x:c>
      <x:c r="W65" s="37" t="str">
        <x:f>IF(G65="","",IFERROR(SUMIF('05_BAO_CAO_NGAY'!$K$6:$K$505,G65,'05_BAO_CAO_NGAY'!$AB$6:$AB$505)/SUMIF('05_BAO_CAO_NGAY'!$K$6:$K$505,G65,'05_BAO_CAO_NGAY'!$AC$6:$AC$505),0))</x:f>
      </x:c>
      <x:c r="X65" s="37" t="str">
        <x:f>IF(G65="","",IFERROR(SUMIFS('05_BAO_CAO_NGAY'!$W$6:$W$505,'05_BAO_CAO_NGAY'!$K$6:$K$505,G65,'05_BAO_CAO_NGAY'!$N$6:$N$505,"PRODUCTION")/SUMIFS('05_BAO_CAO_NGAY'!$U$6:$U$505,'05_BAO_CAO_NGAY'!$K$6:$K$505,G65,'05_BAO_CAO_NGAY'!$N$6:$N$505,"PRODUCTION"),0))</x:f>
      </x:c>
      <x:c r="Y65" s="29" t="str">
        <x:f>IF(G65="","",SUMIF('05_BAO_CAO_NGAY'!$K$6:$K$505,G65,'05_BAO_CAO_NGAY'!$S$6:$S$505))</x:f>
      </x:c>
      <x:c r="Z65" s="21"/>
    </x:row>
    <x:row r="66">
      <x:c r="A66" s="21"/>
      <x:c r="B66" s="21"/>
      <x:c r="C66" s="21"/>
      <x:c r="D66" s="21"/>
      <x:c r="E66" s="21"/>
      <x:c r="F66" s="29" t="str">
        <x:f>IF(OR(B66="",C66=""),"",B66&amp;"|"&amp;C66&amp;"|"&amp;IF(D66="","00",D66)&amp;"|"&amp;IF(E66="","01",E66))</x:f>
      </x:c>
      <x:c r="G66" s="29" t="str">
        <x:f>IF(F66="","",F66&amp;"|"&amp;TEXT(A66,"000"))</x:f>
      </x:c>
      <x:c r="H66" s="21"/>
      <x:c r="I66" s="21"/>
      <x:c r="J66" s="25"/>
      <x:c r="K66" s="25"/>
      <x:c r="L66" s="25"/>
      <x:c r="M66" s="39" t="str">
        <x:f>IF(G66="","",K66+L66*J66)</x:f>
      </x:c>
      <x:c r="N66" s="35"/>
      <x:c r="O66" s="35"/>
      <x:c r="P66" s="21"/>
      <x:c r="Q66" s="21"/>
      <x:c r="R66" s="29" t="str">
        <x:f>IF(G66="","",MIN(J66,SUMIF('05_BAO_CAO_NGAY'!$K$6:$K$505,G66,'05_BAO_CAO_NGAY'!$V$6:$V$505)))</x:f>
      </x:c>
      <x:c r="S66" s="37" t="str">
        <x:f>IF(G66="","",IFERROR(R66/J66,0))</x:f>
      </x:c>
      <x:c r="T66" s="41" t="str">
        <x:f>IF(OR(G66="",COUNTIF('05_BAO_CAO_NGAY'!$K$6:$K$505,G66)=0),"",_xlfn.MINIFS('05_BAO_CAO_NGAY'!$B$6:$B$505,'05_BAO_CAO_NGAY'!$K$6:$K$505,G66))</x:f>
      </x:c>
      <x:c r="U66" s="41" t="str">
        <x:f>IF(OR(G66="",S66&lt;1),"",_xlfn.MAXIFS('05_BAO_CAO_NGAY'!$B$6:$B$505,'05_BAO_CAO_NGAY'!$K$6:$K$505,G66))</x:f>
      </x:c>
      <x:c r="V66" s="29" t="str">
        <x:f>IF(G66="","",IF(S66&gt;=1,IF(U66&lt;=O66,"Hoàn thành đúng hạn","Hoàn thành trễ"),IF(TODAY()&gt;O66,"Quá hạn",IF(R66&gt;0,"Đang thực hiện","Chưa bắt đầu"))))</x:f>
      </x:c>
      <x:c r="W66" s="37" t="str">
        <x:f>IF(G66="","",IFERROR(SUMIF('05_BAO_CAO_NGAY'!$K$6:$K$505,G66,'05_BAO_CAO_NGAY'!$AB$6:$AB$505)/SUMIF('05_BAO_CAO_NGAY'!$K$6:$K$505,G66,'05_BAO_CAO_NGAY'!$AC$6:$AC$505),0))</x:f>
      </x:c>
      <x:c r="X66" s="37" t="str">
        <x:f>IF(G66="","",IFERROR(SUMIFS('05_BAO_CAO_NGAY'!$W$6:$W$505,'05_BAO_CAO_NGAY'!$K$6:$K$505,G66,'05_BAO_CAO_NGAY'!$N$6:$N$505,"PRODUCTION")/SUMIFS('05_BAO_CAO_NGAY'!$U$6:$U$505,'05_BAO_CAO_NGAY'!$K$6:$K$505,G66,'05_BAO_CAO_NGAY'!$N$6:$N$505,"PRODUCTION"),0))</x:f>
      </x:c>
      <x:c r="Y66" s="29" t="str">
        <x:f>IF(G66="","",SUMIF('05_BAO_CAO_NGAY'!$K$6:$K$505,G66,'05_BAO_CAO_NGAY'!$S$6:$S$505))</x:f>
      </x:c>
      <x:c r="Z66" s="21"/>
    </x:row>
    <x:row r="67">
      <x:c r="A67" s="21"/>
      <x:c r="B67" s="21"/>
      <x:c r="C67" s="21"/>
      <x:c r="D67" s="21"/>
      <x:c r="E67" s="21"/>
      <x:c r="F67" s="29" t="str">
        <x:f>IF(OR(B67="",C67=""),"",B67&amp;"|"&amp;C67&amp;"|"&amp;IF(D67="","00",D67)&amp;"|"&amp;IF(E67="","01",E67))</x:f>
      </x:c>
      <x:c r="G67" s="29" t="str">
        <x:f>IF(F67="","",F67&amp;"|"&amp;TEXT(A67,"000"))</x:f>
      </x:c>
      <x:c r="H67" s="21"/>
      <x:c r="I67" s="21"/>
      <x:c r="J67" s="25"/>
      <x:c r="K67" s="25"/>
      <x:c r="L67" s="25"/>
      <x:c r="M67" s="39" t="str">
        <x:f>IF(G67="","",K67+L67*J67)</x:f>
      </x:c>
      <x:c r="N67" s="35"/>
      <x:c r="O67" s="35"/>
      <x:c r="P67" s="21"/>
      <x:c r="Q67" s="21"/>
      <x:c r="R67" s="29" t="str">
        <x:f>IF(G67="","",MIN(J67,SUMIF('05_BAO_CAO_NGAY'!$K$6:$K$505,G67,'05_BAO_CAO_NGAY'!$V$6:$V$505)))</x:f>
      </x:c>
      <x:c r="S67" s="37" t="str">
        <x:f>IF(G67="","",IFERROR(R67/J67,0))</x:f>
      </x:c>
      <x:c r="T67" s="41" t="str">
        <x:f>IF(OR(G67="",COUNTIF('05_BAO_CAO_NGAY'!$K$6:$K$505,G67)=0),"",_xlfn.MINIFS('05_BAO_CAO_NGAY'!$B$6:$B$505,'05_BAO_CAO_NGAY'!$K$6:$K$505,G67))</x:f>
      </x:c>
      <x:c r="U67" s="41" t="str">
        <x:f>IF(OR(G67="",S67&lt;1),"",_xlfn.MAXIFS('05_BAO_CAO_NGAY'!$B$6:$B$505,'05_BAO_CAO_NGAY'!$K$6:$K$505,G67))</x:f>
      </x:c>
      <x:c r="V67" s="29" t="str">
        <x:f>IF(G67="","",IF(S67&gt;=1,IF(U67&lt;=O67,"Hoàn thành đúng hạn","Hoàn thành trễ"),IF(TODAY()&gt;O67,"Quá hạn",IF(R67&gt;0,"Đang thực hiện","Chưa bắt đầu"))))</x:f>
      </x:c>
      <x:c r="W67" s="37" t="str">
        <x:f>IF(G67="","",IFERROR(SUMIF('05_BAO_CAO_NGAY'!$K$6:$K$505,G67,'05_BAO_CAO_NGAY'!$AB$6:$AB$505)/SUMIF('05_BAO_CAO_NGAY'!$K$6:$K$505,G67,'05_BAO_CAO_NGAY'!$AC$6:$AC$505),0))</x:f>
      </x:c>
      <x:c r="X67" s="37" t="str">
        <x:f>IF(G67="","",IFERROR(SUMIFS('05_BAO_CAO_NGAY'!$W$6:$W$505,'05_BAO_CAO_NGAY'!$K$6:$K$505,G67,'05_BAO_CAO_NGAY'!$N$6:$N$505,"PRODUCTION")/SUMIFS('05_BAO_CAO_NGAY'!$U$6:$U$505,'05_BAO_CAO_NGAY'!$K$6:$K$505,G67,'05_BAO_CAO_NGAY'!$N$6:$N$505,"PRODUCTION"),0))</x:f>
      </x:c>
      <x:c r="Y67" s="29" t="str">
        <x:f>IF(G67="","",SUMIF('05_BAO_CAO_NGAY'!$K$6:$K$505,G67,'05_BAO_CAO_NGAY'!$S$6:$S$505))</x:f>
      </x:c>
      <x:c r="Z67" s="21"/>
    </x:row>
    <x:row r="68">
      <x:c r="A68" s="21"/>
      <x:c r="B68" s="21"/>
      <x:c r="C68" s="21"/>
      <x:c r="D68" s="21"/>
      <x:c r="E68" s="21"/>
      <x:c r="F68" s="29" t="str">
        <x:f>IF(OR(B68="",C68=""),"",B68&amp;"|"&amp;C68&amp;"|"&amp;IF(D68="","00",D68)&amp;"|"&amp;IF(E68="","01",E68))</x:f>
      </x:c>
      <x:c r="G68" s="29" t="str">
        <x:f>IF(F68="","",F68&amp;"|"&amp;TEXT(A68,"000"))</x:f>
      </x:c>
      <x:c r="H68" s="21"/>
      <x:c r="I68" s="21"/>
      <x:c r="J68" s="25"/>
      <x:c r="K68" s="25"/>
      <x:c r="L68" s="25"/>
      <x:c r="M68" s="39" t="str">
        <x:f>IF(G68="","",K68+L68*J68)</x:f>
      </x:c>
      <x:c r="N68" s="35"/>
      <x:c r="O68" s="35"/>
      <x:c r="P68" s="21"/>
      <x:c r="Q68" s="21"/>
      <x:c r="R68" s="29" t="str">
        <x:f>IF(G68="","",MIN(J68,SUMIF('05_BAO_CAO_NGAY'!$K$6:$K$505,G68,'05_BAO_CAO_NGAY'!$V$6:$V$505)))</x:f>
      </x:c>
      <x:c r="S68" s="37" t="str">
        <x:f>IF(G68="","",IFERROR(R68/J68,0))</x:f>
      </x:c>
      <x:c r="T68" s="41" t="str">
        <x:f>IF(OR(G68="",COUNTIF('05_BAO_CAO_NGAY'!$K$6:$K$505,G68)=0),"",_xlfn.MINIFS('05_BAO_CAO_NGAY'!$B$6:$B$505,'05_BAO_CAO_NGAY'!$K$6:$K$505,G68))</x:f>
      </x:c>
      <x:c r="U68" s="41" t="str">
        <x:f>IF(OR(G68="",S68&lt;1),"",_xlfn.MAXIFS('05_BAO_CAO_NGAY'!$B$6:$B$505,'05_BAO_CAO_NGAY'!$K$6:$K$505,G68))</x:f>
      </x:c>
      <x:c r="V68" s="29" t="str">
        <x:f>IF(G68="","",IF(S68&gt;=1,IF(U68&lt;=O68,"Hoàn thành đúng hạn","Hoàn thành trễ"),IF(TODAY()&gt;O68,"Quá hạn",IF(R68&gt;0,"Đang thực hiện","Chưa bắt đầu"))))</x:f>
      </x:c>
      <x:c r="W68" s="37" t="str">
        <x:f>IF(G68="","",IFERROR(SUMIF('05_BAO_CAO_NGAY'!$K$6:$K$505,G68,'05_BAO_CAO_NGAY'!$AB$6:$AB$505)/SUMIF('05_BAO_CAO_NGAY'!$K$6:$K$505,G68,'05_BAO_CAO_NGAY'!$AC$6:$AC$505),0))</x:f>
      </x:c>
      <x:c r="X68" s="37" t="str">
        <x:f>IF(G68="","",IFERROR(SUMIFS('05_BAO_CAO_NGAY'!$W$6:$W$505,'05_BAO_CAO_NGAY'!$K$6:$K$505,G68,'05_BAO_CAO_NGAY'!$N$6:$N$505,"PRODUCTION")/SUMIFS('05_BAO_CAO_NGAY'!$U$6:$U$505,'05_BAO_CAO_NGAY'!$K$6:$K$505,G68,'05_BAO_CAO_NGAY'!$N$6:$N$505,"PRODUCTION"),0))</x:f>
      </x:c>
      <x:c r="Y68" s="29" t="str">
        <x:f>IF(G68="","",SUMIF('05_BAO_CAO_NGAY'!$K$6:$K$505,G68,'05_BAO_CAO_NGAY'!$S$6:$S$505))</x:f>
      </x:c>
      <x:c r="Z68" s="21"/>
    </x:row>
    <x:row r="69">
      <x:c r="A69" s="21"/>
      <x:c r="B69" s="21"/>
      <x:c r="C69" s="21"/>
      <x:c r="D69" s="21"/>
      <x:c r="E69" s="21"/>
      <x:c r="F69" s="29" t="str">
        <x:f>IF(OR(B69="",C69=""),"",B69&amp;"|"&amp;C69&amp;"|"&amp;IF(D69="","00",D69)&amp;"|"&amp;IF(E69="","01",E69))</x:f>
      </x:c>
      <x:c r="G69" s="29" t="str">
        <x:f>IF(F69="","",F69&amp;"|"&amp;TEXT(A69,"000"))</x:f>
      </x:c>
      <x:c r="H69" s="21"/>
      <x:c r="I69" s="21"/>
      <x:c r="J69" s="25"/>
      <x:c r="K69" s="25"/>
      <x:c r="L69" s="25"/>
      <x:c r="M69" s="39" t="str">
        <x:f>IF(G69="","",K69+L69*J69)</x:f>
      </x:c>
      <x:c r="N69" s="35"/>
      <x:c r="O69" s="35"/>
      <x:c r="P69" s="21"/>
      <x:c r="Q69" s="21"/>
      <x:c r="R69" s="29" t="str">
        <x:f>IF(G69="","",MIN(J69,SUMIF('05_BAO_CAO_NGAY'!$K$6:$K$505,G69,'05_BAO_CAO_NGAY'!$V$6:$V$505)))</x:f>
      </x:c>
      <x:c r="S69" s="37" t="str">
        <x:f>IF(G69="","",IFERROR(R69/J69,0))</x:f>
      </x:c>
      <x:c r="T69" s="41" t="str">
        <x:f>IF(OR(G69="",COUNTIF('05_BAO_CAO_NGAY'!$K$6:$K$505,G69)=0),"",_xlfn.MINIFS('05_BAO_CAO_NGAY'!$B$6:$B$505,'05_BAO_CAO_NGAY'!$K$6:$K$505,G69))</x:f>
      </x:c>
      <x:c r="U69" s="41" t="str">
        <x:f>IF(OR(G69="",S69&lt;1),"",_xlfn.MAXIFS('05_BAO_CAO_NGAY'!$B$6:$B$505,'05_BAO_CAO_NGAY'!$K$6:$K$505,G69))</x:f>
      </x:c>
      <x:c r="V69" s="29" t="str">
        <x:f>IF(G69="","",IF(S69&gt;=1,IF(U69&lt;=O69,"Hoàn thành đúng hạn","Hoàn thành trễ"),IF(TODAY()&gt;O69,"Quá hạn",IF(R69&gt;0,"Đang thực hiện","Chưa bắt đầu"))))</x:f>
      </x:c>
      <x:c r="W69" s="37" t="str">
        <x:f>IF(G69="","",IFERROR(SUMIF('05_BAO_CAO_NGAY'!$K$6:$K$505,G69,'05_BAO_CAO_NGAY'!$AB$6:$AB$505)/SUMIF('05_BAO_CAO_NGAY'!$K$6:$K$505,G69,'05_BAO_CAO_NGAY'!$AC$6:$AC$505),0))</x:f>
      </x:c>
      <x:c r="X69" s="37" t="str">
        <x:f>IF(G69="","",IFERROR(SUMIFS('05_BAO_CAO_NGAY'!$W$6:$W$505,'05_BAO_CAO_NGAY'!$K$6:$K$505,G69,'05_BAO_CAO_NGAY'!$N$6:$N$505,"PRODUCTION")/SUMIFS('05_BAO_CAO_NGAY'!$U$6:$U$505,'05_BAO_CAO_NGAY'!$K$6:$K$505,G69,'05_BAO_CAO_NGAY'!$N$6:$N$505,"PRODUCTION"),0))</x:f>
      </x:c>
      <x:c r="Y69" s="29" t="str">
        <x:f>IF(G69="","",SUMIF('05_BAO_CAO_NGAY'!$K$6:$K$505,G69,'05_BAO_CAO_NGAY'!$S$6:$S$505))</x:f>
      </x:c>
      <x:c r="Z69" s="21"/>
    </x:row>
    <x:row r="70">
      <x:c r="A70" s="21"/>
      <x:c r="B70" s="21"/>
      <x:c r="C70" s="21"/>
      <x:c r="D70" s="21"/>
      <x:c r="E70" s="21"/>
      <x:c r="F70" s="29" t="str">
        <x:f>IF(OR(B70="",C70=""),"",B70&amp;"|"&amp;C70&amp;"|"&amp;IF(D70="","00",D70)&amp;"|"&amp;IF(E70="","01",E70))</x:f>
      </x:c>
      <x:c r="G70" s="29" t="str">
        <x:f>IF(F70="","",F70&amp;"|"&amp;TEXT(A70,"000"))</x:f>
      </x:c>
      <x:c r="H70" s="21"/>
      <x:c r="I70" s="21"/>
      <x:c r="J70" s="25"/>
      <x:c r="K70" s="25"/>
      <x:c r="L70" s="25"/>
      <x:c r="M70" s="39" t="str">
        <x:f>IF(G70="","",K70+L70*J70)</x:f>
      </x:c>
      <x:c r="N70" s="35"/>
      <x:c r="O70" s="35"/>
      <x:c r="P70" s="21"/>
      <x:c r="Q70" s="21"/>
      <x:c r="R70" s="29" t="str">
        <x:f>IF(G70="","",MIN(J70,SUMIF('05_BAO_CAO_NGAY'!$K$6:$K$505,G70,'05_BAO_CAO_NGAY'!$V$6:$V$505)))</x:f>
      </x:c>
      <x:c r="S70" s="37" t="str">
        <x:f>IF(G70="","",IFERROR(R70/J70,0))</x:f>
      </x:c>
      <x:c r="T70" s="41" t="str">
        <x:f>IF(OR(G70="",COUNTIF('05_BAO_CAO_NGAY'!$K$6:$K$505,G70)=0),"",_xlfn.MINIFS('05_BAO_CAO_NGAY'!$B$6:$B$505,'05_BAO_CAO_NGAY'!$K$6:$K$505,G70))</x:f>
      </x:c>
      <x:c r="U70" s="41" t="str">
        <x:f>IF(OR(G70="",S70&lt;1),"",_xlfn.MAXIFS('05_BAO_CAO_NGAY'!$B$6:$B$505,'05_BAO_CAO_NGAY'!$K$6:$K$505,G70))</x:f>
      </x:c>
      <x:c r="V70" s="29" t="str">
        <x:f>IF(G70="","",IF(S70&gt;=1,IF(U70&lt;=O70,"Hoàn thành đúng hạn","Hoàn thành trễ"),IF(TODAY()&gt;O70,"Quá hạn",IF(R70&gt;0,"Đang thực hiện","Chưa bắt đầu"))))</x:f>
      </x:c>
      <x:c r="W70" s="37" t="str">
        <x:f>IF(G70="","",IFERROR(SUMIF('05_BAO_CAO_NGAY'!$K$6:$K$505,G70,'05_BAO_CAO_NGAY'!$AB$6:$AB$505)/SUMIF('05_BAO_CAO_NGAY'!$K$6:$K$505,G70,'05_BAO_CAO_NGAY'!$AC$6:$AC$505),0))</x:f>
      </x:c>
      <x:c r="X70" s="37" t="str">
        <x:f>IF(G70="","",IFERROR(SUMIFS('05_BAO_CAO_NGAY'!$W$6:$W$505,'05_BAO_CAO_NGAY'!$K$6:$K$505,G70,'05_BAO_CAO_NGAY'!$N$6:$N$505,"PRODUCTION")/SUMIFS('05_BAO_CAO_NGAY'!$U$6:$U$505,'05_BAO_CAO_NGAY'!$K$6:$K$505,G70,'05_BAO_CAO_NGAY'!$N$6:$N$505,"PRODUCTION"),0))</x:f>
      </x:c>
      <x:c r="Y70" s="29" t="str">
        <x:f>IF(G70="","",SUMIF('05_BAO_CAO_NGAY'!$K$6:$K$505,G70,'05_BAO_CAO_NGAY'!$S$6:$S$505))</x:f>
      </x:c>
      <x:c r="Z70" s="21"/>
    </x:row>
    <x:row r="71">
      <x:c r="A71" s="21"/>
      <x:c r="B71" s="21"/>
      <x:c r="C71" s="21"/>
      <x:c r="D71" s="21"/>
      <x:c r="E71" s="21"/>
      <x:c r="F71" s="29" t="str">
        <x:f>IF(OR(B71="",C71=""),"",B71&amp;"|"&amp;C71&amp;"|"&amp;IF(D71="","00",D71)&amp;"|"&amp;IF(E71="","01",E71))</x:f>
      </x:c>
      <x:c r="G71" s="29" t="str">
        <x:f>IF(F71="","",F71&amp;"|"&amp;TEXT(A71,"000"))</x:f>
      </x:c>
      <x:c r="H71" s="21"/>
      <x:c r="I71" s="21"/>
      <x:c r="J71" s="25"/>
      <x:c r="K71" s="25"/>
      <x:c r="L71" s="25"/>
      <x:c r="M71" s="39" t="str">
        <x:f>IF(G71="","",K71+L71*J71)</x:f>
      </x:c>
      <x:c r="N71" s="35"/>
      <x:c r="O71" s="35"/>
      <x:c r="P71" s="21"/>
      <x:c r="Q71" s="21"/>
      <x:c r="R71" s="29" t="str">
        <x:f>IF(G71="","",MIN(J71,SUMIF('05_BAO_CAO_NGAY'!$K$6:$K$505,G71,'05_BAO_CAO_NGAY'!$V$6:$V$505)))</x:f>
      </x:c>
      <x:c r="S71" s="37" t="str">
        <x:f>IF(G71="","",IFERROR(R71/J71,0))</x:f>
      </x:c>
      <x:c r="T71" s="41" t="str">
        <x:f>IF(OR(G71="",COUNTIF('05_BAO_CAO_NGAY'!$K$6:$K$505,G71)=0),"",_xlfn.MINIFS('05_BAO_CAO_NGAY'!$B$6:$B$505,'05_BAO_CAO_NGAY'!$K$6:$K$505,G71))</x:f>
      </x:c>
      <x:c r="U71" s="41" t="str">
        <x:f>IF(OR(G71="",S71&lt;1),"",_xlfn.MAXIFS('05_BAO_CAO_NGAY'!$B$6:$B$505,'05_BAO_CAO_NGAY'!$K$6:$K$505,G71))</x:f>
      </x:c>
      <x:c r="V71" s="29" t="str">
        <x:f>IF(G71="","",IF(S71&gt;=1,IF(U71&lt;=O71,"Hoàn thành đúng hạn","Hoàn thành trễ"),IF(TODAY()&gt;O71,"Quá hạn",IF(R71&gt;0,"Đang thực hiện","Chưa bắt đầu"))))</x:f>
      </x:c>
      <x:c r="W71" s="37" t="str">
        <x:f>IF(G71="","",IFERROR(SUMIF('05_BAO_CAO_NGAY'!$K$6:$K$505,G71,'05_BAO_CAO_NGAY'!$AB$6:$AB$505)/SUMIF('05_BAO_CAO_NGAY'!$K$6:$K$505,G71,'05_BAO_CAO_NGAY'!$AC$6:$AC$505),0))</x:f>
      </x:c>
      <x:c r="X71" s="37" t="str">
        <x:f>IF(G71="","",IFERROR(SUMIFS('05_BAO_CAO_NGAY'!$W$6:$W$505,'05_BAO_CAO_NGAY'!$K$6:$K$505,G71,'05_BAO_CAO_NGAY'!$N$6:$N$505,"PRODUCTION")/SUMIFS('05_BAO_CAO_NGAY'!$U$6:$U$505,'05_BAO_CAO_NGAY'!$K$6:$K$505,G71,'05_BAO_CAO_NGAY'!$N$6:$N$505,"PRODUCTION"),0))</x:f>
      </x:c>
      <x:c r="Y71" s="29" t="str">
        <x:f>IF(G71="","",SUMIF('05_BAO_CAO_NGAY'!$K$6:$K$505,G71,'05_BAO_CAO_NGAY'!$S$6:$S$505))</x:f>
      </x:c>
      <x:c r="Z71" s="21"/>
    </x:row>
    <x:row r="72">
      <x:c r="A72" s="21"/>
      <x:c r="B72" s="21"/>
      <x:c r="C72" s="21"/>
      <x:c r="D72" s="21"/>
      <x:c r="E72" s="21"/>
      <x:c r="F72" s="29" t="str">
        <x:f>IF(OR(B72="",C72=""),"",B72&amp;"|"&amp;C72&amp;"|"&amp;IF(D72="","00",D72)&amp;"|"&amp;IF(E72="","01",E72))</x:f>
      </x:c>
      <x:c r="G72" s="29" t="str">
        <x:f>IF(F72="","",F72&amp;"|"&amp;TEXT(A72,"000"))</x:f>
      </x:c>
      <x:c r="H72" s="21"/>
      <x:c r="I72" s="21"/>
      <x:c r="J72" s="25"/>
      <x:c r="K72" s="25"/>
      <x:c r="L72" s="25"/>
      <x:c r="M72" s="39" t="str">
        <x:f>IF(G72="","",K72+L72*J72)</x:f>
      </x:c>
      <x:c r="N72" s="35"/>
      <x:c r="O72" s="35"/>
      <x:c r="P72" s="21"/>
      <x:c r="Q72" s="21"/>
      <x:c r="R72" s="29" t="str">
        <x:f>IF(G72="","",MIN(J72,SUMIF('05_BAO_CAO_NGAY'!$K$6:$K$505,G72,'05_BAO_CAO_NGAY'!$V$6:$V$505)))</x:f>
      </x:c>
      <x:c r="S72" s="37" t="str">
        <x:f>IF(G72="","",IFERROR(R72/J72,0))</x:f>
      </x:c>
      <x:c r="T72" s="41" t="str">
        <x:f>IF(OR(G72="",COUNTIF('05_BAO_CAO_NGAY'!$K$6:$K$505,G72)=0),"",_xlfn.MINIFS('05_BAO_CAO_NGAY'!$B$6:$B$505,'05_BAO_CAO_NGAY'!$K$6:$K$505,G72))</x:f>
      </x:c>
      <x:c r="U72" s="41" t="str">
        <x:f>IF(OR(G72="",S72&lt;1),"",_xlfn.MAXIFS('05_BAO_CAO_NGAY'!$B$6:$B$505,'05_BAO_CAO_NGAY'!$K$6:$K$505,G72))</x:f>
      </x:c>
      <x:c r="V72" s="29" t="str">
        <x:f>IF(G72="","",IF(S72&gt;=1,IF(U72&lt;=O72,"Hoàn thành đúng hạn","Hoàn thành trễ"),IF(TODAY()&gt;O72,"Quá hạn",IF(R72&gt;0,"Đang thực hiện","Chưa bắt đầu"))))</x:f>
      </x:c>
      <x:c r="W72" s="37" t="str">
        <x:f>IF(G72="","",IFERROR(SUMIF('05_BAO_CAO_NGAY'!$K$6:$K$505,G72,'05_BAO_CAO_NGAY'!$AB$6:$AB$505)/SUMIF('05_BAO_CAO_NGAY'!$K$6:$K$505,G72,'05_BAO_CAO_NGAY'!$AC$6:$AC$505),0))</x:f>
      </x:c>
      <x:c r="X72" s="37" t="str">
        <x:f>IF(G72="","",IFERROR(SUMIFS('05_BAO_CAO_NGAY'!$W$6:$W$505,'05_BAO_CAO_NGAY'!$K$6:$K$505,G72,'05_BAO_CAO_NGAY'!$N$6:$N$505,"PRODUCTION")/SUMIFS('05_BAO_CAO_NGAY'!$U$6:$U$505,'05_BAO_CAO_NGAY'!$K$6:$K$505,G72,'05_BAO_CAO_NGAY'!$N$6:$N$505,"PRODUCTION"),0))</x:f>
      </x:c>
      <x:c r="Y72" s="29" t="str">
        <x:f>IF(G72="","",SUMIF('05_BAO_CAO_NGAY'!$K$6:$K$505,G72,'05_BAO_CAO_NGAY'!$S$6:$S$505))</x:f>
      </x:c>
      <x:c r="Z72" s="21"/>
    </x:row>
    <x:row r="73">
      <x:c r="A73" s="21"/>
      <x:c r="B73" s="21"/>
      <x:c r="C73" s="21"/>
      <x:c r="D73" s="21"/>
      <x:c r="E73" s="21"/>
      <x:c r="F73" s="29" t="str">
        <x:f>IF(OR(B73="",C73=""),"",B73&amp;"|"&amp;C73&amp;"|"&amp;IF(D73="","00",D73)&amp;"|"&amp;IF(E73="","01",E73))</x:f>
      </x:c>
      <x:c r="G73" s="29" t="str">
        <x:f>IF(F73="","",F73&amp;"|"&amp;TEXT(A73,"000"))</x:f>
      </x:c>
      <x:c r="H73" s="21"/>
      <x:c r="I73" s="21"/>
      <x:c r="J73" s="25"/>
      <x:c r="K73" s="25"/>
      <x:c r="L73" s="25"/>
      <x:c r="M73" s="39" t="str">
        <x:f>IF(G73="","",K73+L73*J73)</x:f>
      </x:c>
      <x:c r="N73" s="35"/>
      <x:c r="O73" s="35"/>
      <x:c r="P73" s="21"/>
      <x:c r="Q73" s="21"/>
      <x:c r="R73" s="29" t="str">
        <x:f>IF(G73="","",MIN(J73,SUMIF('05_BAO_CAO_NGAY'!$K$6:$K$505,G73,'05_BAO_CAO_NGAY'!$V$6:$V$505)))</x:f>
      </x:c>
      <x:c r="S73" s="37" t="str">
        <x:f>IF(G73="","",IFERROR(R73/J73,0))</x:f>
      </x:c>
      <x:c r="T73" s="41" t="str">
        <x:f>IF(OR(G73="",COUNTIF('05_BAO_CAO_NGAY'!$K$6:$K$505,G73)=0),"",_xlfn.MINIFS('05_BAO_CAO_NGAY'!$B$6:$B$505,'05_BAO_CAO_NGAY'!$K$6:$K$505,G73))</x:f>
      </x:c>
      <x:c r="U73" s="41" t="str">
        <x:f>IF(OR(G73="",S73&lt;1),"",_xlfn.MAXIFS('05_BAO_CAO_NGAY'!$B$6:$B$505,'05_BAO_CAO_NGAY'!$K$6:$K$505,G73))</x:f>
      </x:c>
      <x:c r="V73" s="29" t="str">
        <x:f>IF(G73="","",IF(S73&gt;=1,IF(U73&lt;=O73,"Hoàn thành đúng hạn","Hoàn thành trễ"),IF(TODAY()&gt;O73,"Quá hạn",IF(R73&gt;0,"Đang thực hiện","Chưa bắt đầu"))))</x:f>
      </x:c>
      <x:c r="W73" s="37" t="str">
        <x:f>IF(G73="","",IFERROR(SUMIF('05_BAO_CAO_NGAY'!$K$6:$K$505,G73,'05_BAO_CAO_NGAY'!$AB$6:$AB$505)/SUMIF('05_BAO_CAO_NGAY'!$K$6:$K$505,G73,'05_BAO_CAO_NGAY'!$AC$6:$AC$505),0))</x:f>
      </x:c>
      <x:c r="X73" s="37" t="str">
        <x:f>IF(G73="","",IFERROR(SUMIFS('05_BAO_CAO_NGAY'!$W$6:$W$505,'05_BAO_CAO_NGAY'!$K$6:$K$505,G73,'05_BAO_CAO_NGAY'!$N$6:$N$505,"PRODUCTION")/SUMIFS('05_BAO_CAO_NGAY'!$U$6:$U$505,'05_BAO_CAO_NGAY'!$K$6:$K$505,G73,'05_BAO_CAO_NGAY'!$N$6:$N$505,"PRODUCTION"),0))</x:f>
      </x:c>
      <x:c r="Y73" s="29" t="str">
        <x:f>IF(G73="","",SUMIF('05_BAO_CAO_NGAY'!$K$6:$K$505,G73,'05_BAO_CAO_NGAY'!$S$6:$S$505))</x:f>
      </x:c>
      <x:c r="Z73" s="21"/>
    </x:row>
    <x:row r="74">
      <x:c r="A74" s="21"/>
      <x:c r="B74" s="21"/>
      <x:c r="C74" s="21"/>
      <x:c r="D74" s="21"/>
      <x:c r="E74" s="21"/>
      <x:c r="F74" s="29" t="str">
        <x:f>IF(OR(B74="",C74=""),"",B74&amp;"|"&amp;C74&amp;"|"&amp;IF(D74="","00",D74)&amp;"|"&amp;IF(E74="","01",E74))</x:f>
      </x:c>
      <x:c r="G74" s="29" t="str">
        <x:f>IF(F74="","",F74&amp;"|"&amp;TEXT(A74,"000"))</x:f>
      </x:c>
      <x:c r="H74" s="21"/>
      <x:c r="I74" s="21"/>
      <x:c r="J74" s="25"/>
      <x:c r="K74" s="25"/>
      <x:c r="L74" s="25"/>
      <x:c r="M74" s="39" t="str">
        <x:f>IF(G74="","",K74+L74*J74)</x:f>
      </x:c>
      <x:c r="N74" s="35"/>
      <x:c r="O74" s="35"/>
      <x:c r="P74" s="21"/>
      <x:c r="Q74" s="21"/>
      <x:c r="R74" s="29" t="str">
        <x:f>IF(G74="","",MIN(J74,SUMIF('05_BAO_CAO_NGAY'!$K$6:$K$505,G74,'05_BAO_CAO_NGAY'!$V$6:$V$505)))</x:f>
      </x:c>
      <x:c r="S74" s="37" t="str">
        <x:f>IF(G74="","",IFERROR(R74/J74,0))</x:f>
      </x:c>
      <x:c r="T74" s="41" t="str">
        <x:f>IF(OR(G74="",COUNTIF('05_BAO_CAO_NGAY'!$K$6:$K$505,G74)=0),"",_xlfn.MINIFS('05_BAO_CAO_NGAY'!$B$6:$B$505,'05_BAO_CAO_NGAY'!$K$6:$K$505,G74))</x:f>
      </x:c>
      <x:c r="U74" s="41" t="str">
        <x:f>IF(OR(G74="",S74&lt;1),"",_xlfn.MAXIFS('05_BAO_CAO_NGAY'!$B$6:$B$505,'05_BAO_CAO_NGAY'!$K$6:$K$505,G74))</x:f>
      </x:c>
      <x:c r="V74" s="29" t="str">
        <x:f>IF(G74="","",IF(S74&gt;=1,IF(U74&lt;=O74,"Hoàn thành đúng hạn","Hoàn thành trễ"),IF(TODAY()&gt;O74,"Quá hạn",IF(R74&gt;0,"Đang thực hiện","Chưa bắt đầu"))))</x:f>
      </x:c>
      <x:c r="W74" s="37" t="str">
        <x:f>IF(G74="","",IFERROR(SUMIF('05_BAO_CAO_NGAY'!$K$6:$K$505,G74,'05_BAO_CAO_NGAY'!$AB$6:$AB$505)/SUMIF('05_BAO_CAO_NGAY'!$K$6:$K$505,G74,'05_BAO_CAO_NGAY'!$AC$6:$AC$505),0))</x:f>
      </x:c>
      <x:c r="X74" s="37" t="str">
        <x:f>IF(G74="","",IFERROR(SUMIFS('05_BAO_CAO_NGAY'!$W$6:$W$505,'05_BAO_CAO_NGAY'!$K$6:$K$505,G74,'05_BAO_CAO_NGAY'!$N$6:$N$505,"PRODUCTION")/SUMIFS('05_BAO_CAO_NGAY'!$U$6:$U$505,'05_BAO_CAO_NGAY'!$K$6:$K$505,G74,'05_BAO_CAO_NGAY'!$N$6:$N$505,"PRODUCTION"),0))</x:f>
      </x:c>
      <x:c r="Y74" s="29" t="str">
        <x:f>IF(G74="","",SUMIF('05_BAO_CAO_NGAY'!$K$6:$K$505,G74,'05_BAO_CAO_NGAY'!$S$6:$S$505))</x:f>
      </x:c>
      <x:c r="Z74" s="21"/>
    </x:row>
    <x:row r="75">
      <x:c r="A75" s="21"/>
      <x:c r="B75" s="21"/>
      <x:c r="C75" s="21"/>
      <x:c r="D75" s="21"/>
      <x:c r="E75" s="21"/>
      <x:c r="F75" s="29" t="str">
        <x:f>IF(OR(B75="",C75=""),"",B75&amp;"|"&amp;C75&amp;"|"&amp;IF(D75="","00",D75)&amp;"|"&amp;IF(E75="","01",E75))</x:f>
      </x:c>
      <x:c r="G75" s="29" t="str">
        <x:f>IF(F75="","",F75&amp;"|"&amp;TEXT(A75,"000"))</x:f>
      </x:c>
      <x:c r="H75" s="21"/>
      <x:c r="I75" s="21"/>
      <x:c r="J75" s="25"/>
      <x:c r="K75" s="25"/>
      <x:c r="L75" s="25"/>
      <x:c r="M75" s="39" t="str">
        <x:f>IF(G75="","",K75+L75*J75)</x:f>
      </x:c>
      <x:c r="N75" s="35"/>
      <x:c r="O75" s="35"/>
      <x:c r="P75" s="21"/>
      <x:c r="Q75" s="21"/>
      <x:c r="R75" s="29" t="str">
        <x:f>IF(G75="","",MIN(J75,SUMIF('05_BAO_CAO_NGAY'!$K$6:$K$505,G75,'05_BAO_CAO_NGAY'!$V$6:$V$505)))</x:f>
      </x:c>
      <x:c r="S75" s="37" t="str">
        <x:f>IF(G75="","",IFERROR(R75/J75,0))</x:f>
      </x:c>
      <x:c r="T75" s="41" t="str">
        <x:f>IF(OR(G75="",COUNTIF('05_BAO_CAO_NGAY'!$K$6:$K$505,G75)=0),"",_xlfn.MINIFS('05_BAO_CAO_NGAY'!$B$6:$B$505,'05_BAO_CAO_NGAY'!$K$6:$K$505,G75))</x:f>
      </x:c>
      <x:c r="U75" s="41" t="str">
        <x:f>IF(OR(G75="",S75&lt;1),"",_xlfn.MAXIFS('05_BAO_CAO_NGAY'!$B$6:$B$505,'05_BAO_CAO_NGAY'!$K$6:$K$505,G75))</x:f>
      </x:c>
      <x:c r="V75" s="29" t="str">
        <x:f>IF(G75="","",IF(S75&gt;=1,IF(U75&lt;=O75,"Hoàn thành đúng hạn","Hoàn thành trễ"),IF(TODAY()&gt;O75,"Quá hạn",IF(R75&gt;0,"Đang thực hiện","Chưa bắt đầu"))))</x:f>
      </x:c>
      <x:c r="W75" s="37" t="str">
        <x:f>IF(G75="","",IFERROR(SUMIF('05_BAO_CAO_NGAY'!$K$6:$K$505,G75,'05_BAO_CAO_NGAY'!$AB$6:$AB$505)/SUMIF('05_BAO_CAO_NGAY'!$K$6:$K$505,G75,'05_BAO_CAO_NGAY'!$AC$6:$AC$505),0))</x:f>
      </x:c>
      <x:c r="X75" s="37" t="str">
        <x:f>IF(G75="","",IFERROR(SUMIFS('05_BAO_CAO_NGAY'!$W$6:$W$505,'05_BAO_CAO_NGAY'!$K$6:$K$505,G75,'05_BAO_CAO_NGAY'!$N$6:$N$505,"PRODUCTION")/SUMIFS('05_BAO_CAO_NGAY'!$U$6:$U$505,'05_BAO_CAO_NGAY'!$K$6:$K$505,G75,'05_BAO_CAO_NGAY'!$N$6:$N$505,"PRODUCTION"),0))</x:f>
      </x:c>
      <x:c r="Y75" s="29" t="str">
        <x:f>IF(G75="","",SUMIF('05_BAO_CAO_NGAY'!$K$6:$K$505,G75,'05_BAO_CAO_NGAY'!$S$6:$S$505))</x:f>
      </x:c>
      <x:c r="Z75" s="21"/>
    </x:row>
    <x:row r="76">
      <x:c r="A76" s="21"/>
      <x:c r="B76" s="21"/>
      <x:c r="C76" s="21"/>
      <x:c r="D76" s="21"/>
      <x:c r="E76" s="21"/>
      <x:c r="F76" s="29" t="str">
        <x:f>IF(OR(B76="",C76=""),"",B76&amp;"|"&amp;C76&amp;"|"&amp;IF(D76="","00",D76)&amp;"|"&amp;IF(E76="","01",E76))</x:f>
      </x:c>
      <x:c r="G76" s="29" t="str">
        <x:f>IF(F76="","",F76&amp;"|"&amp;TEXT(A76,"000"))</x:f>
      </x:c>
      <x:c r="H76" s="21"/>
      <x:c r="I76" s="21"/>
      <x:c r="J76" s="25"/>
      <x:c r="K76" s="25"/>
      <x:c r="L76" s="25"/>
      <x:c r="M76" s="39" t="str">
        <x:f>IF(G76="","",K76+L76*J76)</x:f>
      </x:c>
      <x:c r="N76" s="35"/>
      <x:c r="O76" s="35"/>
      <x:c r="P76" s="21"/>
      <x:c r="Q76" s="21"/>
      <x:c r="R76" s="29" t="str">
        <x:f>IF(G76="","",MIN(J76,SUMIF('05_BAO_CAO_NGAY'!$K$6:$K$505,G76,'05_BAO_CAO_NGAY'!$V$6:$V$505)))</x:f>
      </x:c>
      <x:c r="S76" s="37" t="str">
        <x:f>IF(G76="","",IFERROR(R76/J76,0))</x:f>
      </x:c>
      <x:c r="T76" s="41" t="str">
        <x:f>IF(OR(G76="",COUNTIF('05_BAO_CAO_NGAY'!$K$6:$K$505,G76)=0),"",_xlfn.MINIFS('05_BAO_CAO_NGAY'!$B$6:$B$505,'05_BAO_CAO_NGAY'!$K$6:$K$505,G76))</x:f>
      </x:c>
      <x:c r="U76" s="41" t="str">
        <x:f>IF(OR(G76="",S76&lt;1),"",_xlfn.MAXIFS('05_BAO_CAO_NGAY'!$B$6:$B$505,'05_BAO_CAO_NGAY'!$K$6:$K$505,G76))</x:f>
      </x:c>
      <x:c r="V76" s="29" t="str">
        <x:f>IF(G76="","",IF(S76&gt;=1,IF(U76&lt;=O76,"Hoàn thành đúng hạn","Hoàn thành trễ"),IF(TODAY()&gt;O76,"Quá hạn",IF(R76&gt;0,"Đang thực hiện","Chưa bắt đầu"))))</x:f>
      </x:c>
      <x:c r="W76" s="37" t="str">
        <x:f>IF(G76="","",IFERROR(SUMIF('05_BAO_CAO_NGAY'!$K$6:$K$505,G76,'05_BAO_CAO_NGAY'!$AB$6:$AB$505)/SUMIF('05_BAO_CAO_NGAY'!$K$6:$K$505,G76,'05_BAO_CAO_NGAY'!$AC$6:$AC$505),0))</x:f>
      </x:c>
      <x:c r="X76" s="37" t="str">
        <x:f>IF(G76="","",IFERROR(SUMIFS('05_BAO_CAO_NGAY'!$W$6:$W$505,'05_BAO_CAO_NGAY'!$K$6:$K$505,G76,'05_BAO_CAO_NGAY'!$N$6:$N$505,"PRODUCTION")/SUMIFS('05_BAO_CAO_NGAY'!$U$6:$U$505,'05_BAO_CAO_NGAY'!$K$6:$K$505,G76,'05_BAO_CAO_NGAY'!$N$6:$N$505,"PRODUCTION"),0))</x:f>
      </x:c>
      <x:c r="Y76" s="29" t="str">
        <x:f>IF(G76="","",SUMIF('05_BAO_CAO_NGAY'!$K$6:$K$505,G76,'05_BAO_CAO_NGAY'!$S$6:$S$505))</x:f>
      </x:c>
      <x:c r="Z76" s="21"/>
    </x:row>
    <x:row r="77">
      <x:c r="A77" s="21"/>
      <x:c r="B77" s="21"/>
      <x:c r="C77" s="21"/>
      <x:c r="D77" s="21"/>
      <x:c r="E77" s="21"/>
      <x:c r="F77" s="29" t="str">
        <x:f>IF(OR(B77="",C77=""),"",B77&amp;"|"&amp;C77&amp;"|"&amp;IF(D77="","00",D77)&amp;"|"&amp;IF(E77="","01",E77))</x:f>
      </x:c>
      <x:c r="G77" s="29" t="str">
        <x:f>IF(F77="","",F77&amp;"|"&amp;TEXT(A77,"000"))</x:f>
      </x:c>
      <x:c r="H77" s="21"/>
      <x:c r="I77" s="21"/>
      <x:c r="J77" s="25"/>
      <x:c r="K77" s="25"/>
      <x:c r="L77" s="25"/>
      <x:c r="M77" s="39" t="str">
        <x:f>IF(G77="","",K77+L77*J77)</x:f>
      </x:c>
      <x:c r="N77" s="35"/>
      <x:c r="O77" s="35"/>
      <x:c r="P77" s="21"/>
      <x:c r="Q77" s="21"/>
      <x:c r="R77" s="29" t="str">
        <x:f>IF(G77="","",MIN(J77,SUMIF('05_BAO_CAO_NGAY'!$K$6:$K$505,G77,'05_BAO_CAO_NGAY'!$V$6:$V$505)))</x:f>
      </x:c>
      <x:c r="S77" s="37" t="str">
        <x:f>IF(G77="","",IFERROR(R77/J77,0))</x:f>
      </x:c>
      <x:c r="T77" s="41" t="str">
        <x:f>IF(OR(G77="",COUNTIF('05_BAO_CAO_NGAY'!$K$6:$K$505,G77)=0),"",_xlfn.MINIFS('05_BAO_CAO_NGAY'!$B$6:$B$505,'05_BAO_CAO_NGAY'!$K$6:$K$505,G77))</x:f>
      </x:c>
      <x:c r="U77" s="41" t="str">
        <x:f>IF(OR(G77="",S77&lt;1),"",_xlfn.MAXIFS('05_BAO_CAO_NGAY'!$B$6:$B$505,'05_BAO_CAO_NGAY'!$K$6:$K$505,G77))</x:f>
      </x:c>
      <x:c r="V77" s="29" t="str">
        <x:f>IF(G77="","",IF(S77&gt;=1,IF(U77&lt;=O77,"Hoàn thành đúng hạn","Hoàn thành trễ"),IF(TODAY()&gt;O77,"Quá hạn",IF(R77&gt;0,"Đang thực hiện","Chưa bắt đầu"))))</x:f>
      </x:c>
      <x:c r="W77" s="37" t="str">
        <x:f>IF(G77="","",IFERROR(SUMIF('05_BAO_CAO_NGAY'!$K$6:$K$505,G77,'05_BAO_CAO_NGAY'!$AB$6:$AB$505)/SUMIF('05_BAO_CAO_NGAY'!$K$6:$K$505,G77,'05_BAO_CAO_NGAY'!$AC$6:$AC$505),0))</x:f>
      </x:c>
      <x:c r="X77" s="37" t="str">
        <x:f>IF(G77="","",IFERROR(SUMIFS('05_BAO_CAO_NGAY'!$W$6:$W$505,'05_BAO_CAO_NGAY'!$K$6:$K$505,G77,'05_BAO_CAO_NGAY'!$N$6:$N$505,"PRODUCTION")/SUMIFS('05_BAO_CAO_NGAY'!$U$6:$U$505,'05_BAO_CAO_NGAY'!$K$6:$K$505,G77,'05_BAO_CAO_NGAY'!$N$6:$N$505,"PRODUCTION"),0))</x:f>
      </x:c>
      <x:c r="Y77" s="29" t="str">
        <x:f>IF(G77="","",SUMIF('05_BAO_CAO_NGAY'!$K$6:$K$505,G77,'05_BAO_CAO_NGAY'!$S$6:$S$505))</x:f>
      </x:c>
      <x:c r="Z77" s="21"/>
    </x:row>
    <x:row r="78">
      <x:c r="A78" s="21"/>
      <x:c r="B78" s="21"/>
      <x:c r="C78" s="21"/>
      <x:c r="D78" s="21"/>
      <x:c r="E78" s="21"/>
      <x:c r="F78" s="29" t="str">
        <x:f>IF(OR(B78="",C78=""),"",B78&amp;"|"&amp;C78&amp;"|"&amp;IF(D78="","00",D78)&amp;"|"&amp;IF(E78="","01",E78))</x:f>
      </x:c>
      <x:c r="G78" s="29" t="str">
        <x:f>IF(F78="","",F78&amp;"|"&amp;TEXT(A78,"000"))</x:f>
      </x:c>
      <x:c r="H78" s="21"/>
      <x:c r="I78" s="21"/>
      <x:c r="J78" s="25"/>
      <x:c r="K78" s="25"/>
      <x:c r="L78" s="25"/>
      <x:c r="M78" s="39" t="str">
        <x:f>IF(G78="","",K78+L78*J78)</x:f>
      </x:c>
      <x:c r="N78" s="35"/>
      <x:c r="O78" s="35"/>
      <x:c r="P78" s="21"/>
      <x:c r="Q78" s="21"/>
      <x:c r="R78" s="29" t="str">
        <x:f>IF(G78="","",MIN(J78,SUMIF('05_BAO_CAO_NGAY'!$K$6:$K$505,G78,'05_BAO_CAO_NGAY'!$V$6:$V$505)))</x:f>
      </x:c>
      <x:c r="S78" s="37" t="str">
        <x:f>IF(G78="","",IFERROR(R78/J78,0))</x:f>
      </x:c>
      <x:c r="T78" s="41" t="str">
        <x:f>IF(OR(G78="",COUNTIF('05_BAO_CAO_NGAY'!$K$6:$K$505,G78)=0),"",_xlfn.MINIFS('05_BAO_CAO_NGAY'!$B$6:$B$505,'05_BAO_CAO_NGAY'!$K$6:$K$505,G78))</x:f>
      </x:c>
      <x:c r="U78" s="41" t="str">
        <x:f>IF(OR(G78="",S78&lt;1),"",_xlfn.MAXIFS('05_BAO_CAO_NGAY'!$B$6:$B$505,'05_BAO_CAO_NGAY'!$K$6:$K$505,G78))</x:f>
      </x:c>
      <x:c r="V78" s="29" t="str">
        <x:f>IF(G78="","",IF(S78&gt;=1,IF(U78&lt;=O78,"Hoàn thành đúng hạn","Hoàn thành trễ"),IF(TODAY()&gt;O78,"Quá hạn",IF(R78&gt;0,"Đang thực hiện","Chưa bắt đầu"))))</x:f>
      </x:c>
      <x:c r="W78" s="37" t="str">
        <x:f>IF(G78="","",IFERROR(SUMIF('05_BAO_CAO_NGAY'!$K$6:$K$505,G78,'05_BAO_CAO_NGAY'!$AB$6:$AB$505)/SUMIF('05_BAO_CAO_NGAY'!$K$6:$K$505,G78,'05_BAO_CAO_NGAY'!$AC$6:$AC$505),0))</x:f>
      </x:c>
      <x:c r="X78" s="37" t="str">
        <x:f>IF(G78="","",IFERROR(SUMIFS('05_BAO_CAO_NGAY'!$W$6:$W$505,'05_BAO_CAO_NGAY'!$K$6:$K$505,G78,'05_BAO_CAO_NGAY'!$N$6:$N$505,"PRODUCTION")/SUMIFS('05_BAO_CAO_NGAY'!$U$6:$U$505,'05_BAO_CAO_NGAY'!$K$6:$K$505,G78,'05_BAO_CAO_NGAY'!$N$6:$N$505,"PRODUCTION"),0))</x:f>
      </x:c>
      <x:c r="Y78" s="29" t="str">
        <x:f>IF(G78="","",SUMIF('05_BAO_CAO_NGAY'!$K$6:$K$505,G78,'05_BAO_CAO_NGAY'!$S$6:$S$505))</x:f>
      </x:c>
      <x:c r="Z78" s="21"/>
    </x:row>
    <x:row r="79">
      <x:c r="A79" s="21"/>
      <x:c r="B79" s="21"/>
      <x:c r="C79" s="21"/>
      <x:c r="D79" s="21"/>
      <x:c r="E79" s="21"/>
      <x:c r="F79" s="29" t="str">
        <x:f>IF(OR(B79="",C79=""),"",B79&amp;"|"&amp;C79&amp;"|"&amp;IF(D79="","00",D79)&amp;"|"&amp;IF(E79="","01",E79))</x:f>
      </x:c>
      <x:c r="G79" s="29" t="str">
        <x:f>IF(F79="","",F79&amp;"|"&amp;TEXT(A79,"000"))</x:f>
      </x:c>
      <x:c r="H79" s="21"/>
      <x:c r="I79" s="21"/>
      <x:c r="J79" s="25"/>
      <x:c r="K79" s="25"/>
      <x:c r="L79" s="25"/>
      <x:c r="M79" s="39" t="str">
        <x:f>IF(G79="","",K79+L79*J79)</x:f>
      </x:c>
      <x:c r="N79" s="35"/>
      <x:c r="O79" s="35"/>
      <x:c r="P79" s="21"/>
      <x:c r="Q79" s="21"/>
      <x:c r="R79" s="29" t="str">
        <x:f>IF(G79="","",MIN(J79,SUMIF('05_BAO_CAO_NGAY'!$K$6:$K$505,G79,'05_BAO_CAO_NGAY'!$V$6:$V$505)))</x:f>
      </x:c>
      <x:c r="S79" s="37" t="str">
        <x:f>IF(G79="","",IFERROR(R79/J79,0))</x:f>
      </x:c>
      <x:c r="T79" s="41" t="str">
        <x:f>IF(OR(G79="",COUNTIF('05_BAO_CAO_NGAY'!$K$6:$K$505,G79)=0),"",_xlfn.MINIFS('05_BAO_CAO_NGAY'!$B$6:$B$505,'05_BAO_CAO_NGAY'!$K$6:$K$505,G79))</x:f>
      </x:c>
      <x:c r="U79" s="41" t="str">
        <x:f>IF(OR(G79="",S79&lt;1),"",_xlfn.MAXIFS('05_BAO_CAO_NGAY'!$B$6:$B$505,'05_BAO_CAO_NGAY'!$K$6:$K$505,G79))</x:f>
      </x:c>
      <x:c r="V79" s="29" t="str">
        <x:f>IF(G79="","",IF(S79&gt;=1,IF(U79&lt;=O79,"Hoàn thành đúng hạn","Hoàn thành trễ"),IF(TODAY()&gt;O79,"Quá hạn",IF(R79&gt;0,"Đang thực hiện","Chưa bắt đầu"))))</x:f>
      </x:c>
      <x:c r="W79" s="37" t="str">
        <x:f>IF(G79="","",IFERROR(SUMIF('05_BAO_CAO_NGAY'!$K$6:$K$505,G79,'05_BAO_CAO_NGAY'!$AB$6:$AB$505)/SUMIF('05_BAO_CAO_NGAY'!$K$6:$K$505,G79,'05_BAO_CAO_NGAY'!$AC$6:$AC$505),0))</x:f>
      </x:c>
      <x:c r="X79" s="37" t="str">
        <x:f>IF(G79="","",IFERROR(SUMIFS('05_BAO_CAO_NGAY'!$W$6:$W$505,'05_BAO_CAO_NGAY'!$K$6:$K$505,G79,'05_BAO_CAO_NGAY'!$N$6:$N$505,"PRODUCTION")/SUMIFS('05_BAO_CAO_NGAY'!$U$6:$U$505,'05_BAO_CAO_NGAY'!$K$6:$K$505,G79,'05_BAO_CAO_NGAY'!$N$6:$N$505,"PRODUCTION"),0))</x:f>
      </x:c>
      <x:c r="Y79" s="29" t="str">
        <x:f>IF(G79="","",SUMIF('05_BAO_CAO_NGAY'!$K$6:$K$505,G79,'05_BAO_CAO_NGAY'!$S$6:$S$505))</x:f>
      </x:c>
      <x:c r="Z79" s="21"/>
    </x:row>
    <x:row r="80">
      <x:c r="A80" s="21"/>
      <x:c r="B80" s="21"/>
      <x:c r="C80" s="21"/>
      <x:c r="D80" s="21"/>
      <x:c r="E80" s="21"/>
      <x:c r="F80" s="29" t="str">
        <x:f>IF(OR(B80="",C80=""),"",B80&amp;"|"&amp;C80&amp;"|"&amp;IF(D80="","00",D80)&amp;"|"&amp;IF(E80="","01",E80))</x:f>
      </x:c>
      <x:c r="G80" s="29" t="str">
        <x:f>IF(F80="","",F80&amp;"|"&amp;TEXT(A80,"000"))</x:f>
      </x:c>
      <x:c r="H80" s="21"/>
      <x:c r="I80" s="21"/>
      <x:c r="J80" s="25"/>
      <x:c r="K80" s="25"/>
      <x:c r="L80" s="25"/>
      <x:c r="M80" s="39" t="str">
        <x:f>IF(G80="","",K80+L80*J80)</x:f>
      </x:c>
      <x:c r="N80" s="35"/>
      <x:c r="O80" s="35"/>
      <x:c r="P80" s="21"/>
      <x:c r="Q80" s="21"/>
      <x:c r="R80" s="29" t="str">
        <x:f>IF(G80="","",MIN(J80,SUMIF('05_BAO_CAO_NGAY'!$K$6:$K$505,G80,'05_BAO_CAO_NGAY'!$V$6:$V$505)))</x:f>
      </x:c>
      <x:c r="S80" s="37" t="str">
        <x:f>IF(G80="","",IFERROR(R80/J80,0))</x:f>
      </x:c>
      <x:c r="T80" s="41" t="str">
        <x:f>IF(OR(G80="",COUNTIF('05_BAO_CAO_NGAY'!$K$6:$K$505,G80)=0),"",_xlfn.MINIFS('05_BAO_CAO_NGAY'!$B$6:$B$505,'05_BAO_CAO_NGAY'!$K$6:$K$505,G80))</x:f>
      </x:c>
      <x:c r="U80" s="41" t="str">
        <x:f>IF(OR(G80="",S80&lt;1),"",_xlfn.MAXIFS('05_BAO_CAO_NGAY'!$B$6:$B$505,'05_BAO_CAO_NGAY'!$K$6:$K$505,G80))</x:f>
      </x:c>
      <x:c r="V80" s="29" t="str">
        <x:f>IF(G80="","",IF(S80&gt;=1,IF(U80&lt;=O80,"Hoàn thành đúng hạn","Hoàn thành trễ"),IF(TODAY()&gt;O80,"Quá hạn",IF(R80&gt;0,"Đang thực hiện","Chưa bắt đầu"))))</x:f>
      </x:c>
      <x:c r="W80" s="37" t="str">
        <x:f>IF(G80="","",IFERROR(SUMIF('05_BAO_CAO_NGAY'!$K$6:$K$505,G80,'05_BAO_CAO_NGAY'!$AB$6:$AB$505)/SUMIF('05_BAO_CAO_NGAY'!$K$6:$K$505,G80,'05_BAO_CAO_NGAY'!$AC$6:$AC$505),0))</x:f>
      </x:c>
      <x:c r="X80" s="37" t="str">
        <x:f>IF(G80="","",IFERROR(SUMIFS('05_BAO_CAO_NGAY'!$W$6:$W$505,'05_BAO_CAO_NGAY'!$K$6:$K$505,G80,'05_BAO_CAO_NGAY'!$N$6:$N$505,"PRODUCTION")/SUMIFS('05_BAO_CAO_NGAY'!$U$6:$U$505,'05_BAO_CAO_NGAY'!$K$6:$K$505,G80,'05_BAO_CAO_NGAY'!$N$6:$N$505,"PRODUCTION"),0))</x:f>
      </x:c>
      <x:c r="Y80" s="29" t="str">
        <x:f>IF(G80="","",SUMIF('05_BAO_CAO_NGAY'!$K$6:$K$505,G80,'05_BAO_CAO_NGAY'!$S$6:$S$505))</x:f>
      </x:c>
      <x:c r="Z80" s="21"/>
    </x:row>
    <x:row r="81">
      <x:c r="A81" s="21"/>
      <x:c r="B81" s="21"/>
      <x:c r="C81" s="21"/>
      <x:c r="D81" s="21"/>
      <x:c r="E81" s="21"/>
      <x:c r="F81" s="29" t="str">
        <x:f>IF(OR(B81="",C81=""),"",B81&amp;"|"&amp;C81&amp;"|"&amp;IF(D81="","00",D81)&amp;"|"&amp;IF(E81="","01",E81))</x:f>
      </x:c>
      <x:c r="G81" s="29" t="str">
        <x:f>IF(F81="","",F81&amp;"|"&amp;TEXT(A81,"000"))</x:f>
      </x:c>
      <x:c r="H81" s="21"/>
      <x:c r="I81" s="21"/>
      <x:c r="J81" s="25"/>
      <x:c r="K81" s="25"/>
      <x:c r="L81" s="25"/>
      <x:c r="M81" s="39" t="str">
        <x:f>IF(G81="","",K81+L81*J81)</x:f>
      </x:c>
      <x:c r="N81" s="35"/>
      <x:c r="O81" s="35"/>
      <x:c r="P81" s="21"/>
      <x:c r="Q81" s="21"/>
      <x:c r="R81" s="29" t="str">
        <x:f>IF(G81="","",MIN(J81,SUMIF('05_BAO_CAO_NGAY'!$K$6:$K$505,G81,'05_BAO_CAO_NGAY'!$V$6:$V$505)))</x:f>
      </x:c>
      <x:c r="S81" s="37" t="str">
        <x:f>IF(G81="","",IFERROR(R81/J81,0))</x:f>
      </x:c>
      <x:c r="T81" s="41" t="str">
        <x:f>IF(OR(G81="",COUNTIF('05_BAO_CAO_NGAY'!$K$6:$K$505,G81)=0),"",_xlfn.MINIFS('05_BAO_CAO_NGAY'!$B$6:$B$505,'05_BAO_CAO_NGAY'!$K$6:$K$505,G81))</x:f>
      </x:c>
      <x:c r="U81" s="41" t="str">
        <x:f>IF(OR(G81="",S81&lt;1),"",_xlfn.MAXIFS('05_BAO_CAO_NGAY'!$B$6:$B$505,'05_BAO_CAO_NGAY'!$K$6:$K$505,G81))</x:f>
      </x:c>
      <x:c r="V81" s="29" t="str">
        <x:f>IF(G81="","",IF(S81&gt;=1,IF(U81&lt;=O81,"Hoàn thành đúng hạn","Hoàn thành trễ"),IF(TODAY()&gt;O81,"Quá hạn",IF(R81&gt;0,"Đang thực hiện","Chưa bắt đầu"))))</x:f>
      </x:c>
      <x:c r="W81" s="37" t="str">
        <x:f>IF(G81="","",IFERROR(SUMIF('05_BAO_CAO_NGAY'!$K$6:$K$505,G81,'05_BAO_CAO_NGAY'!$AB$6:$AB$505)/SUMIF('05_BAO_CAO_NGAY'!$K$6:$K$505,G81,'05_BAO_CAO_NGAY'!$AC$6:$AC$505),0))</x:f>
      </x:c>
      <x:c r="X81" s="37" t="str">
        <x:f>IF(G81="","",IFERROR(SUMIFS('05_BAO_CAO_NGAY'!$W$6:$W$505,'05_BAO_CAO_NGAY'!$K$6:$K$505,G81,'05_BAO_CAO_NGAY'!$N$6:$N$505,"PRODUCTION")/SUMIFS('05_BAO_CAO_NGAY'!$U$6:$U$505,'05_BAO_CAO_NGAY'!$K$6:$K$505,G81,'05_BAO_CAO_NGAY'!$N$6:$N$505,"PRODUCTION"),0))</x:f>
      </x:c>
      <x:c r="Y81" s="29" t="str">
        <x:f>IF(G81="","",SUMIF('05_BAO_CAO_NGAY'!$K$6:$K$505,G81,'05_BAO_CAO_NGAY'!$S$6:$S$505))</x:f>
      </x:c>
      <x:c r="Z81" s="21"/>
    </x:row>
    <x:row r="82">
      <x:c r="A82" s="21"/>
      <x:c r="B82" s="21"/>
      <x:c r="C82" s="21"/>
      <x:c r="D82" s="21"/>
      <x:c r="E82" s="21"/>
      <x:c r="F82" s="29" t="str">
        <x:f>IF(OR(B82="",C82=""),"",B82&amp;"|"&amp;C82&amp;"|"&amp;IF(D82="","00",D82)&amp;"|"&amp;IF(E82="","01",E82))</x:f>
      </x:c>
      <x:c r="G82" s="29" t="str">
        <x:f>IF(F82="","",F82&amp;"|"&amp;TEXT(A82,"000"))</x:f>
      </x:c>
      <x:c r="H82" s="21"/>
      <x:c r="I82" s="21"/>
      <x:c r="J82" s="25"/>
      <x:c r="K82" s="25"/>
      <x:c r="L82" s="25"/>
      <x:c r="M82" s="39" t="str">
        <x:f>IF(G82="","",K82+L82*J82)</x:f>
      </x:c>
      <x:c r="N82" s="35"/>
      <x:c r="O82" s="35"/>
      <x:c r="P82" s="21"/>
      <x:c r="Q82" s="21"/>
      <x:c r="R82" s="29" t="str">
        <x:f>IF(G82="","",MIN(J82,SUMIF('05_BAO_CAO_NGAY'!$K$6:$K$505,G82,'05_BAO_CAO_NGAY'!$V$6:$V$505)))</x:f>
      </x:c>
      <x:c r="S82" s="37" t="str">
        <x:f>IF(G82="","",IFERROR(R82/J82,0))</x:f>
      </x:c>
      <x:c r="T82" s="41" t="str">
        <x:f>IF(OR(G82="",COUNTIF('05_BAO_CAO_NGAY'!$K$6:$K$505,G82)=0),"",_xlfn.MINIFS('05_BAO_CAO_NGAY'!$B$6:$B$505,'05_BAO_CAO_NGAY'!$K$6:$K$505,G82))</x:f>
      </x:c>
      <x:c r="U82" s="41" t="str">
        <x:f>IF(OR(G82="",S82&lt;1),"",_xlfn.MAXIFS('05_BAO_CAO_NGAY'!$B$6:$B$505,'05_BAO_CAO_NGAY'!$K$6:$K$505,G82))</x:f>
      </x:c>
      <x:c r="V82" s="29" t="str">
        <x:f>IF(G82="","",IF(S82&gt;=1,IF(U82&lt;=O82,"Hoàn thành đúng hạn","Hoàn thành trễ"),IF(TODAY()&gt;O82,"Quá hạn",IF(R82&gt;0,"Đang thực hiện","Chưa bắt đầu"))))</x:f>
      </x:c>
      <x:c r="W82" s="37" t="str">
        <x:f>IF(G82="","",IFERROR(SUMIF('05_BAO_CAO_NGAY'!$K$6:$K$505,G82,'05_BAO_CAO_NGAY'!$AB$6:$AB$505)/SUMIF('05_BAO_CAO_NGAY'!$K$6:$K$505,G82,'05_BAO_CAO_NGAY'!$AC$6:$AC$505),0))</x:f>
      </x:c>
      <x:c r="X82" s="37" t="str">
        <x:f>IF(G82="","",IFERROR(SUMIFS('05_BAO_CAO_NGAY'!$W$6:$W$505,'05_BAO_CAO_NGAY'!$K$6:$K$505,G82,'05_BAO_CAO_NGAY'!$N$6:$N$505,"PRODUCTION")/SUMIFS('05_BAO_CAO_NGAY'!$U$6:$U$505,'05_BAO_CAO_NGAY'!$K$6:$K$505,G82,'05_BAO_CAO_NGAY'!$N$6:$N$505,"PRODUCTION"),0))</x:f>
      </x:c>
      <x:c r="Y82" s="29" t="str">
        <x:f>IF(G82="","",SUMIF('05_BAO_CAO_NGAY'!$K$6:$K$505,G82,'05_BAO_CAO_NGAY'!$S$6:$S$505))</x:f>
      </x:c>
      <x:c r="Z82" s="21"/>
    </x:row>
    <x:row r="83">
      <x:c r="A83" s="21"/>
      <x:c r="B83" s="21"/>
      <x:c r="C83" s="21"/>
      <x:c r="D83" s="21"/>
      <x:c r="E83" s="21"/>
      <x:c r="F83" s="29" t="str">
        <x:f>IF(OR(B83="",C83=""),"",B83&amp;"|"&amp;C83&amp;"|"&amp;IF(D83="","00",D83)&amp;"|"&amp;IF(E83="","01",E83))</x:f>
      </x:c>
      <x:c r="G83" s="29" t="str">
        <x:f>IF(F83="","",F83&amp;"|"&amp;TEXT(A83,"000"))</x:f>
      </x:c>
      <x:c r="H83" s="21"/>
      <x:c r="I83" s="21"/>
      <x:c r="J83" s="25"/>
      <x:c r="K83" s="25"/>
      <x:c r="L83" s="25"/>
      <x:c r="M83" s="39" t="str">
        <x:f>IF(G83="","",K83+L83*J83)</x:f>
      </x:c>
      <x:c r="N83" s="35"/>
      <x:c r="O83" s="35"/>
      <x:c r="P83" s="21"/>
      <x:c r="Q83" s="21"/>
      <x:c r="R83" s="29" t="str">
        <x:f>IF(G83="","",MIN(J83,SUMIF('05_BAO_CAO_NGAY'!$K$6:$K$505,G83,'05_BAO_CAO_NGAY'!$V$6:$V$505)))</x:f>
      </x:c>
      <x:c r="S83" s="37" t="str">
        <x:f>IF(G83="","",IFERROR(R83/J83,0))</x:f>
      </x:c>
      <x:c r="T83" s="41" t="str">
        <x:f>IF(OR(G83="",COUNTIF('05_BAO_CAO_NGAY'!$K$6:$K$505,G83)=0),"",_xlfn.MINIFS('05_BAO_CAO_NGAY'!$B$6:$B$505,'05_BAO_CAO_NGAY'!$K$6:$K$505,G83))</x:f>
      </x:c>
      <x:c r="U83" s="41" t="str">
        <x:f>IF(OR(G83="",S83&lt;1),"",_xlfn.MAXIFS('05_BAO_CAO_NGAY'!$B$6:$B$505,'05_BAO_CAO_NGAY'!$K$6:$K$505,G83))</x:f>
      </x:c>
      <x:c r="V83" s="29" t="str">
        <x:f>IF(G83="","",IF(S83&gt;=1,IF(U83&lt;=O83,"Hoàn thành đúng hạn","Hoàn thành trễ"),IF(TODAY()&gt;O83,"Quá hạn",IF(R83&gt;0,"Đang thực hiện","Chưa bắt đầu"))))</x:f>
      </x:c>
      <x:c r="W83" s="37" t="str">
        <x:f>IF(G83="","",IFERROR(SUMIF('05_BAO_CAO_NGAY'!$K$6:$K$505,G83,'05_BAO_CAO_NGAY'!$AB$6:$AB$505)/SUMIF('05_BAO_CAO_NGAY'!$K$6:$K$505,G83,'05_BAO_CAO_NGAY'!$AC$6:$AC$505),0))</x:f>
      </x:c>
      <x:c r="X83" s="37" t="str">
        <x:f>IF(G83="","",IFERROR(SUMIFS('05_BAO_CAO_NGAY'!$W$6:$W$505,'05_BAO_CAO_NGAY'!$K$6:$K$505,G83,'05_BAO_CAO_NGAY'!$N$6:$N$505,"PRODUCTION")/SUMIFS('05_BAO_CAO_NGAY'!$U$6:$U$505,'05_BAO_CAO_NGAY'!$K$6:$K$505,G83,'05_BAO_CAO_NGAY'!$N$6:$N$505,"PRODUCTION"),0))</x:f>
      </x:c>
      <x:c r="Y83" s="29" t="str">
        <x:f>IF(G83="","",SUMIF('05_BAO_CAO_NGAY'!$K$6:$K$505,G83,'05_BAO_CAO_NGAY'!$S$6:$S$505))</x:f>
      </x:c>
      <x:c r="Z83" s="21"/>
    </x:row>
    <x:row r="84">
      <x:c r="A84" s="21"/>
      <x:c r="B84" s="21"/>
      <x:c r="C84" s="21"/>
      <x:c r="D84" s="21"/>
      <x:c r="E84" s="21"/>
      <x:c r="F84" s="29" t="str">
        <x:f>IF(OR(B84="",C84=""),"",B84&amp;"|"&amp;C84&amp;"|"&amp;IF(D84="","00",D84)&amp;"|"&amp;IF(E84="","01",E84))</x:f>
      </x:c>
      <x:c r="G84" s="29" t="str">
        <x:f>IF(F84="","",F84&amp;"|"&amp;TEXT(A84,"000"))</x:f>
      </x:c>
      <x:c r="H84" s="21"/>
      <x:c r="I84" s="21"/>
      <x:c r="J84" s="25"/>
      <x:c r="K84" s="25"/>
      <x:c r="L84" s="25"/>
      <x:c r="M84" s="39" t="str">
        <x:f>IF(G84="","",K84+L84*J84)</x:f>
      </x:c>
      <x:c r="N84" s="35"/>
      <x:c r="O84" s="35"/>
      <x:c r="P84" s="21"/>
      <x:c r="Q84" s="21"/>
      <x:c r="R84" s="29" t="str">
        <x:f>IF(G84="","",MIN(J84,SUMIF('05_BAO_CAO_NGAY'!$K$6:$K$505,G84,'05_BAO_CAO_NGAY'!$V$6:$V$505)))</x:f>
      </x:c>
      <x:c r="S84" s="37" t="str">
        <x:f>IF(G84="","",IFERROR(R84/J84,0))</x:f>
      </x:c>
      <x:c r="T84" s="41" t="str">
        <x:f>IF(OR(G84="",COUNTIF('05_BAO_CAO_NGAY'!$K$6:$K$505,G84)=0),"",_xlfn.MINIFS('05_BAO_CAO_NGAY'!$B$6:$B$505,'05_BAO_CAO_NGAY'!$K$6:$K$505,G84))</x:f>
      </x:c>
      <x:c r="U84" s="41" t="str">
        <x:f>IF(OR(G84="",S84&lt;1),"",_xlfn.MAXIFS('05_BAO_CAO_NGAY'!$B$6:$B$505,'05_BAO_CAO_NGAY'!$K$6:$K$505,G84))</x:f>
      </x:c>
      <x:c r="V84" s="29" t="str">
        <x:f>IF(G84="","",IF(S84&gt;=1,IF(U84&lt;=O84,"Hoàn thành đúng hạn","Hoàn thành trễ"),IF(TODAY()&gt;O84,"Quá hạn",IF(R84&gt;0,"Đang thực hiện","Chưa bắt đầu"))))</x:f>
      </x:c>
      <x:c r="W84" s="37" t="str">
        <x:f>IF(G84="","",IFERROR(SUMIF('05_BAO_CAO_NGAY'!$K$6:$K$505,G84,'05_BAO_CAO_NGAY'!$AB$6:$AB$505)/SUMIF('05_BAO_CAO_NGAY'!$K$6:$K$505,G84,'05_BAO_CAO_NGAY'!$AC$6:$AC$505),0))</x:f>
      </x:c>
      <x:c r="X84" s="37" t="str">
        <x:f>IF(G84="","",IFERROR(SUMIFS('05_BAO_CAO_NGAY'!$W$6:$W$505,'05_BAO_CAO_NGAY'!$K$6:$K$505,G84,'05_BAO_CAO_NGAY'!$N$6:$N$505,"PRODUCTION")/SUMIFS('05_BAO_CAO_NGAY'!$U$6:$U$505,'05_BAO_CAO_NGAY'!$K$6:$K$505,G84,'05_BAO_CAO_NGAY'!$N$6:$N$505,"PRODUCTION"),0))</x:f>
      </x:c>
      <x:c r="Y84" s="29" t="str">
        <x:f>IF(G84="","",SUMIF('05_BAO_CAO_NGAY'!$K$6:$K$505,G84,'05_BAO_CAO_NGAY'!$S$6:$S$505))</x:f>
      </x:c>
      <x:c r="Z84" s="21"/>
    </x:row>
    <x:row r="85">
      <x:c r="A85" s="21"/>
      <x:c r="B85" s="21"/>
      <x:c r="C85" s="21"/>
      <x:c r="D85" s="21"/>
      <x:c r="E85" s="21"/>
      <x:c r="F85" s="29" t="str">
        <x:f>IF(OR(B85="",C85=""),"",B85&amp;"|"&amp;C85&amp;"|"&amp;IF(D85="","00",D85)&amp;"|"&amp;IF(E85="","01",E85))</x:f>
      </x:c>
      <x:c r="G85" s="29" t="str">
        <x:f>IF(F85="","",F85&amp;"|"&amp;TEXT(A85,"000"))</x:f>
      </x:c>
      <x:c r="H85" s="21"/>
      <x:c r="I85" s="21"/>
      <x:c r="J85" s="25"/>
      <x:c r="K85" s="25"/>
      <x:c r="L85" s="25"/>
      <x:c r="M85" s="39" t="str">
        <x:f>IF(G85="","",K85+L85*J85)</x:f>
      </x:c>
      <x:c r="N85" s="35"/>
      <x:c r="O85" s="35"/>
      <x:c r="P85" s="21"/>
      <x:c r="Q85" s="21"/>
      <x:c r="R85" s="29" t="str">
        <x:f>IF(G85="","",MIN(J85,SUMIF('05_BAO_CAO_NGAY'!$K$6:$K$505,G85,'05_BAO_CAO_NGAY'!$V$6:$V$505)))</x:f>
      </x:c>
      <x:c r="S85" s="37" t="str">
        <x:f>IF(G85="","",IFERROR(R85/J85,0))</x:f>
      </x:c>
      <x:c r="T85" s="41" t="str">
        <x:f>IF(OR(G85="",COUNTIF('05_BAO_CAO_NGAY'!$K$6:$K$505,G85)=0),"",_xlfn.MINIFS('05_BAO_CAO_NGAY'!$B$6:$B$505,'05_BAO_CAO_NGAY'!$K$6:$K$505,G85))</x:f>
      </x:c>
      <x:c r="U85" s="41" t="str">
        <x:f>IF(OR(G85="",S85&lt;1),"",_xlfn.MAXIFS('05_BAO_CAO_NGAY'!$B$6:$B$505,'05_BAO_CAO_NGAY'!$K$6:$K$505,G85))</x:f>
      </x:c>
      <x:c r="V85" s="29" t="str">
        <x:f>IF(G85="","",IF(S85&gt;=1,IF(U85&lt;=O85,"Hoàn thành đúng hạn","Hoàn thành trễ"),IF(TODAY()&gt;O85,"Quá hạn",IF(R85&gt;0,"Đang thực hiện","Chưa bắt đầu"))))</x:f>
      </x:c>
      <x:c r="W85" s="37" t="str">
        <x:f>IF(G85="","",IFERROR(SUMIF('05_BAO_CAO_NGAY'!$K$6:$K$505,G85,'05_BAO_CAO_NGAY'!$AB$6:$AB$505)/SUMIF('05_BAO_CAO_NGAY'!$K$6:$K$505,G85,'05_BAO_CAO_NGAY'!$AC$6:$AC$505),0))</x:f>
      </x:c>
      <x:c r="X85" s="37" t="str">
        <x:f>IF(G85="","",IFERROR(SUMIFS('05_BAO_CAO_NGAY'!$W$6:$W$505,'05_BAO_CAO_NGAY'!$K$6:$K$505,G85,'05_BAO_CAO_NGAY'!$N$6:$N$505,"PRODUCTION")/SUMIFS('05_BAO_CAO_NGAY'!$U$6:$U$505,'05_BAO_CAO_NGAY'!$K$6:$K$505,G85,'05_BAO_CAO_NGAY'!$N$6:$N$505,"PRODUCTION"),0))</x:f>
      </x:c>
      <x:c r="Y85" s="29" t="str">
        <x:f>IF(G85="","",SUMIF('05_BAO_CAO_NGAY'!$K$6:$K$505,G85,'05_BAO_CAO_NGAY'!$S$6:$S$505))</x:f>
      </x:c>
      <x:c r="Z85" s="21"/>
    </x:row>
    <x:row r="86">
      <x:c r="A86" s="21"/>
      <x:c r="B86" s="21"/>
      <x:c r="C86" s="21"/>
      <x:c r="D86" s="21"/>
      <x:c r="E86" s="21"/>
      <x:c r="F86" s="29" t="str">
        <x:f>IF(OR(B86="",C86=""),"",B86&amp;"|"&amp;C86&amp;"|"&amp;IF(D86="","00",D86)&amp;"|"&amp;IF(E86="","01",E86))</x:f>
      </x:c>
      <x:c r="G86" s="29" t="str">
        <x:f>IF(F86="","",F86&amp;"|"&amp;TEXT(A86,"000"))</x:f>
      </x:c>
      <x:c r="H86" s="21"/>
      <x:c r="I86" s="21"/>
      <x:c r="J86" s="25"/>
      <x:c r="K86" s="25"/>
      <x:c r="L86" s="25"/>
      <x:c r="M86" s="39" t="str">
        <x:f>IF(G86="","",K86+L86*J86)</x:f>
      </x:c>
      <x:c r="N86" s="35"/>
      <x:c r="O86" s="35"/>
      <x:c r="P86" s="21"/>
      <x:c r="Q86" s="21"/>
      <x:c r="R86" s="29" t="str">
        <x:f>IF(G86="","",MIN(J86,SUMIF('05_BAO_CAO_NGAY'!$K$6:$K$505,G86,'05_BAO_CAO_NGAY'!$V$6:$V$505)))</x:f>
      </x:c>
      <x:c r="S86" s="37" t="str">
        <x:f>IF(G86="","",IFERROR(R86/J86,0))</x:f>
      </x:c>
      <x:c r="T86" s="41" t="str">
        <x:f>IF(OR(G86="",COUNTIF('05_BAO_CAO_NGAY'!$K$6:$K$505,G86)=0),"",_xlfn.MINIFS('05_BAO_CAO_NGAY'!$B$6:$B$505,'05_BAO_CAO_NGAY'!$K$6:$K$505,G86))</x:f>
      </x:c>
      <x:c r="U86" s="41" t="str">
        <x:f>IF(OR(G86="",S86&lt;1),"",_xlfn.MAXIFS('05_BAO_CAO_NGAY'!$B$6:$B$505,'05_BAO_CAO_NGAY'!$K$6:$K$505,G86))</x:f>
      </x:c>
      <x:c r="V86" s="29" t="str">
        <x:f>IF(G86="","",IF(S86&gt;=1,IF(U86&lt;=O86,"Hoàn thành đúng hạn","Hoàn thành trễ"),IF(TODAY()&gt;O86,"Quá hạn",IF(R86&gt;0,"Đang thực hiện","Chưa bắt đầu"))))</x:f>
      </x:c>
      <x:c r="W86" s="37" t="str">
        <x:f>IF(G86="","",IFERROR(SUMIF('05_BAO_CAO_NGAY'!$K$6:$K$505,G86,'05_BAO_CAO_NGAY'!$AB$6:$AB$505)/SUMIF('05_BAO_CAO_NGAY'!$K$6:$K$505,G86,'05_BAO_CAO_NGAY'!$AC$6:$AC$505),0))</x:f>
      </x:c>
      <x:c r="X86" s="37" t="str">
        <x:f>IF(G86="","",IFERROR(SUMIFS('05_BAO_CAO_NGAY'!$W$6:$W$505,'05_BAO_CAO_NGAY'!$K$6:$K$505,G86,'05_BAO_CAO_NGAY'!$N$6:$N$505,"PRODUCTION")/SUMIFS('05_BAO_CAO_NGAY'!$U$6:$U$505,'05_BAO_CAO_NGAY'!$K$6:$K$505,G86,'05_BAO_CAO_NGAY'!$N$6:$N$505,"PRODUCTION"),0))</x:f>
      </x:c>
      <x:c r="Y86" s="29" t="str">
        <x:f>IF(G86="","",SUMIF('05_BAO_CAO_NGAY'!$K$6:$K$505,G86,'05_BAO_CAO_NGAY'!$S$6:$S$505))</x:f>
      </x:c>
      <x:c r="Z86" s="21"/>
    </x:row>
    <x:row r="87">
      <x:c r="A87" s="21"/>
      <x:c r="B87" s="21"/>
      <x:c r="C87" s="21"/>
      <x:c r="D87" s="21"/>
      <x:c r="E87" s="21"/>
      <x:c r="F87" s="29" t="str">
        <x:f>IF(OR(B87="",C87=""),"",B87&amp;"|"&amp;C87&amp;"|"&amp;IF(D87="","00",D87)&amp;"|"&amp;IF(E87="","01",E87))</x:f>
      </x:c>
      <x:c r="G87" s="29" t="str">
        <x:f>IF(F87="","",F87&amp;"|"&amp;TEXT(A87,"000"))</x:f>
      </x:c>
      <x:c r="H87" s="21"/>
      <x:c r="I87" s="21"/>
      <x:c r="J87" s="25"/>
      <x:c r="K87" s="25"/>
      <x:c r="L87" s="25"/>
      <x:c r="M87" s="39" t="str">
        <x:f>IF(G87="","",K87+L87*J87)</x:f>
      </x:c>
      <x:c r="N87" s="35"/>
      <x:c r="O87" s="35"/>
      <x:c r="P87" s="21"/>
      <x:c r="Q87" s="21"/>
      <x:c r="R87" s="29" t="str">
        <x:f>IF(G87="","",MIN(J87,SUMIF('05_BAO_CAO_NGAY'!$K$6:$K$505,G87,'05_BAO_CAO_NGAY'!$V$6:$V$505)))</x:f>
      </x:c>
      <x:c r="S87" s="37" t="str">
        <x:f>IF(G87="","",IFERROR(R87/J87,0))</x:f>
      </x:c>
      <x:c r="T87" s="41" t="str">
        <x:f>IF(OR(G87="",COUNTIF('05_BAO_CAO_NGAY'!$K$6:$K$505,G87)=0),"",_xlfn.MINIFS('05_BAO_CAO_NGAY'!$B$6:$B$505,'05_BAO_CAO_NGAY'!$K$6:$K$505,G87))</x:f>
      </x:c>
      <x:c r="U87" s="41" t="str">
        <x:f>IF(OR(G87="",S87&lt;1),"",_xlfn.MAXIFS('05_BAO_CAO_NGAY'!$B$6:$B$505,'05_BAO_CAO_NGAY'!$K$6:$K$505,G87))</x:f>
      </x:c>
      <x:c r="V87" s="29" t="str">
        <x:f>IF(G87="","",IF(S87&gt;=1,IF(U87&lt;=O87,"Hoàn thành đúng hạn","Hoàn thành trễ"),IF(TODAY()&gt;O87,"Quá hạn",IF(R87&gt;0,"Đang thực hiện","Chưa bắt đầu"))))</x:f>
      </x:c>
      <x:c r="W87" s="37" t="str">
        <x:f>IF(G87="","",IFERROR(SUMIF('05_BAO_CAO_NGAY'!$K$6:$K$505,G87,'05_BAO_CAO_NGAY'!$AB$6:$AB$505)/SUMIF('05_BAO_CAO_NGAY'!$K$6:$K$505,G87,'05_BAO_CAO_NGAY'!$AC$6:$AC$505),0))</x:f>
      </x:c>
      <x:c r="X87" s="37" t="str">
        <x:f>IF(G87="","",IFERROR(SUMIFS('05_BAO_CAO_NGAY'!$W$6:$W$505,'05_BAO_CAO_NGAY'!$K$6:$K$505,G87,'05_BAO_CAO_NGAY'!$N$6:$N$505,"PRODUCTION")/SUMIFS('05_BAO_CAO_NGAY'!$U$6:$U$505,'05_BAO_CAO_NGAY'!$K$6:$K$505,G87,'05_BAO_CAO_NGAY'!$N$6:$N$505,"PRODUCTION"),0))</x:f>
      </x:c>
      <x:c r="Y87" s="29" t="str">
        <x:f>IF(G87="","",SUMIF('05_BAO_CAO_NGAY'!$K$6:$K$505,G87,'05_BAO_CAO_NGAY'!$S$6:$S$505))</x:f>
      </x:c>
      <x:c r="Z87" s="21"/>
    </x:row>
    <x:row r="88">
      <x:c r="A88" s="21"/>
      <x:c r="B88" s="21"/>
      <x:c r="C88" s="21"/>
      <x:c r="D88" s="21"/>
      <x:c r="E88" s="21"/>
      <x:c r="F88" s="29" t="str">
        <x:f>IF(OR(B88="",C88=""),"",B88&amp;"|"&amp;C88&amp;"|"&amp;IF(D88="","00",D88)&amp;"|"&amp;IF(E88="","01",E88))</x:f>
      </x:c>
      <x:c r="G88" s="29" t="str">
        <x:f>IF(F88="","",F88&amp;"|"&amp;TEXT(A88,"000"))</x:f>
      </x:c>
      <x:c r="H88" s="21"/>
      <x:c r="I88" s="21"/>
      <x:c r="J88" s="25"/>
      <x:c r="K88" s="25"/>
      <x:c r="L88" s="25"/>
      <x:c r="M88" s="39" t="str">
        <x:f>IF(G88="","",K88+L88*J88)</x:f>
      </x:c>
      <x:c r="N88" s="35"/>
      <x:c r="O88" s="35"/>
      <x:c r="P88" s="21"/>
      <x:c r="Q88" s="21"/>
      <x:c r="R88" s="29" t="str">
        <x:f>IF(G88="","",MIN(J88,SUMIF('05_BAO_CAO_NGAY'!$K$6:$K$505,G88,'05_BAO_CAO_NGAY'!$V$6:$V$505)))</x:f>
      </x:c>
      <x:c r="S88" s="37" t="str">
        <x:f>IF(G88="","",IFERROR(R88/J88,0))</x:f>
      </x:c>
      <x:c r="T88" s="41" t="str">
        <x:f>IF(OR(G88="",COUNTIF('05_BAO_CAO_NGAY'!$K$6:$K$505,G88)=0),"",_xlfn.MINIFS('05_BAO_CAO_NGAY'!$B$6:$B$505,'05_BAO_CAO_NGAY'!$K$6:$K$505,G88))</x:f>
      </x:c>
      <x:c r="U88" s="41" t="str">
        <x:f>IF(OR(G88="",S88&lt;1),"",_xlfn.MAXIFS('05_BAO_CAO_NGAY'!$B$6:$B$505,'05_BAO_CAO_NGAY'!$K$6:$K$505,G88))</x:f>
      </x:c>
      <x:c r="V88" s="29" t="str">
        <x:f>IF(G88="","",IF(S88&gt;=1,IF(U88&lt;=O88,"Hoàn thành đúng hạn","Hoàn thành trễ"),IF(TODAY()&gt;O88,"Quá hạn",IF(R88&gt;0,"Đang thực hiện","Chưa bắt đầu"))))</x:f>
      </x:c>
      <x:c r="W88" s="37" t="str">
        <x:f>IF(G88="","",IFERROR(SUMIF('05_BAO_CAO_NGAY'!$K$6:$K$505,G88,'05_BAO_CAO_NGAY'!$AB$6:$AB$505)/SUMIF('05_BAO_CAO_NGAY'!$K$6:$K$505,G88,'05_BAO_CAO_NGAY'!$AC$6:$AC$505),0))</x:f>
      </x:c>
      <x:c r="X88" s="37" t="str">
        <x:f>IF(G88="","",IFERROR(SUMIFS('05_BAO_CAO_NGAY'!$W$6:$W$505,'05_BAO_CAO_NGAY'!$K$6:$K$505,G88,'05_BAO_CAO_NGAY'!$N$6:$N$505,"PRODUCTION")/SUMIFS('05_BAO_CAO_NGAY'!$U$6:$U$505,'05_BAO_CAO_NGAY'!$K$6:$K$505,G88,'05_BAO_CAO_NGAY'!$N$6:$N$505,"PRODUCTION"),0))</x:f>
      </x:c>
      <x:c r="Y88" s="29" t="str">
        <x:f>IF(G88="","",SUMIF('05_BAO_CAO_NGAY'!$K$6:$K$505,G88,'05_BAO_CAO_NGAY'!$S$6:$S$505))</x:f>
      </x:c>
      <x:c r="Z88" s="21"/>
    </x:row>
    <x:row r="89">
      <x:c r="A89" s="21"/>
      <x:c r="B89" s="21"/>
      <x:c r="C89" s="21"/>
      <x:c r="D89" s="21"/>
      <x:c r="E89" s="21"/>
      <x:c r="F89" s="29" t="str">
        <x:f>IF(OR(B89="",C89=""),"",B89&amp;"|"&amp;C89&amp;"|"&amp;IF(D89="","00",D89)&amp;"|"&amp;IF(E89="","01",E89))</x:f>
      </x:c>
      <x:c r="G89" s="29" t="str">
        <x:f>IF(F89="","",F89&amp;"|"&amp;TEXT(A89,"000"))</x:f>
      </x:c>
      <x:c r="H89" s="21"/>
      <x:c r="I89" s="21"/>
      <x:c r="J89" s="25"/>
      <x:c r="K89" s="25"/>
      <x:c r="L89" s="25"/>
      <x:c r="M89" s="39" t="str">
        <x:f>IF(G89="","",K89+L89*J89)</x:f>
      </x:c>
      <x:c r="N89" s="35"/>
      <x:c r="O89" s="35"/>
      <x:c r="P89" s="21"/>
      <x:c r="Q89" s="21"/>
      <x:c r="R89" s="29" t="str">
        <x:f>IF(G89="","",MIN(J89,SUMIF('05_BAO_CAO_NGAY'!$K$6:$K$505,G89,'05_BAO_CAO_NGAY'!$V$6:$V$505)))</x:f>
      </x:c>
      <x:c r="S89" s="37" t="str">
        <x:f>IF(G89="","",IFERROR(R89/J89,0))</x:f>
      </x:c>
      <x:c r="T89" s="41" t="str">
        <x:f>IF(OR(G89="",COUNTIF('05_BAO_CAO_NGAY'!$K$6:$K$505,G89)=0),"",_xlfn.MINIFS('05_BAO_CAO_NGAY'!$B$6:$B$505,'05_BAO_CAO_NGAY'!$K$6:$K$505,G89))</x:f>
      </x:c>
      <x:c r="U89" s="41" t="str">
        <x:f>IF(OR(G89="",S89&lt;1),"",_xlfn.MAXIFS('05_BAO_CAO_NGAY'!$B$6:$B$505,'05_BAO_CAO_NGAY'!$K$6:$K$505,G89))</x:f>
      </x:c>
      <x:c r="V89" s="29" t="str">
        <x:f>IF(G89="","",IF(S89&gt;=1,IF(U89&lt;=O89,"Hoàn thành đúng hạn","Hoàn thành trễ"),IF(TODAY()&gt;O89,"Quá hạn",IF(R89&gt;0,"Đang thực hiện","Chưa bắt đầu"))))</x:f>
      </x:c>
      <x:c r="W89" s="37" t="str">
        <x:f>IF(G89="","",IFERROR(SUMIF('05_BAO_CAO_NGAY'!$K$6:$K$505,G89,'05_BAO_CAO_NGAY'!$AB$6:$AB$505)/SUMIF('05_BAO_CAO_NGAY'!$K$6:$K$505,G89,'05_BAO_CAO_NGAY'!$AC$6:$AC$505),0))</x:f>
      </x:c>
      <x:c r="X89" s="37" t="str">
        <x:f>IF(G89="","",IFERROR(SUMIFS('05_BAO_CAO_NGAY'!$W$6:$W$505,'05_BAO_CAO_NGAY'!$K$6:$K$505,G89,'05_BAO_CAO_NGAY'!$N$6:$N$505,"PRODUCTION")/SUMIFS('05_BAO_CAO_NGAY'!$U$6:$U$505,'05_BAO_CAO_NGAY'!$K$6:$K$505,G89,'05_BAO_CAO_NGAY'!$N$6:$N$505,"PRODUCTION"),0))</x:f>
      </x:c>
      <x:c r="Y89" s="29" t="str">
        <x:f>IF(G89="","",SUMIF('05_BAO_CAO_NGAY'!$K$6:$K$505,G89,'05_BAO_CAO_NGAY'!$S$6:$S$505))</x:f>
      </x:c>
      <x:c r="Z89" s="21"/>
    </x:row>
    <x:row r="90">
      <x:c r="A90" s="21"/>
      <x:c r="B90" s="21"/>
      <x:c r="C90" s="21"/>
      <x:c r="D90" s="21"/>
      <x:c r="E90" s="21"/>
      <x:c r="F90" s="29" t="str">
        <x:f>IF(OR(B90="",C90=""),"",B90&amp;"|"&amp;C90&amp;"|"&amp;IF(D90="","00",D90)&amp;"|"&amp;IF(E90="","01",E90))</x:f>
      </x:c>
      <x:c r="G90" s="29" t="str">
        <x:f>IF(F90="","",F90&amp;"|"&amp;TEXT(A90,"000"))</x:f>
      </x:c>
      <x:c r="H90" s="21"/>
      <x:c r="I90" s="21"/>
      <x:c r="J90" s="25"/>
      <x:c r="K90" s="25"/>
      <x:c r="L90" s="25"/>
      <x:c r="M90" s="39" t="str">
        <x:f>IF(G90="","",K90+L90*J90)</x:f>
      </x:c>
      <x:c r="N90" s="35"/>
      <x:c r="O90" s="35"/>
      <x:c r="P90" s="21"/>
      <x:c r="Q90" s="21"/>
      <x:c r="R90" s="29" t="str">
        <x:f>IF(G90="","",MIN(J90,SUMIF('05_BAO_CAO_NGAY'!$K$6:$K$505,G90,'05_BAO_CAO_NGAY'!$V$6:$V$505)))</x:f>
      </x:c>
      <x:c r="S90" s="37" t="str">
        <x:f>IF(G90="","",IFERROR(R90/J90,0))</x:f>
      </x:c>
      <x:c r="T90" s="41" t="str">
        <x:f>IF(OR(G90="",COUNTIF('05_BAO_CAO_NGAY'!$K$6:$K$505,G90)=0),"",_xlfn.MINIFS('05_BAO_CAO_NGAY'!$B$6:$B$505,'05_BAO_CAO_NGAY'!$K$6:$K$505,G90))</x:f>
      </x:c>
      <x:c r="U90" s="41" t="str">
        <x:f>IF(OR(G90="",S90&lt;1),"",_xlfn.MAXIFS('05_BAO_CAO_NGAY'!$B$6:$B$505,'05_BAO_CAO_NGAY'!$K$6:$K$505,G90))</x:f>
      </x:c>
      <x:c r="V90" s="29" t="str">
        <x:f>IF(G90="","",IF(S90&gt;=1,IF(U90&lt;=O90,"Hoàn thành đúng hạn","Hoàn thành trễ"),IF(TODAY()&gt;O90,"Quá hạn",IF(R90&gt;0,"Đang thực hiện","Chưa bắt đầu"))))</x:f>
      </x:c>
      <x:c r="W90" s="37" t="str">
        <x:f>IF(G90="","",IFERROR(SUMIF('05_BAO_CAO_NGAY'!$K$6:$K$505,G90,'05_BAO_CAO_NGAY'!$AB$6:$AB$505)/SUMIF('05_BAO_CAO_NGAY'!$K$6:$K$505,G90,'05_BAO_CAO_NGAY'!$AC$6:$AC$505),0))</x:f>
      </x:c>
      <x:c r="X90" s="37" t="str">
        <x:f>IF(G90="","",IFERROR(SUMIFS('05_BAO_CAO_NGAY'!$W$6:$W$505,'05_BAO_CAO_NGAY'!$K$6:$K$505,G90,'05_BAO_CAO_NGAY'!$N$6:$N$505,"PRODUCTION")/SUMIFS('05_BAO_CAO_NGAY'!$U$6:$U$505,'05_BAO_CAO_NGAY'!$K$6:$K$505,G90,'05_BAO_CAO_NGAY'!$N$6:$N$505,"PRODUCTION"),0))</x:f>
      </x:c>
      <x:c r="Y90" s="29" t="str">
        <x:f>IF(G90="","",SUMIF('05_BAO_CAO_NGAY'!$K$6:$K$505,G90,'05_BAO_CAO_NGAY'!$S$6:$S$505))</x:f>
      </x:c>
      <x:c r="Z90" s="21"/>
    </x:row>
    <x:row r="91">
      <x:c r="A91" s="21"/>
      <x:c r="B91" s="21"/>
      <x:c r="C91" s="21"/>
      <x:c r="D91" s="21"/>
      <x:c r="E91" s="21"/>
      <x:c r="F91" s="29" t="str">
        <x:f>IF(OR(B91="",C91=""),"",B91&amp;"|"&amp;C91&amp;"|"&amp;IF(D91="","00",D91)&amp;"|"&amp;IF(E91="","01",E91))</x:f>
      </x:c>
      <x:c r="G91" s="29" t="str">
        <x:f>IF(F91="","",F91&amp;"|"&amp;TEXT(A91,"000"))</x:f>
      </x:c>
      <x:c r="H91" s="21"/>
      <x:c r="I91" s="21"/>
      <x:c r="J91" s="25"/>
      <x:c r="K91" s="25"/>
      <x:c r="L91" s="25"/>
      <x:c r="M91" s="39" t="str">
        <x:f>IF(G91="","",K91+L91*J91)</x:f>
      </x:c>
      <x:c r="N91" s="35"/>
      <x:c r="O91" s="35"/>
      <x:c r="P91" s="21"/>
      <x:c r="Q91" s="21"/>
      <x:c r="R91" s="29" t="str">
        <x:f>IF(G91="","",MIN(J91,SUMIF('05_BAO_CAO_NGAY'!$K$6:$K$505,G91,'05_BAO_CAO_NGAY'!$V$6:$V$505)))</x:f>
      </x:c>
      <x:c r="S91" s="37" t="str">
        <x:f>IF(G91="","",IFERROR(R91/J91,0))</x:f>
      </x:c>
      <x:c r="T91" s="41" t="str">
        <x:f>IF(OR(G91="",COUNTIF('05_BAO_CAO_NGAY'!$K$6:$K$505,G91)=0),"",_xlfn.MINIFS('05_BAO_CAO_NGAY'!$B$6:$B$505,'05_BAO_CAO_NGAY'!$K$6:$K$505,G91))</x:f>
      </x:c>
      <x:c r="U91" s="41" t="str">
        <x:f>IF(OR(G91="",S91&lt;1),"",_xlfn.MAXIFS('05_BAO_CAO_NGAY'!$B$6:$B$505,'05_BAO_CAO_NGAY'!$K$6:$K$505,G91))</x:f>
      </x:c>
      <x:c r="V91" s="29" t="str">
        <x:f>IF(G91="","",IF(S91&gt;=1,IF(U91&lt;=O91,"Hoàn thành đúng hạn","Hoàn thành trễ"),IF(TODAY()&gt;O91,"Quá hạn",IF(R91&gt;0,"Đang thực hiện","Chưa bắt đầu"))))</x:f>
      </x:c>
      <x:c r="W91" s="37" t="str">
        <x:f>IF(G91="","",IFERROR(SUMIF('05_BAO_CAO_NGAY'!$K$6:$K$505,G91,'05_BAO_CAO_NGAY'!$AB$6:$AB$505)/SUMIF('05_BAO_CAO_NGAY'!$K$6:$K$505,G91,'05_BAO_CAO_NGAY'!$AC$6:$AC$505),0))</x:f>
      </x:c>
      <x:c r="X91" s="37" t="str">
        <x:f>IF(G91="","",IFERROR(SUMIFS('05_BAO_CAO_NGAY'!$W$6:$W$505,'05_BAO_CAO_NGAY'!$K$6:$K$505,G91,'05_BAO_CAO_NGAY'!$N$6:$N$505,"PRODUCTION")/SUMIFS('05_BAO_CAO_NGAY'!$U$6:$U$505,'05_BAO_CAO_NGAY'!$K$6:$K$505,G91,'05_BAO_CAO_NGAY'!$N$6:$N$505,"PRODUCTION"),0))</x:f>
      </x:c>
      <x:c r="Y91" s="29" t="str">
        <x:f>IF(G91="","",SUMIF('05_BAO_CAO_NGAY'!$K$6:$K$505,G91,'05_BAO_CAO_NGAY'!$S$6:$S$505))</x:f>
      </x:c>
      <x:c r="Z91" s="21"/>
    </x:row>
    <x:row r="92">
      <x:c r="A92" s="21"/>
      <x:c r="B92" s="21"/>
      <x:c r="C92" s="21"/>
      <x:c r="D92" s="21"/>
      <x:c r="E92" s="21"/>
      <x:c r="F92" s="29" t="str">
        <x:f>IF(OR(B92="",C92=""),"",B92&amp;"|"&amp;C92&amp;"|"&amp;IF(D92="","00",D92)&amp;"|"&amp;IF(E92="","01",E92))</x:f>
      </x:c>
      <x:c r="G92" s="29" t="str">
        <x:f>IF(F92="","",F92&amp;"|"&amp;TEXT(A92,"000"))</x:f>
      </x:c>
      <x:c r="H92" s="21"/>
      <x:c r="I92" s="21"/>
      <x:c r="J92" s="25"/>
      <x:c r="K92" s="25"/>
      <x:c r="L92" s="25"/>
      <x:c r="M92" s="39" t="str">
        <x:f>IF(G92="","",K92+L92*J92)</x:f>
      </x:c>
      <x:c r="N92" s="35"/>
      <x:c r="O92" s="35"/>
      <x:c r="P92" s="21"/>
      <x:c r="Q92" s="21"/>
      <x:c r="R92" s="29" t="str">
        <x:f>IF(G92="","",MIN(J92,SUMIF('05_BAO_CAO_NGAY'!$K$6:$K$505,G92,'05_BAO_CAO_NGAY'!$V$6:$V$505)))</x:f>
      </x:c>
      <x:c r="S92" s="37" t="str">
        <x:f>IF(G92="","",IFERROR(R92/J92,0))</x:f>
      </x:c>
      <x:c r="T92" s="41" t="str">
        <x:f>IF(OR(G92="",COUNTIF('05_BAO_CAO_NGAY'!$K$6:$K$505,G92)=0),"",_xlfn.MINIFS('05_BAO_CAO_NGAY'!$B$6:$B$505,'05_BAO_CAO_NGAY'!$K$6:$K$505,G92))</x:f>
      </x:c>
      <x:c r="U92" s="41" t="str">
        <x:f>IF(OR(G92="",S92&lt;1),"",_xlfn.MAXIFS('05_BAO_CAO_NGAY'!$B$6:$B$505,'05_BAO_CAO_NGAY'!$K$6:$K$505,G92))</x:f>
      </x:c>
      <x:c r="V92" s="29" t="str">
        <x:f>IF(G92="","",IF(S92&gt;=1,IF(U92&lt;=O92,"Hoàn thành đúng hạn","Hoàn thành trễ"),IF(TODAY()&gt;O92,"Quá hạn",IF(R92&gt;0,"Đang thực hiện","Chưa bắt đầu"))))</x:f>
      </x:c>
      <x:c r="W92" s="37" t="str">
        <x:f>IF(G92="","",IFERROR(SUMIF('05_BAO_CAO_NGAY'!$K$6:$K$505,G92,'05_BAO_CAO_NGAY'!$AB$6:$AB$505)/SUMIF('05_BAO_CAO_NGAY'!$K$6:$K$505,G92,'05_BAO_CAO_NGAY'!$AC$6:$AC$505),0))</x:f>
      </x:c>
      <x:c r="X92" s="37" t="str">
        <x:f>IF(G92="","",IFERROR(SUMIFS('05_BAO_CAO_NGAY'!$W$6:$W$505,'05_BAO_CAO_NGAY'!$K$6:$K$505,G92,'05_BAO_CAO_NGAY'!$N$6:$N$505,"PRODUCTION")/SUMIFS('05_BAO_CAO_NGAY'!$U$6:$U$505,'05_BAO_CAO_NGAY'!$K$6:$K$505,G92,'05_BAO_CAO_NGAY'!$N$6:$N$505,"PRODUCTION"),0))</x:f>
      </x:c>
      <x:c r="Y92" s="29" t="str">
        <x:f>IF(G92="","",SUMIF('05_BAO_CAO_NGAY'!$K$6:$K$505,G92,'05_BAO_CAO_NGAY'!$S$6:$S$505))</x:f>
      </x:c>
      <x:c r="Z92" s="21"/>
    </x:row>
    <x:row r="93">
      <x:c r="A93" s="21"/>
      <x:c r="B93" s="21"/>
      <x:c r="C93" s="21"/>
      <x:c r="D93" s="21"/>
      <x:c r="E93" s="21"/>
      <x:c r="F93" s="29" t="str">
        <x:f>IF(OR(B93="",C93=""),"",B93&amp;"|"&amp;C93&amp;"|"&amp;IF(D93="","00",D93)&amp;"|"&amp;IF(E93="","01",E93))</x:f>
      </x:c>
      <x:c r="G93" s="29" t="str">
        <x:f>IF(F93="","",F93&amp;"|"&amp;TEXT(A93,"000"))</x:f>
      </x:c>
      <x:c r="H93" s="21"/>
      <x:c r="I93" s="21"/>
      <x:c r="J93" s="25"/>
      <x:c r="K93" s="25"/>
      <x:c r="L93" s="25"/>
      <x:c r="M93" s="39" t="str">
        <x:f>IF(G93="","",K93+L93*J93)</x:f>
      </x:c>
      <x:c r="N93" s="35"/>
      <x:c r="O93" s="35"/>
      <x:c r="P93" s="21"/>
      <x:c r="Q93" s="21"/>
      <x:c r="R93" s="29" t="str">
        <x:f>IF(G93="","",MIN(J93,SUMIF('05_BAO_CAO_NGAY'!$K$6:$K$505,G93,'05_BAO_CAO_NGAY'!$V$6:$V$505)))</x:f>
      </x:c>
      <x:c r="S93" s="37" t="str">
        <x:f>IF(G93="","",IFERROR(R93/J93,0))</x:f>
      </x:c>
      <x:c r="T93" s="41" t="str">
        <x:f>IF(OR(G93="",COUNTIF('05_BAO_CAO_NGAY'!$K$6:$K$505,G93)=0),"",_xlfn.MINIFS('05_BAO_CAO_NGAY'!$B$6:$B$505,'05_BAO_CAO_NGAY'!$K$6:$K$505,G93))</x:f>
      </x:c>
      <x:c r="U93" s="41" t="str">
        <x:f>IF(OR(G93="",S93&lt;1),"",_xlfn.MAXIFS('05_BAO_CAO_NGAY'!$B$6:$B$505,'05_BAO_CAO_NGAY'!$K$6:$K$505,G93))</x:f>
      </x:c>
      <x:c r="V93" s="29" t="str">
        <x:f>IF(G93="","",IF(S93&gt;=1,IF(U93&lt;=O93,"Hoàn thành đúng hạn","Hoàn thành trễ"),IF(TODAY()&gt;O93,"Quá hạn",IF(R93&gt;0,"Đang thực hiện","Chưa bắt đầu"))))</x:f>
      </x:c>
      <x:c r="W93" s="37" t="str">
        <x:f>IF(G93="","",IFERROR(SUMIF('05_BAO_CAO_NGAY'!$K$6:$K$505,G93,'05_BAO_CAO_NGAY'!$AB$6:$AB$505)/SUMIF('05_BAO_CAO_NGAY'!$K$6:$K$505,G93,'05_BAO_CAO_NGAY'!$AC$6:$AC$505),0))</x:f>
      </x:c>
      <x:c r="X93" s="37" t="str">
        <x:f>IF(G93="","",IFERROR(SUMIFS('05_BAO_CAO_NGAY'!$W$6:$W$505,'05_BAO_CAO_NGAY'!$K$6:$K$505,G93,'05_BAO_CAO_NGAY'!$N$6:$N$505,"PRODUCTION")/SUMIFS('05_BAO_CAO_NGAY'!$U$6:$U$505,'05_BAO_CAO_NGAY'!$K$6:$K$505,G93,'05_BAO_CAO_NGAY'!$N$6:$N$505,"PRODUCTION"),0))</x:f>
      </x:c>
      <x:c r="Y93" s="29" t="str">
        <x:f>IF(G93="","",SUMIF('05_BAO_CAO_NGAY'!$K$6:$K$505,G93,'05_BAO_CAO_NGAY'!$S$6:$S$505))</x:f>
      </x:c>
      <x:c r="Z93" s="21"/>
    </x:row>
    <x:row r="94">
      <x:c r="A94" s="21"/>
      <x:c r="B94" s="21"/>
      <x:c r="C94" s="21"/>
      <x:c r="D94" s="21"/>
      <x:c r="E94" s="21"/>
      <x:c r="F94" s="29" t="str">
        <x:f>IF(OR(B94="",C94=""),"",B94&amp;"|"&amp;C94&amp;"|"&amp;IF(D94="","00",D94)&amp;"|"&amp;IF(E94="","01",E94))</x:f>
      </x:c>
      <x:c r="G94" s="29" t="str">
        <x:f>IF(F94="","",F94&amp;"|"&amp;TEXT(A94,"000"))</x:f>
      </x:c>
      <x:c r="H94" s="21"/>
      <x:c r="I94" s="21"/>
      <x:c r="J94" s="25"/>
      <x:c r="K94" s="25"/>
      <x:c r="L94" s="25"/>
      <x:c r="M94" s="39" t="str">
        <x:f>IF(G94="","",K94+L94*J94)</x:f>
      </x:c>
      <x:c r="N94" s="35"/>
      <x:c r="O94" s="35"/>
      <x:c r="P94" s="21"/>
      <x:c r="Q94" s="21"/>
      <x:c r="R94" s="29" t="str">
        <x:f>IF(G94="","",MIN(J94,SUMIF('05_BAO_CAO_NGAY'!$K$6:$K$505,G94,'05_BAO_CAO_NGAY'!$V$6:$V$505)))</x:f>
      </x:c>
      <x:c r="S94" s="37" t="str">
        <x:f>IF(G94="","",IFERROR(R94/J94,0))</x:f>
      </x:c>
      <x:c r="T94" s="41" t="str">
        <x:f>IF(OR(G94="",COUNTIF('05_BAO_CAO_NGAY'!$K$6:$K$505,G94)=0),"",_xlfn.MINIFS('05_BAO_CAO_NGAY'!$B$6:$B$505,'05_BAO_CAO_NGAY'!$K$6:$K$505,G94))</x:f>
      </x:c>
      <x:c r="U94" s="41" t="str">
        <x:f>IF(OR(G94="",S94&lt;1),"",_xlfn.MAXIFS('05_BAO_CAO_NGAY'!$B$6:$B$505,'05_BAO_CAO_NGAY'!$K$6:$K$505,G94))</x:f>
      </x:c>
      <x:c r="V94" s="29" t="str">
        <x:f>IF(G94="","",IF(S94&gt;=1,IF(U94&lt;=O94,"Hoàn thành đúng hạn","Hoàn thành trễ"),IF(TODAY()&gt;O94,"Quá hạn",IF(R94&gt;0,"Đang thực hiện","Chưa bắt đầu"))))</x:f>
      </x:c>
      <x:c r="W94" s="37" t="str">
        <x:f>IF(G94="","",IFERROR(SUMIF('05_BAO_CAO_NGAY'!$K$6:$K$505,G94,'05_BAO_CAO_NGAY'!$AB$6:$AB$505)/SUMIF('05_BAO_CAO_NGAY'!$K$6:$K$505,G94,'05_BAO_CAO_NGAY'!$AC$6:$AC$505),0))</x:f>
      </x:c>
      <x:c r="X94" s="37" t="str">
        <x:f>IF(G94="","",IFERROR(SUMIFS('05_BAO_CAO_NGAY'!$W$6:$W$505,'05_BAO_CAO_NGAY'!$K$6:$K$505,G94,'05_BAO_CAO_NGAY'!$N$6:$N$505,"PRODUCTION")/SUMIFS('05_BAO_CAO_NGAY'!$U$6:$U$505,'05_BAO_CAO_NGAY'!$K$6:$K$505,G94,'05_BAO_CAO_NGAY'!$N$6:$N$505,"PRODUCTION"),0))</x:f>
      </x:c>
      <x:c r="Y94" s="29" t="str">
        <x:f>IF(G94="","",SUMIF('05_BAO_CAO_NGAY'!$K$6:$K$505,G94,'05_BAO_CAO_NGAY'!$S$6:$S$505))</x:f>
      </x:c>
      <x:c r="Z94" s="21"/>
    </x:row>
    <x:row r="95">
      <x:c r="A95" s="21"/>
      <x:c r="B95" s="21"/>
      <x:c r="C95" s="21"/>
      <x:c r="D95" s="21"/>
      <x:c r="E95" s="21"/>
      <x:c r="F95" s="29" t="str">
        <x:f>IF(OR(B95="",C95=""),"",B95&amp;"|"&amp;C95&amp;"|"&amp;IF(D95="","00",D95)&amp;"|"&amp;IF(E95="","01",E95))</x:f>
      </x:c>
      <x:c r="G95" s="29" t="str">
        <x:f>IF(F95="","",F95&amp;"|"&amp;TEXT(A95,"000"))</x:f>
      </x:c>
      <x:c r="H95" s="21"/>
      <x:c r="I95" s="21"/>
      <x:c r="J95" s="25"/>
      <x:c r="K95" s="25"/>
      <x:c r="L95" s="25"/>
      <x:c r="M95" s="39" t="str">
        <x:f>IF(G95="","",K95+L95*J95)</x:f>
      </x:c>
      <x:c r="N95" s="35"/>
      <x:c r="O95" s="35"/>
      <x:c r="P95" s="21"/>
      <x:c r="Q95" s="21"/>
      <x:c r="R95" s="29" t="str">
        <x:f>IF(G95="","",MIN(J95,SUMIF('05_BAO_CAO_NGAY'!$K$6:$K$505,G95,'05_BAO_CAO_NGAY'!$V$6:$V$505)))</x:f>
      </x:c>
      <x:c r="S95" s="37" t="str">
        <x:f>IF(G95="","",IFERROR(R95/J95,0))</x:f>
      </x:c>
      <x:c r="T95" s="41" t="str">
        <x:f>IF(OR(G95="",COUNTIF('05_BAO_CAO_NGAY'!$K$6:$K$505,G95)=0),"",_xlfn.MINIFS('05_BAO_CAO_NGAY'!$B$6:$B$505,'05_BAO_CAO_NGAY'!$K$6:$K$505,G95))</x:f>
      </x:c>
      <x:c r="U95" s="41" t="str">
        <x:f>IF(OR(G95="",S95&lt;1),"",_xlfn.MAXIFS('05_BAO_CAO_NGAY'!$B$6:$B$505,'05_BAO_CAO_NGAY'!$K$6:$K$505,G95))</x:f>
      </x:c>
      <x:c r="V95" s="29" t="str">
        <x:f>IF(G95="","",IF(S95&gt;=1,IF(U95&lt;=O95,"Hoàn thành đúng hạn","Hoàn thành trễ"),IF(TODAY()&gt;O95,"Quá hạn",IF(R95&gt;0,"Đang thực hiện","Chưa bắt đầu"))))</x:f>
      </x:c>
      <x:c r="W95" s="37" t="str">
        <x:f>IF(G95="","",IFERROR(SUMIF('05_BAO_CAO_NGAY'!$K$6:$K$505,G95,'05_BAO_CAO_NGAY'!$AB$6:$AB$505)/SUMIF('05_BAO_CAO_NGAY'!$K$6:$K$505,G95,'05_BAO_CAO_NGAY'!$AC$6:$AC$505),0))</x:f>
      </x:c>
      <x:c r="X95" s="37" t="str">
        <x:f>IF(G95="","",IFERROR(SUMIFS('05_BAO_CAO_NGAY'!$W$6:$W$505,'05_BAO_CAO_NGAY'!$K$6:$K$505,G95,'05_BAO_CAO_NGAY'!$N$6:$N$505,"PRODUCTION")/SUMIFS('05_BAO_CAO_NGAY'!$U$6:$U$505,'05_BAO_CAO_NGAY'!$K$6:$K$505,G95,'05_BAO_CAO_NGAY'!$N$6:$N$505,"PRODUCTION"),0))</x:f>
      </x:c>
      <x:c r="Y95" s="29" t="str">
        <x:f>IF(G95="","",SUMIF('05_BAO_CAO_NGAY'!$K$6:$K$505,G95,'05_BAO_CAO_NGAY'!$S$6:$S$505))</x:f>
      </x:c>
      <x:c r="Z95" s="21"/>
    </x:row>
    <x:row r="96">
      <x:c r="A96" s="21"/>
      <x:c r="B96" s="21"/>
      <x:c r="C96" s="21"/>
      <x:c r="D96" s="21"/>
      <x:c r="E96" s="21"/>
      <x:c r="F96" s="29" t="str">
        <x:f>IF(OR(B96="",C96=""),"",B96&amp;"|"&amp;C96&amp;"|"&amp;IF(D96="","00",D96)&amp;"|"&amp;IF(E96="","01",E96))</x:f>
      </x:c>
      <x:c r="G96" s="29" t="str">
        <x:f>IF(F96="","",F96&amp;"|"&amp;TEXT(A96,"000"))</x:f>
      </x:c>
      <x:c r="H96" s="21"/>
      <x:c r="I96" s="21"/>
      <x:c r="J96" s="25"/>
      <x:c r="K96" s="25"/>
      <x:c r="L96" s="25"/>
      <x:c r="M96" s="39" t="str">
        <x:f>IF(G96="","",K96+L96*J96)</x:f>
      </x:c>
      <x:c r="N96" s="35"/>
      <x:c r="O96" s="35"/>
      <x:c r="P96" s="21"/>
      <x:c r="Q96" s="21"/>
      <x:c r="R96" s="29" t="str">
        <x:f>IF(G96="","",MIN(J96,SUMIF('05_BAO_CAO_NGAY'!$K$6:$K$505,G96,'05_BAO_CAO_NGAY'!$V$6:$V$505)))</x:f>
      </x:c>
      <x:c r="S96" s="37" t="str">
        <x:f>IF(G96="","",IFERROR(R96/J96,0))</x:f>
      </x:c>
      <x:c r="T96" s="41" t="str">
        <x:f>IF(OR(G96="",COUNTIF('05_BAO_CAO_NGAY'!$K$6:$K$505,G96)=0),"",_xlfn.MINIFS('05_BAO_CAO_NGAY'!$B$6:$B$505,'05_BAO_CAO_NGAY'!$K$6:$K$505,G96))</x:f>
      </x:c>
      <x:c r="U96" s="41" t="str">
        <x:f>IF(OR(G96="",S96&lt;1),"",_xlfn.MAXIFS('05_BAO_CAO_NGAY'!$B$6:$B$505,'05_BAO_CAO_NGAY'!$K$6:$K$505,G96))</x:f>
      </x:c>
      <x:c r="V96" s="29" t="str">
        <x:f>IF(G96="","",IF(S96&gt;=1,IF(U96&lt;=O96,"Hoàn thành đúng hạn","Hoàn thành trễ"),IF(TODAY()&gt;O96,"Quá hạn",IF(R96&gt;0,"Đang thực hiện","Chưa bắt đầu"))))</x:f>
      </x:c>
      <x:c r="W96" s="37" t="str">
        <x:f>IF(G96="","",IFERROR(SUMIF('05_BAO_CAO_NGAY'!$K$6:$K$505,G96,'05_BAO_CAO_NGAY'!$AB$6:$AB$505)/SUMIF('05_BAO_CAO_NGAY'!$K$6:$K$505,G96,'05_BAO_CAO_NGAY'!$AC$6:$AC$505),0))</x:f>
      </x:c>
      <x:c r="X96" s="37" t="str">
        <x:f>IF(G96="","",IFERROR(SUMIFS('05_BAO_CAO_NGAY'!$W$6:$W$505,'05_BAO_CAO_NGAY'!$K$6:$K$505,G96,'05_BAO_CAO_NGAY'!$N$6:$N$505,"PRODUCTION")/SUMIFS('05_BAO_CAO_NGAY'!$U$6:$U$505,'05_BAO_CAO_NGAY'!$K$6:$K$505,G96,'05_BAO_CAO_NGAY'!$N$6:$N$505,"PRODUCTION"),0))</x:f>
      </x:c>
      <x:c r="Y96" s="29" t="str">
        <x:f>IF(G96="","",SUMIF('05_BAO_CAO_NGAY'!$K$6:$K$505,G96,'05_BAO_CAO_NGAY'!$S$6:$S$505))</x:f>
      </x:c>
      <x:c r="Z96" s="21"/>
    </x:row>
    <x:row r="97">
      <x:c r="A97" s="21"/>
      <x:c r="B97" s="21"/>
      <x:c r="C97" s="21"/>
      <x:c r="D97" s="21"/>
      <x:c r="E97" s="21"/>
      <x:c r="F97" s="29" t="str">
        <x:f>IF(OR(B97="",C97=""),"",B97&amp;"|"&amp;C97&amp;"|"&amp;IF(D97="","00",D97)&amp;"|"&amp;IF(E97="","01",E97))</x:f>
      </x:c>
      <x:c r="G97" s="29" t="str">
        <x:f>IF(F97="","",F97&amp;"|"&amp;TEXT(A97,"000"))</x:f>
      </x:c>
      <x:c r="H97" s="21"/>
      <x:c r="I97" s="21"/>
      <x:c r="J97" s="25"/>
      <x:c r="K97" s="25"/>
      <x:c r="L97" s="25"/>
      <x:c r="M97" s="39" t="str">
        <x:f>IF(G97="","",K97+L97*J97)</x:f>
      </x:c>
      <x:c r="N97" s="35"/>
      <x:c r="O97" s="35"/>
      <x:c r="P97" s="21"/>
      <x:c r="Q97" s="21"/>
      <x:c r="R97" s="29" t="str">
        <x:f>IF(G97="","",MIN(J97,SUMIF('05_BAO_CAO_NGAY'!$K$6:$K$505,G97,'05_BAO_CAO_NGAY'!$V$6:$V$505)))</x:f>
      </x:c>
      <x:c r="S97" s="37" t="str">
        <x:f>IF(G97="","",IFERROR(R97/J97,0))</x:f>
      </x:c>
      <x:c r="T97" s="41" t="str">
        <x:f>IF(OR(G97="",COUNTIF('05_BAO_CAO_NGAY'!$K$6:$K$505,G97)=0),"",_xlfn.MINIFS('05_BAO_CAO_NGAY'!$B$6:$B$505,'05_BAO_CAO_NGAY'!$K$6:$K$505,G97))</x:f>
      </x:c>
      <x:c r="U97" s="41" t="str">
        <x:f>IF(OR(G97="",S97&lt;1),"",_xlfn.MAXIFS('05_BAO_CAO_NGAY'!$B$6:$B$505,'05_BAO_CAO_NGAY'!$K$6:$K$505,G97))</x:f>
      </x:c>
      <x:c r="V97" s="29" t="str">
        <x:f>IF(G97="","",IF(S97&gt;=1,IF(U97&lt;=O97,"Hoàn thành đúng hạn","Hoàn thành trễ"),IF(TODAY()&gt;O97,"Quá hạn",IF(R97&gt;0,"Đang thực hiện","Chưa bắt đầu"))))</x:f>
      </x:c>
      <x:c r="W97" s="37" t="str">
        <x:f>IF(G97="","",IFERROR(SUMIF('05_BAO_CAO_NGAY'!$K$6:$K$505,G97,'05_BAO_CAO_NGAY'!$AB$6:$AB$505)/SUMIF('05_BAO_CAO_NGAY'!$K$6:$K$505,G97,'05_BAO_CAO_NGAY'!$AC$6:$AC$505),0))</x:f>
      </x:c>
      <x:c r="X97" s="37" t="str">
        <x:f>IF(G97="","",IFERROR(SUMIFS('05_BAO_CAO_NGAY'!$W$6:$W$505,'05_BAO_CAO_NGAY'!$K$6:$K$505,G97,'05_BAO_CAO_NGAY'!$N$6:$N$505,"PRODUCTION")/SUMIFS('05_BAO_CAO_NGAY'!$U$6:$U$505,'05_BAO_CAO_NGAY'!$K$6:$K$505,G97,'05_BAO_CAO_NGAY'!$N$6:$N$505,"PRODUCTION"),0))</x:f>
      </x:c>
      <x:c r="Y97" s="29" t="str">
        <x:f>IF(G97="","",SUMIF('05_BAO_CAO_NGAY'!$K$6:$K$505,G97,'05_BAO_CAO_NGAY'!$S$6:$S$505))</x:f>
      </x:c>
      <x:c r="Z97" s="21"/>
    </x:row>
    <x:row r="98">
      <x:c r="A98" s="21"/>
      <x:c r="B98" s="21"/>
      <x:c r="C98" s="21"/>
      <x:c r="D98" s="21"/>
      <x:c r="E98" s="21"/>
      <x:c r="F98" s="29" t="str">
        <x:f>IF(OR(B98="",C98=""),"",B98&amp;"|"&amp;C98&amp;"|"&amp;IF(D98="","00",D98)&amp;"|"&amp;IF(E98="","01",E98))</x:f>
      </x:c>
      <x:c r="G98" s="29" t="str">
        <x:f>IF(F98="","",F98&amp;"|"&amp;TEXT(A98,"000"))</x:f>
      </x:c>
      <x:c r="H98" s="21"/>
      <x:c r="I98" s="21"/>
      <x:c r="J98" s="25"/>
      <x:c r="K98" s="25"/>
      <x:c r="L98" s="25"/>
      <x:c r="M98" s="39" t="str">
        <x:f>IF(G98="","",K98+L98*J98)</x:f>
      </x:c>
      <x:c r="N98" s="35"/>
      <x:c r="O98" s="35"/>
      <x:c r="P98" s="21"/>
      <x:c r="Q98" s="21"/>
      <x:c r="R98" s="29" t="str">
        <x:f>IF(G98="","",MIN(J98,SUMIF('05_BAO_CAO_NGAY'!$K$6:$K$505,G98,'05_BAO_CAO_NGAY'!$V$6:$V$505)))</x:f>
      </x:c>
      <x:c r="S98" s="37" t="str">
        <x:f>IF(G98="","",IFERROR(R98/J98,0))</x:f>
      </x:c>
      <x:c r="T98" s="41" t="str">
        <x:f>IF(OR(G98="",COUNTIF('05_BAO_CAO_NGAY'!$K$6:$K$505,G98)=0),"",_xlfn.MINIFS('05_BAO_CAO_NGAY'!$B$6:$B$505,'05_BAO_CAO_NGAY'!$K$6:$K$505,G98))</x:f>
      </x:c>
      <x:c r="U98" s="41" t="str">
        <x:f>IF(OR(G98="",S98&lt;1),"",_xlfn.MAXIFS('05_BAO_CAO_NGAY'!$B$6:$B$505,'05_BAO_CAO_NGAY'!$K$6:$K$505,G98))</x:f>
      </x:c>
      <x:c r="V98" s="29" t="str">
        <x:f>IF(G98="","",IF(S98&gt;=1,IF(U98&lt;=O98,"Hoàn thành đúng hạn","Hoàn thành trễ"),IF(TODAY()&gt;O98,"Quá hạn",IF(R98&gt;0,"Đang thực hiện","Chưa bắt đầu"))))</x:f>
      </x:c>
      <x:c r="W98" s="37" t="str">
        <x:f>IF(G98="","",IFERROR(SUMIF('05_BAO_CAO_NGAY'!$K$6:$K$505,G98,'05_BAO_CAO_NGAY'!$AB$6:$AB$505)/SUMIF('05_BAO_CAO_NGAY'!$K$6:$K$505,G98,'05_BAO_CAO_NGAY'!$AC$6:$AC$505),0))</x:f>
      </x:c>
      <x:c r="X98" s="37" t="str">
        <x:f>IF(G98="","",IFERROR(SUMIFS('05_BAO_CAO_NGAY'!$W$6:$W$505,'05_BAO_CAO_NGAY'!$K$6:$K$505,G98,'05_BAO_CAO_NGAY'!$N$6:$N$505,"PRODUCTION")/SUMIFS('05_BAO_CAO_NGAY'!$U$6:$U$505,'05_BAO_CAO_NGAY'!$K$6:$K$505,G98,'05_BAO_CAO_NGAY'!$N$6:$N$505,"PRODUCTION"),0))</x:f>
      </x:c>
      <x:c r="Y98" s="29" t="str">
        <x:f>IF(G98="","",SUMIF('05_BAO_CAO_NGAY'!$K$6:$K$505,G98,'05_BAO_CAO_NGAY'!$S$6:$S$505))</x:f>
      </x:c>
      <x:c r="Z98" s="21"/>
    </x:row>
    <x:row r="99">
      <x:c r="A99" s="21"/>
      <x:c r="B99" s="21"/>
      <x:c r="C99" s="21"/>
      <x:c r="D99" s="21"/>
      <x:c r="E99" s="21"/>
      <x:c r="F99" s="29" t="str">
        <x:f>IF(OR(B99="",C99=""),"",B99&amp;"|"&amp;C99&amp;"|"&amp;IF(D99="","00",D99)&amp;"|"&amp;IF(E99="","01",E99))</x:f>
      </x:c>
      <x:c r="G99" s="29" t="str">
        <x:f>IF(F99="","",F99&amp;"|"&amp;TEXT(A99,"000"))</x:f>
      </x:c>
      <x:c r="H99" s="21"/>
      <x:c r="I99" s="21"/>
      <x:c r="J99" s="25"/>
      <x:c r="K99" s="25"/>
      <x:c r="L99" s="25"/>
      <x:c r="M99" s="39" t="str">
        <x:f>IF(G99="","",K99+L99*J99)</x:f>
      </x:c>
      <x:c r="N99" s="35"/>
      <x:c r="O99" s="35"/>
      <x:c r="P99" s="21"/>
      <x:c r="Q99" s="21"/>
      <x:c r="R99" s="29" t="str">
        <x:f>IF(G99="","",MIN(J99,SUMIF('05_BAO_CAO_NGAY'!$K$6:$K$505,G99,'05_BAO_CAO_NGAY'!$V$6:$V$505)))</x:f>
      </x:c>
      <x:c r="S99" s="37" t="str">
        <x:f>IF(G99="","",IFERROR(R99/J99,0))</x:f>
      </x:c>
      <x:c r="T99" s="41" t="str">
        <x:f>IF(OR(G99="",COUNTIF('05_BAO_CAO_NGAY'!$K$6:$K$505,G99)=0),"",_xlfn.MINIFS('05_BAO_CAO_NGAY'!$B$6:$B$505,'05_BAO_CAO_NGAY'!$K$6:$K$505,G99))</x:f>
      </x:c>
      <x:c r="U99" s="41" t="str">
        <x:f>IF(OR(G99="",S99&lt;1),"",_xlfn.MAXIFS('05_BAO_CAO_NGAY'!$B$6:$B$505,'05_BAO_CAO_NGAY'!$K$6:$K$505,G99))</x:f>
      </x:c>
      <x:c r="V99" s="29" t="str">
        <x:f>IF(G99="","",IF(S99&gt;=1,IF(U99&lt;=O99,"Hoàn thành đúng hạn","Hoàn thành trễ"),IF(TODAY()&gt;O99,"Quá hạn",IF(R99&gt;0,"Đang thực hiện","Chưa bắt đầu"))))</x:f>
      </x:c>
      <x:c r="W99" s="37" t="str">
        <x:f>IF(G99="","",IFERROR(SUMIF('05_BAO_CAO_NGAY'!$K$6:$K$505,G99,'05_BAO_CAO_NGAY'!$AB$6:$AB$505)/SUMIF('05_BAO_CAO_NGAY'!$K$6:$K$505,G99,'05_BAO_CAO_NGAY'!$AC$6:$AC$505),0))</x:f>
      </x:c>
      <x:c r="X99" s="37" t="str">
        <x:f>IF(G99="","",IFERROR(SUMIFS('05_BAO_CAO_NGAY'!$W$6:$W$505,'05_BAO_CAO_NGAY'!$K$6:$K$505,G99,'05_BAO_CAO_NGAY'!$N$6:$N$505,"PRODUCTION")/SUMIFS('05_BAO_CAO_NGAY'!$U$6:$U$505,'05_BAO_CAO_NGAY'!$K$6:$K$505,G99,'05_BAO_CAO_NGAY'!$N$6:$N$505,"PRODUCTION"),0))</x:f>
      </x:c>
      <x:c r="Y99" s="29" t="str">
        <x:f>IF(G99="","",SUMIF('05_BAO_CAO_NGAY'!$K$6:$K$505,G99,'05_BAO_CAO_NGAY'!$S$6:$S$505))</x:f>
      </x:c>
      <x:c r="Z99" s="21"/>
    </x:row>
    <x:row r="100">
      <x:c r="A100" s="21"/>
      <x:c r="B100" s="21"/>
      <x:c r="C100" s="21"/>
      <x:c r="D100" s="21"/>
      <x:c r="E100" s="21"/>
      <x:c r="F100" s="29" t="str">
        <x:f>IF(OR(B100="",C100=""),"",B100&amp;"|"&amp;C100&amp;"|"&amp;IF(D100="","00",D100)&amp;"|"&amp;IF(E100="","01",E100))</x:f>
      </x:c>
      <x:c r="G100" s="29" t="str">
        <x:f>IF(F100="","",F100&amp;"|"&amp;TEXT(A100,"000"))</x:f>
      </x:c>
      <x:c r="H100" s="21"/>
      <x:c r="I100" s="21"/>
      <x:c r="J100" s="25"/>
      <x:c r="K100" s="25"/>
      <x:c r="L100" s="25"/>
      <x:c r="M100" s="39" t="str">
        <x:f>IF(G100="","",K100+L100*J100)</x:f>
      </x:c>
      <x:c r="N100" s="35"/>
      <x:c r="O100" s="35"/>
      <x:c r="P100" s="21"/>
      <x:c r="Q100" s="21"/>
      <x:c r="R100" s="29" t="str">
        <x:f>IF(G100="","",MIN(J100,SUMIF('05_BAO_CAO_NGAY'!$K$6:$K$505,G100,'05_BAO_CAO_NGAY'!$V$6:$V$505)))</x:f>
      </x:c>
      <x:c r="S100" s="37" t="str">
        <x:f>IF(G100="","",IFERROR(R100/J100,0))</x:f>
      </x:c>
      <x:c r="T100" s="41" t="str">
        <x:f>IF(OR(G100="",COUNTIF('05_BAO_CAO_NGAY'!$K$6:$K$505,G100)=0),"",_xlfn.MINIFS('05_BAO_CAO_NGAY'!$B$6:$B$505,'05_BAO_CAO_NGAY'!$K$6:$K$505,G100))</x:f>
      </x:c>
      <x:c r="U100" s="41" t="str">
        <x:f>IF(OR(G100="",S100&lt;1),"",_xlfn.MAXIFS('05_BAO_CAO_NGAY'!$B$6:$B$505,'05_BAO_CAO_NGAY'!$K$6:$K$505,G100))</x:f>
      </x:c>
      <x:c r="V100" s="29" t="str">
        <x:f>IF(G100="","",IF(S100&gt;=1,IF(U100&lt;=O100,"Hoàn thành đúng hạn","Hoàn thành trễ"),IF(TODAY()&gt;O100,"Quá hạn",IF(R100&gt;0,"Đang thực hiện","Chưa bắt đầu"))))</x:f>
      </x:c>
      <x:c r="W100" s="37" t="str">
        <x:f>IF(G100="","",IFERROR(SUMIF('05_BAO_CAO_NGAY'!$K$6:$K$505,G100,'05_BAO_CAO_NGAY'!$AB$6:$AB$505)/SUMIF('05_BAO_CAO_NGAY'!$K$6:$K$505,G100,'05_BAO_CAO_NGAY'!$AC$6:$AC$505),0))</x:f>
      </x:c>
      <x:c r="X100" s="37" t="str">
        <x:f>IF(G100="","",IFERROR(SUMIFS('05_BAO_CAO_NGAY'!$W$6:$W$505,'05_BAO_CAO_NGAY'!$K$6:$K$505,G100,'05_BAO_CAO_NGAY'!$N$6:$N$505,"PRODUCTION")/SUMIFS('05_BAO_CAO_NGAY'!$U$6:$U$505,'05_BAO_CAO_NGAY'!$K$6:$K$505,G100,'05_BAO_CAO_NGAY'!$N$6:$N$505,"PRODUCTION"),0))</x:f>
      </x:c>
      <x:c r="Y100" s="29" t="str">
        <x:f>IF(G100="","",SUMIF('05_BAO_CAO_NGAY'!$K$6:$K$505,G100,'05_BAO_CAO_NGAY'!$S$6:$S$505))</x:f>
      </x:c>
      <x:c r="Z100" s="21"/>
    </x:row>
    <x:row r="101">
      <x:c r="A101" s="21"/>
      <x:c r="B101" s="21"/>
      <x:c r="C101" s="21"/>
      <x:c r="D101" s="21"/>
      <x:c r="E101" s="21"/>
      <x:c r="F101" s="29" t="str">
        <x:f>IF(OR(B101="",C101=""),"",B101&amp;"|"&amp;C101&amp;"|"&amp;IF(D101="","00",D101)&amp;"|"&amp;IF(E101="","01",E101))</x:f>
      </x:c>
      <x:c r="G101" s="29" t="str">
        <x:f>IF(F101="","",F101&amp;"|"&amp;TEXT(A101,"000"))</x:f>
      </x:c>
      <x:c r="H101" s="21"/>
      <x:c r="I101" s="21"/>
      <x:c r="J101" s="25"/>
      <x:c r="K101" s="25"/>
      <x:c r="L101" s="25"/>
      <x:c r="M101" s="39" t="str">
        <x:f>IF(G101="","",K101+L101*J101)</x:f>
      </x:c>
      <x:c r="N101" s="35"/>
      <x:c r="O101" s="35"/>
      <x:c r="P101" s="21"/>
      <x:c r="Q101" s="21"/>
      <x:c r="R101" s="29" t="str">
        <x:f>IF(G101="","",MIN(J101,SUMIF('05_BAO_CAO_NGAY'!$K$6:$K$505,G101,'05_BAO_CAO_NGAY'!$V$6:$V$505)))</x:f>
      </x:c>
      <x:c r="S101" s="37" t="str">
        <x:f>IF(G101="","",IFERROR(R101/J101,0))</x:f>
      </x:c>
      <x:c r="T101" s="41" t="str">
        <x:f>IF(OR(G101="",COUNTIF('05_BAO_CAO_NGAY'!$K$6:$K$505,G101)=0),"",_xlfn.MINIFS('05_BAO_CAO_NGAY'!$B$6:$B$505,'05_BAO_CAO_NGAY'!$K$6:$K$505,G101))</x:f>
      </x:c>
      <x:c r="U101" s="41" t="str">
        <x:f>IF(OR(G101="",S101&lt;1),"",_xlfn.MAXIFS('05_BAO_CAO_NGAY'!$B$6:$B$505,'05_BAO_CAO_NGAY'!$K$6:$K$505,G101))</x:f>
      </x:c>
      <x:c r="V101" s="29" t="str">
        <x:f>IF(G101="","",IF(S101&gt;=1,IF(U101&lt;=O101,"Hoàn thành đúng hạn","Hoàn thành trễ"),IF(TODAY()&gt;O101,"Quá hạn",IF(R101&gt;0,"Đang thực hiện","Chưa bắt đầu"))))</x:f>
      </x:c>
      <x:c r="W101" s="37" t="str">
        <x:f>IF(G101="","",IFERROR(SUMIF('05_BAO_CAO_NGAY'!$K$6:$K$505,G101,'05_BAO_CAO_NGAY'!$AB$6:$AB$505)/SUMIF('05_BAO_CAO_NGAY'!$K$6:$K$505,G101,'05_BAO_CAO_NGAY'!$AC$6:$AC$505),0))</x:f>
      </x:c>
      <x:c r="X101" s="37" t="str">
        <x:f>IF(G101="","",IFERROR(SUMIFS('05_BAO_CAO_NGAY'!$W$6:$W$505,'05_BAO_CAO_NGAY'!$K$6:$K$505,G101,'05_BAO_CAO_NGAY'!$N$6:$N$505,"PRODUCTION")/SUMIFS('05_BAO_CAO_NGAY'!$U$6:$U$505,'05_BAO_CAO_NGAY'!$K$6:$K$505,G101,'05_BAO_CAO_NGAY'!$N$6:$N$505,"PRODUCTION"),0))</x:f>
      </x:c>
      <x:c r="Y101" s="29" t="str">
        <x:f>IF(G101="","",SUMIF('05_BAO_CAO_NGAY'!$K$6:$K$505,G101,'05_BAO_CAO_NGAY'!$S$6:$S$505))</x:f>
      </x:c>
      <x:c r="Z101" s="21"/>
    </x:row>
    <x:row r="102">
      <x:c r="A102" s="21"/>
      <x:c r="B102" s="21"/>
      <x:c r="C102" s="21"/>
      <x:c r="D102" s="21"/>
      <x:c r="E102" s="21"/>
      <x:c r="F102" s="29" t="str">
        <x:f>IF(OR(B102="",C102=""),"",B102&amp;"|"&amp;C102&amp;"|"&amp;IF(D102="","00",D102)&amp;"|"&amp;IF(E102="","01",E102))</x:f>
      </x:c>
      <x:c r="G102" s="29" t="str">
        <x:f>IF(F102="","",F102&amp;"|"&amp;TEXT(A102,"000"))</x:f>
      </x:c>
      <x:c r="H102" s="21"/>
      <x:c r="I102" s="21"/>
      <x:c r="J102" s="25"/>
      <x:c r="K102" s="25"/>
      <x:c r="L102" s="25"/>
      <x:c r="M102" s="39" t="str">
        <x:f>IF(G102="","",K102+L102*J102)</x:f>
      </x:c>
      <x:c r="N102" s="35"/>
      <x:c r="O102" s="35"/>
      <x:c r="P102" s="21"/>
      <x:c r="Q102" s="21"/>
      <x:c r="R102" s="29" t="str">
        <x:f>IF(G102="","",MIN(J102,SUMIF('05_BAO_CAO_NGAY'!$K$6:$K$505,G102,'05_BAO_CAO_NGAY'!$V$6:$V$505)))</x:f>
      </x:c>
      <x:c r="S102" s="37" t="str">
        <x:f>IF(G102="","",IFERROR(R102/J102,0))</x:f>
      </x:c>
      <x:c r="T102" s="41" t="str">
        <x:f>IF(OR(G102="",COUNTIF('05_BAO_CAO_NGAY'!$K$6:$K$505,G102)=0),"",_xlfn.MINIFS('05_BAO_CAO_NGAY'!$B$6:$B$505,'05_BAO_CAO_NGAY'!$K$6:$K$505,G102))</x:f>
      </x:c>
      <x:c r="U102" s="41" t="str">
        <x:f>IF(OR(G102="",S102&lt;1),"",_xlfn.MAXIFS('05_BAO_CAO_NGAY'!$B$6:$B$505,'05_BAO_CAO_NGAY'!$K$6:$K$505,G102))</x:f>
      </x:c>
      <x:c r="V102" s="29" t="str">
        <x:f>IF(G102="","",IF(S102&gt;=1,IF(U102&lt;=O102,"Hoàn thành đúng hạn","Hoàn thành trễ"),IF(TODAY()&gt;O102,"Quá hạn",IF(R102&gt;0,"Đang thực hiện","Chưa bắt đầu"))))</x:f>
      </x:c>
      <x:c r="W102" s="37" t="str">
        <x:f>IF(G102="","",IFERROR(SUMIF('05_BAO_CAO_NGAY'!$K$6:$K$505,G102,'05_BAO_CAO_NGAY'!$AB$6:$AB$505)/SUMIF('05_BAO_CAO_NGAY'!$K$6:$K$505,G102,'05_BAO_CAO_NGAY'!$AC$6:$AC$505),0))</x:f>
      </x:c>
      <x:c r="X102" s="37" t="str">
        <x:f>IF(G102="","",IFERROR(SUMIFS('05_BAO_CAO_NGAY'!$W$6:$W$505,'05_BAO_CAO_NGAY'!$K$6:$K$505,G102,'05_BAO_CAO_NGAY'!$N$6:$N$505,"PRODUCTION")/SUMIFS('05_BAO_CAO_NGAY'!$U$6:$U$505,'05_BAO_CAO_NGAY'!$K$6:$K$505,G102,'05_BAO_CAO_NGAY'!$N$6:$N$505,"PRODUCTION"),0))</x:f>
      </x:c>
      <x:c r="Y102" s="29" t="str">
        <x:f>IF(G102="","",SUMIF('05_BAO_CAO_NGAY'!$K$6:$K$505,G102,'05_BAO_CAO_NGAY'!$S$6:$S$505))</x:f>
      </x:c>
      <x:c r="Z102" s="21"/>
    </x:row>
    <x:row r="103">
      <x:c r="A103" s="21"/>
      <x:c r="B103" s="21"/>
      <x:c r="C103" s="21"/>
      <x:c r="D103" s="21"/>
      <x:c r="E103" s="21"/>
      <x:c r="F103" s="29" t="str">
        <x:f>IF(OR(B103="",C103=""),"",B103&amp;"|"&amp;C103&amp;"|"&amp;IF(D103="","00",D103)&amp;"|"&amp;IF(E103="","01",E103))</x:f>
      </x:c>
      <x:c r="G103" s="29" t="str">
        <x:f>IF(F103="","",F103&amp;"|"&amp;TEXT(A103,"000"))</x:f>
      </x:c>
      <x:c r="H103" s="21"/>
      <x:c r="I103" s="21"/>
      <x:c r="J103" s="25"/>
      <x:c r="K103" s="25"/>
      <x:c r="L103" s="25"/>
      <x:c r="M103" s="39" t="str">
        <x:f>IF(G103="","",K103+L103*J103)</x:f>
      </x:c>
      <x:c r="N103" s="35"/>
      <x:c r="O103" s="35"/>
      <x:c r="P103" s="21"/>
      <x:c r="Q103" s="21"/>
      <x:c r="R103" s="29" t="str">
        <x:f>IF(G103="","",MIN(J103,SUMIF('05_BAO_CAO_NGAY'!$K$6:$K$505,G103,'05_BAO_CAO_NGAY'!$V$6:$V$505)))</x:f>
      </x:c>
      <x:c r="S103" s="37" t="str">
        <x:f>IF(G103="","",IFERROR(R103/J103,0))</x:f>
      </x:c>
      <x:c r="T103" s="41" t="str">
        <x:f>IF(OR(G103="",COUNTIF('05_BAO_CAO_NGAY'!$K$6:$K$505,G103)=0),"",_xlfn.MINIFS('05_BAO_CAO_NGAY'!$B$6:$B$505,'05_BAO_CAO_NGAY'!$K$6:$K$505,G103))</x:f>
      </x:c>
      <x:c r="U103" s="41" t="str">
        <x:f>IF(OR(G103="",S103&lt;1),"",_xlfn.MAXIFS('05_BAO_CAO_NGAY'!$B$6:$B$505,'05_BAO_CAO_NGAY'!$K$6:$K$505,G103))</x:f>
      </x:c>
      <x:c r="V103" s="29" t="str">
        <x:f>IF(G103="","",IF(S103&gt;=1,IF(U103&lt;=O103,"Hoàn thành đúng hạn","Hoàn thành trễ"),IF(TODAY()&gt;O103,"Quá hạn",IF(R103&gt;0,"Đang thực hiện","Chưa bắt đầu"))))</x:f>
      </x:c>
      <x:c r="W103" s="37" t="str">
        <x:f>IF(G103="","",IFERROR(SUMIF('05_BAO_CAO_NGAY'!$K$6:$K$505,G103,'05_BAO_CAO_NGAY'!$AB$6:$AB$505)/SUMIF('05_BAO_CAO_NGAY'!$K$6:$K$505,G103,'05_BAO_CAO_NGAY'!$AC$6:$AC$505),0))</x:f>
      </x:c>
      <x:c r="X103" s="37" t="str">
        <x:f>IF(G103="","",IFERROR(SUMIFS('05_BAO_CAO_NGAY'!$W$6:$W$505,'05_BAO_CAO_NGAY'!$K$6:$K$505,G103,'05_BAO_CAO_NGAY'!$N$6:$N$505,"PRODUCTION")/SUMIFS('05_BAO_CAO_NGAY'!$U$6:$U$505,'05_BAO_CAO_NGAY'!$K$6:$K$505,G103,'05_BAO_CAO_NGAY'!$N$6:$N$505,"PRODUCTION"),0))</x:f>
      </x:c>
      <x:c r="Y103" s="29" t="str">
        <x:f>IF(G103="","",SUMIF('05_BAO_CAO_NGAY'!$K$6:$K$505,G103,'05_BAO_CAO_NGAY'!$S$6:$S$505))</x:f>
      </x:c>
      <x:c r="Z103" s="21"/>
    </x:row>
    <x:row r="104">
      <x:c r="A104" s="21"/>
      <x:c r="B104" s="21"/>
      <x:c r="C104" s="21"/>
      <x:c r="D104" s="21"/>
      <x:c r="E104" s="21"/>
      <x:c r="F104" s="29" t="str">
        <x:f>IF(OR(B104="",C104=""),"",B104&amp;"|"&amp;C104&amp;"|"&amp;IF(D104="","00",D104)&amp;"|"&amp;IF(E104="","01",E104))</x:f>
      </x:c>
      <x:c r="G104" s="29" t="str">
        <x:f>IF(F104="","",F104&amp;"|"&amp;TEXT(A104,"000"))</x:f>
      </x:c>
      <x:c r="H104" s="21"/>
      <x:c r="I104" s="21"/>
      <x:c r="J104" s="25"/>
      <x:c r="K104" s="25"/>
      <x:c r="L104" s="25"/>
      <x:c r="M104" s="39" t="str">
        <x:f>IF(G104="","",K104+L104*J104)</x:f>
      </x:c>
      <x:c r="N104" s="35"/>
      <x:c r="O104" s="35"/>
      <x:c r="P104" s="21"/>
      <x:c r="Q104" s="21"/>
      <x:c r="R104" s="29" t="str">
        <x:f>IF(G104="","",MIN(J104,SUMIF('05_BAO_CAO_NGAY'!$K$6:$K$505,G104,'05_BAO_CAO_NGAY'!$V$6:$V$505)))</x:f>
      </x:c>
      <x:c r="S104" s="37" t="str">
        <x:f>IF(G104="","",IFERROR(R104/J104,0))</x:f>
      </x:c>
      <x:c r="T104" s="41" t="str">
        <x:f>IF(OR(G104="",COUNTIF('05_BAO_CAO_NGAY'!$K$6:$K$505,G104)=0),"",_xlfn.MINIFS('05_BAO_CAO_NGAY'!$B$6:$B$505,'05_BAO_CAO_NGAY'!$K$6:$K$505,G104))</x:f>
      </x:c>
      <x:c r="U104" s="41" t="str">
        <x:f>IF(OR(G104="",S104&lt;1),"",_xlfn.MAXIFS('05_BAO_CAO_NGAY'!$B$6:$B$505,'05_BAO_CAO_NGAY'!$K$6:$K$505,G104))</x:f>
      </x:c>
      <x:c r="V104" s="29" t="str">
        <x:f>IF(G104="","",IF(S104&gt;=1,IF(U104&lt;=O104,"Hoàn thành đúng hạn","Hoàn thành trễ"),IF(TODAY()&gt;O104,"Quá hạn",IF(R104&gt;0,"Đang thực hiện","Chưa bắt đầu"))))</x:f>
      </x:c>
      <x:c r="W104" s="37" t="str">
        <x:f>IF(G104="","",IFERROR(SUMIF('05_BAO_CAO_NGAY'!$K$6:$K$505,G104,'05_BAO_CAO_NGAY'!$AB$6:$AB$505)/SUMIF('05_BAO_CAO_NGAY'!$K$6:$K$505,G104,'05_BAO_CAO_NGAY'!$AC$6:$AC$505),0))</x:f>
      </x:c>
      <x:c r="X104" s="37" t="str">
        <x:f>IF(G104="","",IFERROR(SUMIFS('05_BAO_CAO_NGAY'!$W$6:$W$505,'05_BAO_CAO_NGAY'!$K$6:$K$505,G104,'05_BAO_CAO_NGAY'!$N$6:$N$505,"PRODUCTION")/SUMIFS('05_BAO_CAO_NGAY'!$U$6:$U$505,'05_BAO_CAO_NGAY'!$K$6:$K$505,G104,'05_BAO_CAO_NGAY'!$N$6:$N$505,"PRODUCTION"),0))</x:f>
      </x:c>
      <x:c r="Y104" s="29" t="str">
        <x:f>IF(G104="","",SUMIF('05_BAO_CAO_NGAY'!$K$6:$K$505,G104,'05_BAO_CAO_NGAY'!$S$6:$S$505))</x:f>
      </x:c>
      <x:c r="Z104" s="21"/>
    </x:row>
    <x:row r="105">
      <x:c r="A105" s="21"/>
      <x:c r="B105" s="21"/>
      <x:c r="C105" s="21"/>
      <x:c r="D105" s="21"/>
      <x:c r="E105" s="21"/>
      <x:c r="F105" s="29" t="str">
        <x:f>IF(OR(B105="",C105=""),"",B105&amp;"|"&amp;C105&amp;"|"&amp;IF(D105="","00",D105)&amp;"|"&amp;IF(E105="","01",E105))</x:f>
      </x:c>
      <x:c r="G105" s="29" t="str">
        <x:f>IF(F105="","",F105&amp;"|"&amp;TEXT(A105,"000"))</x:f>
      </x:c>
      <x:c r="H105" s="21"/>
      <x:c r="I105" s="21"/>
      <x:c r="J105" s="25"/>
      <x:c r="K105" s="25"/>
      <x:c r="L105" s="25"/>
      <x:c r="M105" s="39" t="str">
        <x:f>IF(G105="","",K105+L105*J105)</x:f>
      </x:c>
      <x:c r="N105" s="35"/>
      <x:c r="O105" s="35"/>
      <x:c r="P105" s="21"/>
      <x:c r="Q105" s="21"/>
      <x:c r="R105" s="29" t="str">
        <x:f>IF(G105="","",MIN(J105,SUMIF('05_BAO_CAO_NGAY'!$K$6:$K$505,G105,'05_BAO_CAO_NGAY'!$V$6:$V$505)))</x:f>
      </x:c>
      <x:c r="S105" s="37" t="str">
        <x:f>IF(G105="","",IFERROR(R105/J105,0))</x:f>
      </x:c>
      <x:c r="T105" s="41" t="str">
        <x:f>IF(OR(G105="",COUNTIF('05_BAO_CAO_NGAY'!$K$6:$K$505,G105)=0),"",_xlfn.MINIFS('05_BAO_CAO_NGAY'!$B$6:$B$505,'05_BAO_CAO_NGAY'!$K$6:$K$505,G105))</x:f>
      </x:c>
      <x:c r="U105" s="41" t="str">
        <x:f>IF(OR(G105="",S105&lt;1),"",_xlfn.MAXIFS('05_BAO_CAO_NGAY'!$B$6:$B$505,'05_BAO_CAO_NGAY'!$K$6:$K$505,G105))</x:f>
      </x:c>
      <x:c r="V105" s="29" t="str">
        <x:f>IF(G105="","",IF(S105&gt;=1,IF(U105&lt;=O105,"Hoàn thành đúng hạn","Hoàn thành trễ"),IF(TODAY()&gt;O105,"Quá hạn",IF(R105&gt;0,"Đang thực hiện","Chưa bắt đầu"))))</x:f>
      </x:c>
      <x:c r="W105" s="37" t="str">
        <x:f>IF(G105="","",IFERROR(SUMIF('05_BAO_CAO_NGAY'!$K$6:$K$505,G105,'05_BAO_CAO_NGAY'!$AB$6:$AB$505)/SUMIF('05_BAO_CAO_NGAY'!$K$6:$K$505,G105,'05_BAO_CAO_NGAY'!$AC$6:$AC$505),0))</x:f>
      </x:c>
      <x:c r="X105" s="37" t="str">
        <x:f>IF(G105="","",IFERROR(SUMIFS('05_BAO_CAO_NGAY'!$W$6:$W$505,'05_BAO_CAO_NGAY'!$K$6:$K$505,G105,'05_BAO_CAO_NGAY'!$N$6:$N$505,"PRODUCTION")/SUMIFS('05_BAO_CAO_NGAY'!$U$6:$U$505,'05_BAO_CAO_NGAY'!$K$6:$K$505,G105,'05_BAO_CAO_NGAY'!$N$6:$N$505,"PRODUCTION"),0))</x:f>
      </x:c>
      <x:c r="Y105" s="29" t="str">
        <x:f>IF(G105="","",SUMIF('05_BAO_CAO_NGAY'!$K$6:$K$505,G105,'05_BAO_CAO_NGAY'!$S$6:$S$505))</x:f>
      </x:c>
      <x:c r="Z105" s="21"/>
    </x:row>
    <x:row r="106">
      <x:c r="A106" s="21"/>
      <x:c r="B106" s="21"/>
      <x:c r="C106" s="21"/>
      <x:c r="D106" s="21"/>
      <x:c r="E106" s="21"/>
      <x:c r="F106" s="29" t="str">
        <x:f>IF(OR(B106="",C106=""),"",B106&amp;"|"&amp;C106&amp;"|"&amp;IF(D106="","00",D106)&amp;"|"&amp;IF(E106="","01",E106))</x:f>
      </x:c>
      <x:c r="G106" s="29" t="str">
        <x:f>IF(F106="","",F106&amp;"|"&amp;TEXT(A106,"000"))</x:f>
      </x:c>
      <x:c r="H106" s="21"/>
      <x:c r="I106" s="21"/>
      <x:c r="J106" s="25"/>
      <x:c r="K106" s="25"/>
      <x:c r="L106" s="25"/>
      <x:c r="M106" s="39" t="str">
        <x:f>IF(G106="","",K106+L106*J106)</x:f>
      </x:c>
      <x:c r="N106" s="35"/>
      <x:c r="O106" s="35"/>
      <x:c r="P106" s="21"/>
      <x:c r="Q106" s="21"/>
      <x:c r="R106" s="29" t="str">
        <x:f>IF(G106="","",MIN(J106,SUMIF('05_BAO_CAO_NGAY'!$K$6:$K$505,G106,'05_BAO_CAO_NGAY'!$V$6:$V$505)))</x:f>
      </x:c>
      <x:c r="S106" s="37" t="str">
        <x:f>IF(G106="","",IFERROR(R106/J106,0))</x:f>
      </x:c>
      <x:c r="T106" s="41" t="str">
        <x:f>IF(OR(G106="",COUNTIF('05_BAO_CAO_NGAY'!$K$6:$K$505,G106)=0),"",_xlfn.MINIFS('05_BAO_CAO_NGAY'!$B$6:$B$505,'05_BAO_CAO_NGAY'!$K$6:$K$505,G106))</x:f>
      </x:c>
      <x:c r="U106" s="41" t="str">
        <x:f>IF(OR(G106="",S106&lt;1),"",_xlfn.MAXIFS('05_BAO_CAO_NGAY'!$B$6:$B$505,'05_BAO_CAO_NGAY'!$K$6:$K$505,G106))</x:f>
      </x:c>
      <x:c r="V106" s="29" t="str">
        <x:f>IF(G106="","",IF(S106&gt;=1,IF(U106&lt;=O106,"Hoàn thành đúng hạn","Hoàn thành trễ"),IF(TODAY()&gt;O106,"Quá hạn",IF(R106&gt;0,"Đang thực hiện","Chưa bắt đầu"))))</x:f>
      </x:c>
      <x:c r="W106" s="37" t="str">
        <x:f>IF(G106="","",IFERROR(SUMIF('05_BAO_CAO_NGAY'!$K$6:$K$505,G106,'05_BAO_CAO_NGAY'!$AB$6:$AB$505)/SUMIF('05_BAO_CAO_NGAY'!$K$6:$K$505,G106,'05_BAO_CAO_NGAY'!$AC$6:$AC$505),0))</x:f>
      </x:c>
      <x:c r="X106" s="37" t="str">
        <x:f>IF(G106="","",IFERROR(SUMIFS('05_BAO_CAO_NGAY'!$W$6:$W$505,'05_BAO_CAO_NGAY'!$K$6:$K$505,G106,'05_BAO_CAO_NGAY'!$N$6:$N$505,"PRODUCTION")/SUMIFS('05_BAO_CAO_NGAY'!$U$6:$U$505,'05_BAO_CAO_NGAY'!$K$6:$K$505,G106,'05_BAO_CAO_NGAY'!$N$6:$N$505,"PRODUCTION"),0))</x:f>
      </x:c>
      <x:c r="Y106" s="29" t="str">
        <x:f>IF(G106="","",SUMIF('05_BAO_CAO_NGAY'!$K$6:$K$505,G106,'05_BAO_CAO_NGAY'!$S$6:$S$505))</x:f>
      </x:c>
      <x:c r="Z106" s="21"/>
    </x:row>
    <x:row r="107">
      <x:c r="A107" s="21"/>
      <x:c r="B107" s="21"/>
      <x:c r="C107" s="21"/>
      <x:c r="D107" s="21"/>
      <x:c r="E107" s="21"/>
      <x:c r="F107" s="29" t="str">
        <x:f>IF(OR(B107="",C107=""),"",B107&amp;"|"&amp;C107&amp;"|"&amp;IF(D107="","00",D107)&amp;"|"&amp;IF(E107="","01",E107))</x:f>
      </x:c>
      <x:c r="G107" s="29" t="str">
        <x:f>IF(F107="","",F107&amp;"|"&amp;TEXT(A107,"000"))</x:f>
      </x:c>
      <x:c r="H107" s="21"/>
      <x:c r="I107" s="21"/>
      <x:c r="J107" s="25"/>
      <x:c r="K107" s="25"/>
      <x:c r="L107" s="25"/>
      <x:c r="M107" s="39" t="str">
        <x:f>IF(G107="","",K107+L107*J107)</x:f>
      </x:c>
      <x:c r="N107" s="35"/>
      <x:c r="O107" s="35"/>
      <x:c r="P107" s="21"/>
      <x:c r="Q107" s="21"/>
      <x:c r="R107" s="29" t="str">
        <x:f>IF(G107="","",MIN(J107,SUMIF('05_BAO_CAO_NGAY'!$K$6:$K$505,G107,'05_BAO_CAO_NGAY'!$V$6:$V$505)))</x:f>
      </x:c>
      <x:c r="S107" s="37" t="str">
        <x:f>IF(G107="","",IFERROR(R107/J107,0))</x:f>
      </x:c>
      <x:c r="T107" s="41" t="str">
        <x:f>IF(OR(G107="",COUNTIF('05_BAO_CAO_NGAY'!$K$6:$K$505,G107)=0),"",_xlfn.MINIFS('05_BAO_CAO_NGAY'!$B$6:$B$505,'05_BAO_CAO_NGAY'!$K$6:$K$505,G107))</x:f>
      </x:c>
      <x:c r="U107" s="41" t="str">
        <x:f>IF(OR(G107="",S107&lt;1),"",_xlfn.MAXIFS('05_BAO_CAO_NGAY'!$B$6:$B$505,'05_BAO_CAO_NGAY'!$K$6:$K$505,G107))</x:f>
      </x:c>
      <x:c r="V107" s="29" t="str">
        <x:f>IF(G107="","",IF(S107&gt;=1,IF(U107&lt;=O107,"Hoàn thành đúng hạn","Hoàn thành trễ"),IF(TODAY()&gt;O107,"Quá hạn",IF(R107&gt;0,"Đang thực hiện","Chưa bắt đầu"))))</x:f>
      </x:c>
      <x:c r="W107" s="37" t="str">
        <x:f>IF(G107="","",IFERROR(SUMIF('05_BAO_CAO_NGAY'!$K$6:$K$505,G107,'05_BAO_CAO_NGAY'!$AB$6:$AB$505)/SUMIF('05_BAO_CAO_NGAY'!$K$6:$K$505,G107,'05_BAO_CAO_NGAY'!$AC$6:$AC$505),0))</x:f>
      </x:c>
      <x:c r="X107" s="37" t="str">
        <x:f>IF(G107="","",IFERROR(SUMIFS('05_BAO_CAO_NGAY'!$W$6:$W$505,'05_BAO_CAO_NGAY'!$K$6:$K$505,G107,'05_BAO_CAO_NGAY'!$N$6:$N$505,"PRODUCTION")/SUMIFS('05_BAO_CAO_NGAY'!$U$6:$U$505,'05_BAO_CAO_NGAY'!$K$6:$K$505,G107,'05_BAO_CAO_NGAY'!$N$6:$N$505,"PRODUCTION"),0))</x:f>
      </x:c>
      <x:c r="Y107" s="29" t="str">
        <x:f>IF(G107="","",SUMIF('05_BAO_CAO_NGAY'!$K$6:$K$505,G107,'05_BAO_CAO_NGAY'!$S$6:$S$505))</x:f>
      </x:c>
      <x:c r="Z107" s="21"/>
    </x:row>
    <x:row r="108">
      <x:c r="A108" s="21"/>
      <x:c r="B108" s="21"/>
      <x:c r="C108" s="21"/>
      <x:c r="D108" s="21"/>
      <x:c r="E108" s="21"/>
      <x:c r="F108" s="29" t="str">
        <x:f>IF(OR(B108="",C108=""),"",B108&amp;"|"&amp;C108&amp;"|"&amp;IF(D108="","00",D108)&amp;"|"&amp;IF(E108="","01",E108))</x:f>
      </x:c>
      <x:c r="G108" s="29" t="str">
        <x:f>IF(F108="","",F108&amp;"|"&amp;TEXT(A108,"000"))</x:f>
      </x:c>
      <x:c r="H108" s="21"/>
      <x:c r="I108" s="21"/>
      <x:c r="J108" s="25"/>
      <x:c r="K108" s="25"/>
      <x:c r="L108" s="25"/>
      <x:c r="M108" s="39" t="str">
        <x:f>IF(G108="","",K108+L108*J108)</x:f>
      </x:c>
      <x:c r="N108" s="35"/>
      <x:c r="O108" s="35"/>
      <x:c r="P108" s="21"/>
      <x:c r="Q108" s="21"/>
      <x:c r="R108" s="29" t="str">
        <x:f>IF(G108="","",MIN(J108,SUMIF('05_BAO_CAO_NGAY'!$K$6:$K$505,G108,'05_BAO_CAO_NGAY'!$V$6:$V$505)))</x:f>
      </x:c>
      <x:c r="S108" s="37" t="str">
        <x:f>IF(G108="","",IFERROR(R108/J108,0))</x:f>
      </x:c>
      <x:c r="T108" s="41" t="str">
        <x:f>IF(OR(G108="",COUNTIF('05_BAO_CAO_NGAY'!$K$6:$K$505,G108)=0),"",_xlfn.MINIFS('05_BAO_CAO_NGAY'!$B$6:$B$505,'05_BAO_CAO_NGAY'!$K$6:$K$505,G108))</x:f>
      </x:c>
      <x:c r="U108" s="41" t="str">
        <x:f>IF(OR(G108="",S108&lt;1),"",_xlfn.MAXIFS('05_BAO_CAO_NGAY'!$B$6:$B$505,'05_BAO_CAO_NGAY'!$K$6:$K$505,G108))</x:f>
      </x:c>
      <x:c r="V108" s="29" t="str">
        <x:f>IF(G108="","",IF(S108&gt;=1,IF(U108&lt;=O108,"Hoàn thành đúng hạn","Hoàn thành trễ"),IF(TODAY()&gt;O108,"Quá hạn",IF(R108&gt;0,"Đang thực hiện","Chưa bắt đầu"))))</x:f>
      </x:c>
      <x:c r="W108" s="37" t="str">
        <x:f>IF(G108="","",IFERROR(SUMIF('05_BAO_CAO_NGAY'!$K$6:$K$505,G108,'05_BAO_CAO_NGAY'!$AB$6:$AB$505)/SUMIF('05_BAO_CAO_NGAY'!$K$6:$K$505,G108,'05_BAO_CAO_NGAY'!$AC$6:$AC$505),0))</x:f>
      </x:c>
      <x:c r="X108" s="37" t="str">
        <x:f>IF(G108="","",IFERROR(SUMIFS('05_BAO_CAO_NGAY'!$W$6:$W$505,'05_BAO_CAO_NGAY'!$K$6:$K$505,G108,'05_BAO_CAO_NGAY'!$N$6:$N$505,"PRODUCTION")/SUMIFS('05_BAO_CAO_NGAY'!$U$6:$U$505,'05_BAO_CAO_NGAY'!$K$6:$K$505,G108,'05_BAO_CAO_NGAY'!$N$6:$N$505,"PRODUCTION"),0))</x:f>
      </x:c>
      <x:c r="Y108" s="29" t="str">
        <x:f>IF(G108="","",SUMIF('05_BAO_CAO_NGAY'!$K$6:$K$505,G108,'05_BAO_CAO_NGAY'!$S$6:$S$505))</x:f>
      </x:c>
      <x:c r="Z108" s="21"/>
    </x:row>
    <x:row r="109">
      <x:c r="A109" s="21"/>
      <x:c r="B109" s="21"/>
      <x:c r="C109" s="21"/>
      <x:c r="D109" s="21"/>
      <x:c r="E109" s="21"/>
      <x:c r="F109" s="29" t="str">
        <x:f>IF(OR(B109="",C109=""),"",B109&amp;"|"&amp;C109&amp;"|"&amp;IF(D109="","00",D109)&amp;"|"&amp;IF(E109="","01",E109))</x:f>
      </x:c>
      <x:c r="G109" s="29" t="str">
        <x:f>IF(F109="","",F109&amp;"|"&amp;TEXT(A109,"000"))</x:f>
      </x:c>
      <x:c r="H109" s="21"/>
      <x:c r="I109" s="21"/>
      <x:c r="J109" s="25"/>
      <x:c r="K109" s="25"/>
      <x:c r="L109" s="25"/>
      <x:c r="M109" s="39" t="str">
        <x:f>IF(G109="","",K109+L109*J109)</x:f>
      </x:c>
      <x:c r="N109" s="35"/>
      <x:c r="O109" s="35"/>
      <x:c r="P109" s="21"/>
      <x:c r="Q109" s="21"/>
      <x:c r="R109" s="29" t="str">
        <x:f>IF(G109="","",MIN(J109,SUMIF('05_BAO_CAO_NGAY'!$K$6:$K$505,G109,'05_BAO_CAO_NGAY'!$V$6:$V$505)))</x:f>
      </x:c>
      <x:c r="S109" s="37" t="str">
        <x:f>IF(G109="","",IFERROR(R109/J109,0))</x:f>
      </x:c>
      <x:c r="T109" s="41" t="str">
        <x:f>IF(OR(G109="",COUNTIF('05_BAO_CAO_NGAY'!$K$6:$K$505,G109)=0),"",_xlfn.MINIFS('05_BAO_CAO_NGAY'!$B$6:$B$505,'05_BAO_CAO_NGAY'!$K$6:$K$505,G109))</x:f>
      </x:c>
      <x:c r="U109" s="41" t="str">
        <x:f>IF(OR(G109="",S109&lt;1),"",_xlfn.MAXIFS('05_BAO_CAO_NGAY'!$B$6:$B$505,'05_BAO_CAO_NGAY'!$K$6:$K$505,G109))</x:f>
      </x:c>
      <x:c r="V109" s="29" t="str">
        <x:f>IF(G109="","",IF(S109&gt;=1,IF(U109&lt;=O109,"Hoàn thành đúng hạn","Hoàn thành trễ"),IF(TODAY()&gt;O109,"Quá hạn",IF(R109&gt;0,"Đang thực hiện","Chưa bắt đầu"))))</x:f>
      </x:c>
      <x:c r="W109" s="37" t="str">
        <x:f>IF(G109="","",IFERROR(SUMIF('05_BAO_CAO_NGAY'!$K$6:$K$505,G109,'05_BAO_CAO_NGAY'!$AB$6:$AB$505)/SUMIF('05_BAO_CAO_NGAY'!$K$6:$K$505,G109,'05_BAO_CAO_NGAY'!$AC$6:$AC$505),0))</x:f>
      </x:c>
      <x:c r="X109" s="37" t="str">
        <x:f>IF(G109="","",IFERROR(SUMIFS('05_BAO_CAO_NGAY'!$W$6:$W$505,'05_BAO_CAO_NGAY'!$K$6:$K$505,G109,'05_BAO_CAO_NGAY'!$N$6:$N$505,"PRODUCTION")/SUMIFS('05_BAO_CAO_NGAY'!$U$6:$U$505,'05_BAO_CAO_NGAY'!$K$6:$K$505,G109,'05_BAO_CAO_NGAY'!$N$6:$N$505,"PRODUCTION"),0))</x:f>
      </x:c>
      <x:c r="Y109" s="29" t="str">
        <x:f>IF(G109="","",SUMIF('05_BAO_CAO_NGAY'!$K$6:$K$505,G109,'05_BAO_CAO_NGAY'!$S$6:$S$505))</x:f>
      </x:c>
      <x:c r="Z109" s="21"/>
    </x:row>
    <x:row r="110">
      <x:c r="A110" s="21"/>
      <x:c r="B110" s="21"/>
      <x:c r="C110" s="21"/>
      <x:c r="D110" s="21"/>
      <x:c r="E110" s="21"/>
      <x:c r="F110" s="29" t="str">
        <x:f>IF(OR(B110="",C110=""),"",B110&amp;"|"&amp;C110&amp;"|"&amp;IF(D110="","00",D110)&amp;"|"&amp;IF(E110="","01",E110))</x:f>
      </x:c>
      <x:c r="G110" s="29" t="str">
        <x:f>IF(F110="","",F110&amp;"|"&amp;TEXT(A110,"000"))</x:f>
      </x:c>
      <x:c r="H110" s="21"/>
      <x:c r="I110" s="21"/>
      <x:c r="J110" s="25"/>
      <x:c r="K110" s="25"/>
      <x:c r="L110" s="25"/>
      <x:c r="M110" s="39" t="str">
        <x:f>IF(G110="","",K110+L110*J110)</x:f>
      </x:c>
      <x:c r="N110" s="35"/>
      <x:c r="O110" s="35"/>
      <x:c r="P110" s="21"/>
      <x:c r="Q110" s="21"/>
      <x:c r="R110" s="29" t="str">
        <x:f>IF(G110="","",MIN(J110,SUMIF('05_BAO_CAO_NGAY'!$K$6:$K$505,G110,'05_BAO_CAO_NGAY'!$V$6:$V$505)))</x:f>
      </x:c>
      <x:c r="S110" s="37" t="str">
        <x:f>IF(G110="","",IFERROR(R110/J110,0))</x:f>
      </x:c>
      <x:c r="T110" s="41" t="str">
        <x:f>IF(OR(G110="",COUNTIF('05_BAO_CAO_NGAY'!$K$6:$K$505,G110)=0),"",_xlfn.MINIFS('05_BAO_CAO_NGAY'!$B$6:$B$505,'05_BAO_CAO_NGAY'!$K$6:$K$505,G110))</x:f>
      </x:c>
      <x:c r="U110" s="41" t="str">
        <x:f>IF(OR(G110="",S110&lt;1),"",_xlfn.MAXIFS('05_BAO_CAO_NGAY'!$B$6:$B$505,'05_BAO_CAO_NGAY'!$K$6:$K$505,G110))</x:f>
      </x:c>
      <x:c r="V110" s="29" t="str">
        <x:f>IF(G110="","",IF(S110&gt;=1,IF(U110&lt;=O110,"Hoàn thành đúng hạn","Hoàn thành trễ"),IF(TODAY()&gt;O110,"Quá hạn",IF(R110&gt;0,"Đang thực hiện","Chưa bắt đầu"))))</x:f>
      </x:c>
      <x:c r="W110" s="37" t="str">
        <x:f>IF(G110="","",IFERROR(SUMIF('05_BAO_CAO_NGAY'!$K$6:$K$505,G110,'05_BAO_CAO_NGAY'!$AB$6:$AB$505)/SUMIF('05_BAO_CAO_NGAY'!$K$6:$K$505,G110,'05_BAO_CAO_NGAY'!$AC$6:$AC$505),0))</x:f>
      </x:c>
      <x:c r="X110" s="37" t="str">
        <x:f>IF(G110="","",IFERROR(SUMIFS('05_BAO_CAO_NGAY'!$W$6:$W$505,'05_BAO_CAO_NGAY'!$K$6:$K$505,G110,'05_BAO_CAO_NGAY'!$N$6:$N$505,"PRODUCTION")/SUMIFS('05_BAO_CAO_NGAY'!$U$6:$U$505,'05_BAO_CAO_NGAY'!$K$6:$K$505,G110,'05_BAO_CAO_NGAY'!$N$6:$N$505,"PRODUCTION"),0))</x:f>
      </x:c>
      <x:c r="Y110" s="29" t="str">
        <x:f>IF(G110="","",SUMIF('05_BAO_CAO_NGAY'!$K$6:$K$505,G110,'05_BAO_CAO_NGAY'!$S$6:$S$505))</x:f>
      </x:c>
      <x:c r="Z110" s="21"/>
    </x:row>
    <x:row r="111">
      <x:c r="A111" s="21"/>
      <x:c r="B111" s="21"/>
      <x:c r="C111" s="21"/>
      <x:c r="D111" s="21"/>
      <x:c r="E111" s="21"/>
      <x:c r="F111" s="29" t="str">
        <x:f>IF(OR(B111="",C111=""),"",B111&amp;"|"&amp;C111&amp;"|"&amp;IF(D111="","00",D111)&amp;"|"&amp;IF(E111="","01",E111))</x:f>
      </x:c>
      <x:c r="G111" s="29" t="str">
        <x:f>IF(F111="","",F111&amp;"|"&amp;TEXT(A111,"000"))</x:f>
      </x:c>
      <x:c r="H111" s="21"/>
      <x:c r="I111" s="21"/>
      <x:c r="J111" s="25"/>
      <x:c r="K111" s="25"/>
      <x:c r="L111" s="25"/>
      <x:c r="M111" s="39" t="str">
        <x:f>IF(G111="","",K111+L111*J111)</x:f>
      </x:c>
      <x:c r="N111" s="35"/>
      <x:c r="O111" s="35"/>
      <x:c r="P111" s="21"/>
      <x:c r="Q111" s="21"/>
      <x:c r="R111" s="29" t="str">
        <x:f>IF(G111="","",MIN(J111,SUMIF('05_BAO_CAO_NGAY'!$K$6:$K$505,G111,'05_BAO_CAO_NGAY'!$V$6:$V$505)))</x:f>
      </x:c>
      <x:c r="S111" s="37" t="str">
        <x:f>IF(G111="","",IFERROR(R111/J111,0))</x:f>
      </x:c>
      <x:c r="T111" s="41" t="str">
        <x:f>IF(OR(G111="",COUNTIF('05_BAO_CAO_NGAY'!$K$6:$K$505,G111)=0),"",_xlfn.MINIFS('05_BAO_CAO_NGAY'!$B$6:$B$505,'05_BAO_CAO_NGAY'!$K$6:$K$505,G111))</x:f>
      </x:c>
      <x:c r="U111" s="41" t="str">
        <x:f>IF(OR(G111="",S111&lt;1),"",_xlfn.MAXIFS('05_BAO_CAO_NGAY'!$B$6:$B$505,'05_BAO_CAO_NGAY'!$K$6:$K$505,G111))</x:f>
      </x:c>
      <x:c r="V111" s="29" t="str">
        <x:f>IF(G111="","",IF(S111&gt;=1,IF(U111&lt;=O111,"Hoàn thành đúng hạn","Hoàn thành trễ"),IF(TODAY()&gt;O111,"Quá hạn",IF(R111&gt;0,"Đang thực hiện","Chưa bắt đầu"))))</x:f>
      </x:c>
      <x:c r="W111" s="37" t="str">
        <x:f>IF(G111="","",IFERROR(SUMIF('05_BAO_CAO_NGAY'!$K$6:$K$505,G111,'05_BAO_CAO_NGAY'!$AB$6:$AB$505)/SUMIF('05_BAO_CAO_NGAY'!$K$6:$K$505,G111,'05_BAO_CAO_NGAY'!$AC$6:$AC$505),0))</x:f>
      </x:c>
      <x:c r="X111" s="37" t="str">
        <x:f>IF(G111="","",IFERROR(SUMIFS('05_BAO_CAO_NGAY'!$W$6:$W$505,'05_BAO_CAO_NGAY'!$K$6:$K$505,G111,'05_BAO_CAO_NGAY'!$N$6:$N$505,"PRODUCTION")/SUMIFS('05_BAO_CAO_NGAY'!$U$6:$U$505,'05_BAO_CAO_NGAY'!$K$6:$K$505,G111,'05_BAO_CAO_NGAY'!$N$6:$N$505,"PRODUCTION"),0))</x:f>
      </x:c>
      <x:c r="Y111" s="29" t="str">
        <x:f>IF(G111="","",SUMIF('05_BAO_CAO_NGAY'!$K$6:$K$505,G111,'05_BAO_CAO_NGAY'!$S$6:$S$505))</x:f>
      </x:c>
      <x:c r="Z111" s="21"/>
    </x:row>
    <x:row r="112">
      <x:c r="A112" s="21"/>
      <x:c r="B112" s="21"/>
      <x:c r="C112" s="21"/>
      <x:c r="D112" s="21"/>
      <x:c r="E112" s="21"/>
      <x:c r="F112" s="29" t="str">
        <x:f>IF(OR(B112="",C112=""),"",B112&amp;"|"&amp;C112&amp;"|"&amp;IF(D112="","00",D112)&amp;"|"&amp;IF(E112="","01",E112))</x:f>
      </x:c>
      <x:c r="G112" s="29" t="str">
        <x:f>IF(F112="","",F112&amp;"|"&amp;TEXT(A112,"000"))</x:f>
      </x:c>
      <x:c r="H112" s="21"/>
      <x:c r="I112" s="21"/>
      <x:c r="J112" s="25"/>
      <x:c r="K112" s="25"/>
      <x:c r="L112" s="25"/>
      <x:c r="M112" s="39" t="str">
        <x:f>IF(G112="","",K112+L112*J112)</x:f>
      </x:c>
      <x:c r="N112" s="35"/>
      <x:c r="O112" s="35"/>
      <x:c r="P112" s="21"/>
      <x:c r="Q112" s="21"/>
      <x:c r="R112" s="29" t="str">
        <x:f>IF(G112="","",MIN(J112,SUMIF('05_BAO_CAO_NGAY'!$K$6:$K$505,G112,'05_BAO_CAO_NGAY'!$V$6:$V$505)))</x:f>
      </x:c>
      <x:c r="S112" s="37" t="str">
        <x:f>IF(G112="","",IFERROR(R112/J112,0))</x:f>
      </x:c>
      <x:c r="T112" s="41" t="str">
        <x:f>IF(OR(G112="",COUNTIF('05_BAO_CAO_NGAY'!$K$6:$K$505,G112)=0),"",_xlfn.MINIFS('05_BAO_CAO_NGAY'!$B$6:$B$505,'05_BAO_CAO_NGAY'!$K$6:$K$505,G112))</x:f>
      </x:c>
      <x:c r="U112" s="41" t="str">
        <x:f>IF(OR(G112="",S112&lt;1),"",_xlfn.MAXIFS('05_BAO_CAO_NGAY'!$B$6:$B$505,'05_BAO_CAO_NGAY'!$K$6:$K$505,G112))</x:f>
      </x:c>
      <x:c r="V112" s="29" t="str">
        <x:f>IF(G112="","",IF(S112&gt;=1,IF(U112&lt;=O112,"Hoàn thành đúng hạn","Hoàn thành trễ"),IF(TODAY()&gt;O112,"Quá hạn",IF(R112&gt;0,"Đang thực hiện","Chưa bắt đầu"))))</x:f>
      </x:c>
      <x:c r="W112" s="37" t="str">
        <x:f>IF(G112="","",IFERROR(SUMIF('05_BAO_CAO_NGAY'!$K$6:$K$505,G112,'05_BAO_CAO_NGAY'!$AB$6:$AB$505)/SUMIF('05_BAO_CAO_NGAY'!$K$6:$K$505,G112,'05_BAO_CAO_NGAY'!$AC$6:$AC$505),0))</x:f>
      </x:c>
      <x:c r="X112" s="37" t="str">
        <x:f>IF(G112="","",IFERROR(SUMIFS('05_BAO_CAO_NGAY'!$W$6:$W$505,'05_BAO_CAO_NGAY'!$K$6:$K$505,G112,'05_BAO_CAO_NGAY'!$N$6:$N$505,"PRODUCTION")/SUMIFS('05_BAO_CAO_NGAY'!$U$6:$U$505,'05_BAO_CAO_NGAY'!$K$6:$K$505,G112,'05_BAO_CAO_NGAY'!$N$6:$N$505,"PRODUCTION"),0))</x:f>
      </x:c>
      <x:c r="Y112" s="29" t="str">
        <x:f>IF(G112="","",SUMIF('05_BAO_CAO_NGAY'!$K$6:$K$505,G112,'05_BAO_CAO_NGAY'!$S$6:$S$505))</x:f>
      </x:c>
      <x:c r="Z112" s="21"/>
    </x:row>
    <x:row r="113">
      <x:c r="A113" s="21"/>
      <x:c r="B113" s="21"/>
      <x:c r="C113" s="21"/>
      <x:c r="D113" s="21"/>
      <x:c r="E113" s="21"/>
      <x:c r="F113" s="29" t="str">
        <x:f>IF(OR(B113="",C113=""),"",B113&amp;"|"&amp;C113&amp;"|"&amp;IF(D113="","00",D113)&amp;"|"&amp;IF(E113="","01",E113))</x:f>
      </x:c>
      <x:c r="G113" s="29" t="str">
        <x:f>IF(F113="","",F113&amp;"|"&amp;TEXT(A113,"000"))</x:f>
      </x:c>
      <x:c r="H113" s="21"/>
      <x:c r="I113" s="21"/>
      <x:c r="J113" s="25"/>
      <x:c r="K113" s="25"/>
      <x:c r="L113" s="25"/>
      <x:c r="M113" s="39" t="str">
        <x:f>IF(G113="","",K113+L113*J113)</x:f>
      </x:c>
      <x:c r="N113" s="35"/>
      <x:c r="O113" s="35"/>
      <x:c r="P113" s="21"/>
      <x:c r="Q113" s="21"/>
      <x:c r="R113" s="29" t="str">
        <x:f>IF(G113="","",MIN(J113,SUMIF('05_BAO_CAO_NGAY'!$K$6:$K$505,G113,'05_BAO_CAO_NGAY'!$V$6:$V$505)))</x:f>
      </x:c>
      <x:c r="S113" s="37" t="str">
        <x:f>IF(G113="","",IFERROR(R113/J113,0))</x:f>
      </x:c>
      <x:c r="T113" s="41" t="str">
        <x:f>IF(OR(G113="",COUNTIF('05_BAO_CAO_NGAY'!$K$6:$K$505,G113)=0),"",_xlfn.MINIFS('05_BAO_CAO_NGAY'!$B$6:$B$505,'05_BAO_CAO_NGAY'!$K$6:$K$505,G113))</x:f>
      </x:c>
      <x:c r="U113" s="41" t="str">
        <x:f>IF(OR(G113="",S113&lt;1),"",_xlfn.MAXIFS('05_BAO_CAO_NGAY'!$B$6:$B$505,'05_BAO_CAO_NGAY'!$K$6:$K$505,G113))</x:f>
      </x:c>
      <x:c r="V113" s="29" t="str">
        <x:f>IF(G113="","",IF(S113&gt;=1,IF(U113&lt;=O113,"Hoàn thành đúng hạn","Hoàn thành trễ"),IF(TODAY()&gt;O113,"Quá hạn",IF(R113&gt;0,"Đang thực hiện","Chưa bắt đầu"))))</x:f>
      </x:c>
      <x:c r="W113" s="37" t="str">
        <x:f>IF(G113="","",IFERROR(SUMIF('05_BAO_CAO_NGAY'!$K$6:$K$505,G113,'05_BAO_CAO_NGAY'!$AB$6:$AB$505)/SUMIF('05_BAO_CAO_NGAY'!$K$6:$K$505,G113,'05_BAO_CAO_NGAY'!$AC$6:$AC$505),0))</x:f>
      </x:c>
      <x:c r="X113" s="37" t="str">
        <x:f>IF(G113="","",IFERROR(SUMIFS('05_BAO_CAO_NGAY'!$W$6:$W$505,'05_BAO_CAO_NGAY'!$K$6:$K$505,G113,'05_BAO_CAO_NGAY'!$N$6:$N$505,"PRODUCTION")/SUMIFS('05_BAO_CAO_NGAY'!$U$6:$U$505,'05_BAO_CAO_NGAY'!$K$6:$K$505,G113,'05_BAO_CAO_NGAY'!$N$6:$N$505,"PRODUCTION"),0))</x:f>
      </x:c>
      <x:c r="Y113" s="29" t="str">
        <x:f>IF(G113="","",SUMIF('05_BAO_CAO_NGAY'!$K$6:$K$505,G113,'05_BAO_CAO_NGAY'!$S$6:$S$505))</x:f>
      </x:c>
      <x:c r="Z113" s="21"/>
    </x:row>
    <x:row r="114">
      <x:c r="A114" s="21"/>
      <x:c r="B114" s="21"/>
      <x:c r="C114" s="21"/>
      <x:c r="D114" s="21"/>
      <x:c r="E114" s="21"/>
      <x:c r="F114" s="29" t="str">
        <x:f>IF(OR(B114="",C114=""),"",B114&amp;"|"&amp;C114&amp;"|"&amp;IF(D114="","00",D114)&amp;"|"&amp;IF(E114="","01",E114))</x:f>
      </x:c>
      <x:c r="G114" s="29" t="str">
        <x:f>IF(F114="","",F114&amp;"|"&amp;TEXT(A114,"000"))</x:f>
      </x:c>
      <x:c r="H114" s="21"/>
      <x:c r="I114" s="21"/>
      <x:c r="J114" s="25"/>
      <x:c r="K114" s="25"/>
      <x:c r="L114" s="25"/>
      <x:c r="M114" s="39" t="str">
        <x:f>IF(G114="","",K114+L114*J114)</x:f>
      </x:c>
      <x:c r="N114" s="35"/>
      <x:c r="O114" s="35"/>
      <x:c r="P114" s="21"/>
      <x:c r="Q114" s="21"/>
      <x:c r="R114" s="29" t="str">
        <x:f>IF(G114="","",MIN(J114,SUMIF('05_BAO_CAO_NGAY'!$K$6:$K$505,G114,'05_BAO_CAO_NGAY'!$V$6:$V$505)))</x:f>
      </x:c>
      <x:c r="S114" s="37" t="str">
        <x:f>IF(G114="","",IFERROR(R114/J114,0))</x:f>
      </x:c>
      <x:c r="T114" s="41" t="str">
        <x:f>IF(OR(G114="",COUNTIF('05_BAO_CAO_NGAY'!$K$6:$K$505,G114)=0),"",_xlfn.MINIFS('05_BAO_CAO_NGAY'!$B$6:$B$505,'05_BAO_CAO_NGAY'!$K$6:$K$505,G114))</x:f>
      </x:c>
      <x:c r="U114" s="41" t="str">
        <x:f>IF(OR(G114="",S114&lt;1),"",_xlfn.MAXIFS('05_BAO_CAO_NGAY'!$B$6:$B$505,'05_BAO_CAO_NGAY'!$K$6:$K$505,G114))</x:f>
      </x:c>
      <x:c r="V114" s="29" t="str">
        <x:f>IF(G114="","",IF(S114&gt;=1,IF(U114&lt;=O114,"Hoàn thành đúng hạn","Hoàn thành trễ"),IF(TODAY()&gt;O114,"Quá hạn",IF(R114&gt;0,"Đang thực hiện","Chưa bắt đầu"))))</x:f>
      </x:c>
      <x:c r="W114" s="37" t="str">
        <x:f>IF(G114="","",IFERROR(SUMIF('05_BAO_CAO_NGAY'!$K$6:$K$505,G114,'05_BAO_CAO_NGAY'!$AB$6:$AB$505)/SUMIF('05_BAO_CAO_NGAY'!$K$6:$K$505,G114,'05_BAO_CAO_NGAY'!$AC$6:$AC$505),0))</x:f>
      </x:c>
      <x:c r="X114" s="37" t="str">
        <x:f>IF(G114="","",IFERROR(SUMIFS('05_BAO_CAO_NGAY'!$W$6:$W$505,'05_BAO_CAO_NGAY'!$K$6:$K$505,G114,'05_BAO_CAO_NGAY'!$N$6:$N$505,"PRODUCTION")/SUMIFS('05_BAO_CAO_NGAY'!$U$6:$U$505,'05_BAO_CAO_NGAY'!$K$6:$K$505,G114,'05_BAO_CAO_NGAY'!$N$6:$N$505,"PRODUCTION"),0))</x:f>
      </x:c>
      <x:c r="Y114" s="29" t="str">
        <x:f>IF(G114="","",SUMIF('05_BAO_CAO_NGAY'!$K$6:$K$505,G114,'05_BAO_CAO_NGAY'!$S$6:$S$505))</x:f>
      </x:c>
      <x:c r="Z114" s="21"/>
    </x:row>
    <x:row r="115">
      <x:c r="A115" s="21"/>
      <x:c r="B115" s="21"/>
      <x:c r="C115" s="21"/>
      <x:c r="D115" s="21"/>
      <x:c r="E115" s="21"/>
      <x:c r="F115" s="29" t="str">
        <x:f>IF(OR(B115="",C115=""),"",B115&amp;"|"&amp;C115&amp;"|"&amp;IF(D115="","00",D115)&amp;"|"&amp;IF(E115="","01",E115))</x:f>
      </x:c>
      <x:c r="G115" s="29" t="str">
        <x:f>IF(F115="","",F115&amp;"|"&amp;TEXT(A115,"000"))</x:f>
      </x:c>
      <x:c r="H115" s="21"/>
      <x:c r="I115" s="21"/>
      <x:c r="J115" s="25"/>
      <x:c r="K115" s="25"/>
      <x:c r="L115" s="25"/>
      <x:c r="M115" s="39" t="str">
        <x:f>IF(G115="","",K115+L115*J115)</x:f>
      </x:c>
      <x:c r="N115" s="35"/>
      <x:c r="O115" s="35"/>
      <x:c r="P115" s="21"/>
      <x:c r="Q115" s="21"/>
      <x:c r="R115" s="29" t="str">
        <x:f>IF(G115="","",MIN(J115,SUMIF('05_BAO_CAO_NGAY'!$K$6:$K$505,G115,'05_BAO_CAO_NGAY'!$V$6:$V$505)))</x:f>
      </x:c>
      <x:c r="S115" s="37" t="str">
        <x:f>IF(G115="","",IFERROR(R115/J115,0))</x:f>
      </x:c>
      <x:c r="T115" s="41" t="str">
        <x:f>IF(OR(G115="",COUNTIF('05_BAO_CAO_NGAY'!$K$6:$K$505,G115)=0),"",_xlfn.MINIFS('05_BAO_CAO_NGAY'!$B$6:$B$505,'05_BAO_CAO_NGAY'!$K$6:$K$505,G115))</x:f>
      </x:c>
      <x:c r="U115" s="41" t="str">
        <x:f>IF(OR(G115="",S115&lt;1),"",_xlfn.MAXIFS('05_BAO_CAO_NGAY'!$B$6:$B$505,'05_BAO_CAO_NGAY'!$K$6:$K$505,G115))</x:f>
      </x:c>
      <x:c r="V115" s="29" t="str">
        <x:f>IF(G115="","",IF(S115&gt;=1,IF(U115&lt;=O115,"Hoàn thành đúng hạn","Hoàn thành trễ"),IF(TODAY()&gt;O115,"Quá hạn",IF(R115&gt;0,"Đang thực hiện","Chưa bắt đầu"))))</x:f>
      </x:c>
      <x:c r="W115" s="37" t="str">
        <x:f>IF(G115="","",IFERROR(SUMIF('05_BAO_CAO_NGAY'!$K$6:$K$505,G115,'05_BAO_CAO_NGAY'!$AB$6:$AB$505)/SUMIF('05_BAO_CAO_NGAY'!$K$6:$K$505,G115,'05_BAO_CAO_NGAY'!$AC$6:$AC$505),0))</x:f>
      </x:c>
      <x:c r="X115" s="37" t="str">
        <x:f>IF(G115="","",IFERROR(SUMIFS('05_BAO_CAO_NGAY'!$W$6:$W$505,'05_BAO_CAO_NGAY'!$K$6:$K$505,G115,'05_BAO_CAO_NGAY'!$N$6:$N$505,"PRODUCTION")/SUMIFS('05_BAO_CAO_NGAY'!$U$6:$U$505,'05_BAO_CAO_NGAY'!$K$6:$K$505,G115,'05_BAO_CAO_NGAY'!$N$6:$N$505,"PRODUCTION"),0))</x:f>
      </x:c>
      <x:c r="Y115" s="29" t="str">
        <x:f>IF(G115="","",SUMIF('05_BAO_CAO_NGAY'!$K$6:$K$505,G115,'05_BAO_CAO_NGAY'!$S$6:$S$505))</x:f>
      </x:c>
      <x:c r="Z115" s="21"/>
    </x:row>
    <x:row r="116">
      <x:c r="A116" s="21"/>
      <x:c r="B116" s="21"/>
      <x:c r="C116" s="21"/>
      <x:c r="D116" s="21"/>
      <x:c r="E116" s="21"/>
      <x:c r="F116" s="29" t="str">
        <x:f>IF(OR(B116="",C116=""),"",B116&amp;"|"&amp;C116&amp;"|"&amp;IF(D116="","00",D116)&amp;"|"&amp;IF(E116="","01",E116))</x:f>
      </x:c>
      <x:c r="G116" s="29" t="str">
        <x:f>IF(F116="","",F116&amp;"|"&amp;TEXT(A116,"000"))</x:f>
      </x:c>
      <x:c r="H116" s="21"/>
      <x:c r="I116" s="21"/>
      <x:c r="J116" s="25"/>
      <x:c r="K116" s="25"/>
      <x:c r="L116" s="25"/>
      <x:c r="M116" s="39" t="str">
        <x:f>IF(G116="","",K116+L116*J116)</x:f>
      </x:c>
      <x:c r="N116" s="35"/>
      <x:c r="O116" s="35"/>
      <x:c r="P116" s="21"/>
      <x:c r="Q116" s="21"/>
      <x:c r="R116" s="29" t="str">
        <x:f>IF(G116="","",MIN(J116,SUMIF('05_BAO_CAO_NGAY'!$K$6:$K$505,G116,'05_BAO_CAO_NGAY'!$V$6:$V$505)))</x:f>
      </x:c>
      <x:c r="S116" s="37" t="str">
        <x:f>IF(G116="","",IFERROR(R116/J116,0))</x:f>
      </x:c>
      <x:c r="T116" s="41" t="str">
        <x:f>IF(OR(G116="",COUNTIF('05_BAO_CAO_NGAY'!$K$6:$K$505,G116)=0),"",_xlfn.MINIFS('05_BAO_CAO_NGAY'!$B$6:$B$505,'05_BAO_CAO_NGAY'!$K$6:$K$505,G116))</x:f>
      </x:c>
      <x:c r="U116" s="41" t="str">
        <x:f>IF(OR(G116="",S116&lt;1),"",_xlfn.MAXIFS('05_BAO_CAO_NGAY'!$B$6:$B$505,'05_BAO_CAO_NGAY'!$K$6:$K$505,G116))</x:f>
      </x:c>
      <x:c r="V116" s="29" t="str">
        <x:f>IF(G116="","",IF(S116&gt;=1,IF(U116&lt;=O116,"Hoàn thành đúng hạn","Hoàn thành trễ"),IF(TODAY()&gt;O116,"Quá hạn",IF(R116&gt;0,"Đang thực hiện","Chưa bắt đầu"))))</x:f>
      </x:c>
      <x:c r="W116" s="37" t="str">
        <x:f>IF(G116="","",IFERROR(SUMIF('05_BAO_CAO_NGAY'!$K$6:$K$505,G116,'05_BAO_CAO_NGAY'!$AB$6:$AB$505)/SUMIF('05_BAO_CAO_NGAY'!$K$6:$K$505,G116,'05_BAO_CAO_NGAY'!$AC$6:$AC$505),0))</x:f>
      </x:c>
      <x:c r="X116" s="37" t="str">
        <x:f>IF(G116="","",IFERROR(SUMIFS('05_BAO_CAO_NGAY'!$W$6:$W$505,'05_BAO_CAO_NGAY'!$K$6:$K$505,G116,'05_BAO_CAO_NGAY'!$N$6:$N$505,"PRODUCTION")/SUMIFS('05_BAO_CAO_NGAY'!$U$6:$U$505,'05_BAO_CAO_NGAY'!$K$6:$K$505,G116,'05_BAO_CAO_NGAY'!$N$6:$N$505,"PRODUCTION"),0))</x:f>
      </x:c>
      <x:c r="Y116" s="29" t="str">
        <x:f>IF(G116="","",SUMIF('05_BAO_CAO_NGAY'!$K$6:$K$505,G116,'05_BAO_CAO_NGAY'!$S$6:$S$505))</x:f>
      </x:c>
      <x:c r="Z116" s="21"/>
    </x:row>
    <x:row r="117">
      <x:c r="A117" s="21"/>
      <x:c r="B117" s="21"/>
      <x:c r="C117" s="21"/>
      <x:c r="D117" s="21"/>
      <x:c r="E117" s="21"/>
      <x:c r="F117" s="29" t="str">
        <x:f>IF(OR(B117="",C117=""),"",B117&amp;"|"&amp;C117&amp;"|"&amp;IF(D117="","00",D117)&amp;"|"&amp;IF(E117="","01",E117))</x:f>
      </x:c>
      <x:c r="G117" s="29" t="str">
        <x:f>IF(F117="","",F117&amp;"|"&amp;TEXT(A117,"000"))</x:f>
      </x:c>
      <x:c r="H117" s="21"/>
      <x:c r="I117" s="21"/>
      <x:c r="J117" s="25"/>
      <x:c r="K117" s="25"/>
      <x:c r="L117" s="25"/>
      <x:c r="M117" s="39" t="str">
        <x:f>IF(G117="","",K117+L117*J117)</x:f>
      </x:c>
      <x:c r="N117" s="35"/>
      <x:c r="O117" s="35"/>
      <x:c r="P117" s="21"/>
      <x:c r="Q117" s="21"/>
      <x:c r="R117" s="29" t="str">
        <x:f>IF(G117="","",MIN(J117,SUMIF('05_BAO_CAO_NGAY'!$K$6:$K$505,G117,'05_BAO_CAO_NGAY'!$V$6:$V$505)))</x:f>
      </x:c>
      <x:c r="S117" s="37" t="str">
        <x:f>IF(G117="","",IFERROR(R117/J117,0))</x:f>
      </x:c>
      <x:c r="T117" s="41" t="str">
        <x:f>IF(OR(G117="",COUNTIF('05_BAO_CAO_NGAY'!$K$6:$K$505,G117)=0),"",_xlfn.MINIFS('05_BAO_CAO_NGAY'!$B$6:$B$505,'05_BAO_CAO_NGAY'!$K$6:$K$505,G117))</x:f>
      </x:c>
      <x:c r="U117" s="41" t="str">
        <x:f>IF(OR(G117="",S117&lt;1),"",_xlfn.MAXIFS('05_BAO_CAO_NGAY'!$B$6:$B$505,'05_BAO_CAO_NGAY'!$K$6:$K$505,G117))</x:f>
      </x:c>
      <x:c r="V117" s="29" t="str">
        <x:f>IF(G117="","",IF(S117&gt;=1,IF(U117&lt;=O117,"Hoàn thành đúng hạn","Hoàn thành trễ"),IF(TODAY()&gt;O117,"Quá hạn",IF(R117&gt;0,"Đang thực hiện","Chưa bắt đầu"))))</x:f>
      </x:c>
      <x:c r="W117" s="37" t="str">
        <x:f>IF(G117="","",IFERROR(SUMIF('05_BAO_CAO_NGAY'!$K$6:$K$505,G117,'05_BAO_CAO_NGAY'!$AB$6:$AB$505)/SUMIF('05_BAO_CAO_NGAY'!$K$6:$K$505,G117,'05_BAO_CAO_NGAY'!$AC$6:$AC$505),0))</x:f>
      </x:c>
      <x:c r="X117" s="37" t="str">
        <x:f>IF(G117="","",IFERROR(SUMIFS('05_BAO_CAO_NGAY'!$W$6:$W$505,'05_BAO_CAO_NGAY'!$K$6:$K$505,G117,'05_BAO_CAO_NGAY'!$N$6:$N$505,"PRODUCTION")/SUMIFS('05_BAO_CAO_NGAY'!$U$6:$U$505,'05_BAO_CAO_NGAY'!$K$6:$K$505,G117,'05_BAO_CAO_NGAY'!$N$6:$N$505,"PRODUCTION"),0))</x:f>
      </x:c>
      <x:c r="Y117" s="29" t="str">
        <x:f>IF(G117="","",SUMIF('05_BAO_CAO_NGAY'!$K$6:$K$505,G117,'05_BAO_CAO_NGAY'!$S$6:$S$505))</x:f>
      </x:c>
      <x:c r="Z117" s="21"/>
    </x:row>
    <x:row r="118">
      <x:c r="A118" s="21"/>
      <x:c r="B118" s="21"/>
      <x:c r="C118" s="21"/>
      <x:c r="D118" s="21"/>
      <x:c r="E118" s="21"/>
      <x:c r="F118" s="29" t="str">
        <x:f>IF(OR(B118="",C118=""),"",B118&amp;"|"&amp;C118&amp;"|"&amp;IF(D118="","00",D118)&amp;"|"&amp;IF(E118="","01",E118))</x:f>
      </x:c>
      <x:c r="G118" s="29" t="str">
        <x:f>IF(F118="","",F118&amp;"|"&amp;TEXT(A118,"000"))</x:f>
      </x:c>
      <x:c r="H118" s="21"/>
      <x:c r="I118" s="21"/>
      <x:c r="J118" s="25"/>
      <x:c r="K118" s="25"/>
      <x:c r="L118" s="25"/>
      <x:c r="M118" s="39" t="str">
        <x:f>IF(G118="","",K118+L118*J118)</x:f>
      </x:c>
      <x:c r="N118" s="35"/>
      <x:c r="O118" s="35"/>
      <x:c r="P118" s="21"/>
      <x:c r="Q118" s="21"/>
      <x:c r="R118" s="29" t="str">
        <x:f>IF(G118="","",MIN(J118,SUMIF('05_BAO_CAO_NGAY'!$K$6:$K$505,G118,'05_BAO_CAO_NGAY'!$V$6:$V$505)))</x:f>
      </x:c>
      <x:c r="S118" s="37" t="str">
        <x:f>IF(G118="","",IFERROR(R118/J118,0))</x:f>
      </x:c>
      <x:c r="T118" s="41" t="str">
        <x:f>IF(OR(G118="",COUNTIF('05_BAO_CAO_NGAY'!$K$6:$K$505,G118)=0),"",_xlfn.MINIFS('05_BAO_CAO_NGAY'!$B$6:$B$505,'05_BAO_CAO_NGAY'!$K$6:$K$505,G118))</x:f>
      </x:c>
      <x:c r="U118" s="41" t="str">
        <x:f>IF(OR(G118="",S118&lt;1),"",_xlfn.MAXIFS('05_BAO_CAO_NGAY'!$B$6:$B$505,'05_BAO_CAO_NGAY'!$K$6:$K$505,G118))</x:f>
      </x:c>
      <x:c r="V118" s="29" t="str">
        <x:f>IF(G118="","",IF(S118&gt;=1,IF(U118&lt;=O118,"Hoàn thành đúng hạn","Hoàn thành trễ"),IF(TODAY()&gt;O118,"Quá hạn",IF(R118&gt;0,"Đang thực hiện","Chưa bắt đầu"))))</x:f>
      </x:c>
      <x:c r="W118" s="37" t="str">
        <x:f>IF(G118="","",IFERROR(SUMIF('05_BAO_CAO_NGAY'!$K$6:$K$505,G118,'05_BAO_CAO_NGAY'!$AB$6:$AB$505)/SUMIF('05_BAO_CAO_NGAY'!$K$6:$K$505,G118,'05_BAO_CAO_NGAY'!$AC$6:$AC$505),0))</x:f>
      </x:c>
      <x:c r="X118" s="37" t="str">
        <x:f>IF(G118="","",IFERROR(SUMIFS('05_BAO_CAO_NGAY'!$W$6:$W$505,'05_BAO_CAO_NGAY'!$K$6:$K$505,G118,'05_BAO_CAO_NGAY'!$N$6:$N$505,"PRODUCTION")/SUMIFS('05_BAO_CAO_NGAY'!$U$6:$U$505,'05_BAO_CAO_NGAY'!$K$6:$K$505,G118,'05_BAO_CAO_NGAY'!$N$6:$N$505,"PRODUCTION"),0))</x:f>
      </x:c>
      <x:c r="Y118" s="29" t="str">
        <x:f>IF(G118="","",SUMIF('05_BAO_CAO_NGAY'!$K$6:$K$505,G118,'05_BAO_CAO_NGAY'!$S$6:$S$505))</x:f>
      </x:c>
      <x:c r="Z118" s="21"/>
    </x:row>
    <x:row r="119">
      <x:c r="A119" s="21"/>
      <x:c r="B119" s="21"/>
      <x:c r="C119" s="21"/>
      <x:c r="D119" s="21"/>
      <x:c r="E119" s="21"/>
      <x:c r="F119" s="29" t="str">
        <x:f>IF(OR(B119="",C119=""),"",B119&amp;"|"&amp;C119&amp;"|"&amp;IF(D119="","00",D119)&amp;"|"&amp;IF(E119="","01",E119))</x:f>
      </x:c>
      <x:c r="G119" s="29" t="str">
        <x:f>IF(F119="","",F119&amp;"|"&amp;TEXT(A119,"000"))</x:f>
      </x:c>
      <x:c r="H119" s="21"/>
      <x:c r="I119" s="21"/>
      <x:c r="J119" s="25"/>
      <x:c r="K119" s="25"/>
      <x:c r="L119" s="25"/>
      <x:c r="M119" s="39" t="str">
        <x:f>IF(G119="","",K119+L119*J119)</x:f>
      </x:c>
      <x:c r="N119" s="35"/>
      <x:c r="O119" s="35"/>
      <x:c r="P119" s="21"/>
      <x:c r="Q119" s="21"/>
      <x:c r="R119" s="29" t="str">
        <x:f>IF(G119="","",MIN(J119,SUMIF('05_BAO_CAO_NGAY'!$K$6:$K$505,G119,'05_BAO_CAO_NGAY'!$V$6:$V$505)))</x:f>
      </x:c>
      <x:c r="S119" s="37" t="str">
        <x:f>IF(G119="","",IFERROR(R119/J119,0))</x:f>
      </x:c>
      <x:c r="T119" s="41" t="str">
        <x:f>IF(OR(G119="",COUNTIF('05_BAO_CAO_NGAY'!$K$6:$K$505,G119)=0),"",_xlfn.MINIFS('05_BAO_CAO_NGAY'!$B$6:$B$505,'05_BAO_CAO_NGAY'!$K$6:$K$505,G119))</x:f>
      </x:c>
      <x:c r="U119" s="41" t="str">
        <x:f>IF(OR(G119="",S119&lt;1),"",_xlfn.MAXIFS('05_BAO_CAO_NGAY'!$B$6:$B$505,'05_BAO_CAO_NGAY'!$K$6:$K$505,G119))</x:f>
      </x:c>
      <x:c r="V119" s="29" t="str">
        <x:f>IF(G119="","",IF(S119&gt;=1,IF(U119&lt;=O119,"Hoàn thành đúng hạn","Hoàn thành trễ"),IF(TODAY()&gt;O119,"Quá hạn",IF(R119&gt;0,"Đang thực hiện","Chưa bắt đầu"))))</x:f>
      </x:c>
      <x:c r="W119" s="37" t="str">
        <x:f>IF(G119="","",IFERROR(SUMIF('05_BAO_CAO_NGAY'!$K$6:$K$505,G119,'05_BAO_CAO_NGAY'!$AB$6:$AB$505)/SUMIF('05_BAO_CAO_NGAY'!$K$6:$K$505,G119,'05_BAO_CAO_NGAY'!$AC$6:$AC$505),0))</x:f>
      </x:c>
      <x:c r="X119" s="37" t="str">
        <x:f>IF(G119="","",IFERROR(SUMIFS('05_BAO_CAO_NGAY'!$W$6:$W$505,'05_BAO_CAO_NGAY'!$K$6:$K$505,G119,'05_BAO_CAO_NGAY'!$N$6:$N$505,"PRODUCTION")/SUMIFS('05_BAO_CAO_NGAY'!$U$6:$U$505,'05_BAO_CAO_NGAY'!$K$6:$K$505,G119,'05_BAO_CAO_NGAY'!$N$6:$N$505,"PRODUCTION"),0))</x:f>
      </x:c>
      <x:c r="Y119" s="29" t="str">
        <x:f>IF(G119="","",SUMIF('05_BAO_CAO_NGAY'!$K$6:$K$505,G119,'05_BAO_CAO_NGAY'!$S$6:$S$505))</x:f>
      </x:c>
      <x:c r="Z119" s="21"/>
    </x:row>
    <x:row r="120">
      <x:c r="A120" s="21"/>
      <x:c r="B120" s="21"/>
      <x:c r="C120" s="21"/>
      <x:c r="D120" s="21"/>
      <x:c r="E120" s="21"/>
      <x:c r="F120" s="29" t="str">
        <x:f>IF(OR(B120="",C120=""),"",B120&amp;"|"&amp;C120&amp;"|"&amp;IF(D120="","00",D120)&amp;"|"&amp;IF(E120="","01",E120))</x:f>
      </x:c>
      <x:c r="G120" s="29" t="str">
        <x:f>IF(F120="","",F120&amp;"|"&amp;TEXT(A120,"000"))</x:f>
      </x:c>
      <x:c r="H120" s="21"/>
      <x:c r="I120" s="21"/>
      <x:c r="J120" s="25"/>
      <x:c r="K120" s="25"/>
      <x:c r="L120" s="25"/>
      <x:c r="M120" s="39" t="str">
        <x:f>IF(G120="","",K120+L120*J120)</x:f>
      </x:c>
      <x:c r="N120" s="35"/>
      <x:c r="O120" s="35"/>
      <x:c r="P120" s="21"/>
      <x:c r="Q120" s="21"/>
      <x:c r="R120" s="29" t="str">
        <x:f>IF(G120="","",MIN(J120,SUMIF('05_BAO_CAO_NGAY'!$K$6:$K$505,G120,'05_BAO_CAO_NGAY'!$V$6:$V$505)))</x:f>
      </x:c>
      <x:c r="S120" s="37" t="str">
        <x:f>IF(G120="","",IFERROR(R120/J120,0))</x:f>
      </x:c>
      <x:c r="T120" s="41" t="str">
        <x:f>IF(OR(G120="",COUNTIF('05_BAO_CAO_NGAY'!$K$6:$K$505,G120)=0),"",_xlfn.MINIFS('05_BAO_CAO_NGAY'!$B$6:$B$505,'05_BAO_CAO_NGAY'!$K$6:$K$505,G120))</x:f>
      </x:c>
      <x:c r="U120" s="41" t="str">
        <x:f>IF(OR(G120="",S120&lt;1),"",_xlfn.MAXIFS('05_BAO_CAO_NGAY'!$B$6:$B$505,'05_BAO_CAO_NGAY'!$K$6:$K$505,G120))</x:f>
      </x:c>
      <x:c r="V120" s="29" t="str">
        <x:f>IF(G120="","",IF(S120&gt;=1,IF(U120&lt;=O120,"Hoàn thành đúng hạn","Hoàn thành trễ"),IF(TODAY()&gt;O120,"Quá hạn",IF(R120&gt;0,"Đang thực hiện","Chưa bắt đầu"))))</x:f>
      </x:c>
      <x:c r="W120" s="37" t="str">
        <x:f>IF(G120="","",IFERROR(SUMIF('05_BAO_CAO_NGAY'!$K$6:$K$505,G120,'05_BAO_CAO_NGAY'!$AB$6:$AB$505)/SUMIF('05_BAO_CAO_NGAY'!$K$6:$K$505,G120,'05_BAO_CAO_NGAY'!$AC$6:$AC$505),0))</x:f>
      </x:c>
      <x:c r="X120" s="37" t="str">
        <x:f>IF(G120="","",IFERROR(SUMIFS('05_BAO_CAO_NGAY'!$W$6:$W$505,'05_BAO_CAO_NGAY'!$K$6:$K$505,G120,'05_BAO_CAO_NGAY'!$N$6:$N$505,"PRODUCTION")/SUMIFS('05_BAO_CAO_NGAY'!$U$6:$U$505,'05_BAO_CAO_NGAY'!$K$6:$K$505,G120,'05_BAO_CAO_NGAY'!$N$6:$N$505,"PRODUCTION"),0))</x:f>
      </x:c>
      <x:c r="Y120" s="29" t="str">
        <x:f>IF(G120="","",SUMIF('05_BAO_CAO_NGAY'!$K$6:$K$505,G120,'05_BAO_CAO_NGAY'!$S$6:$S$505))</x:f>
      </x:c>
      <x:c r="Z120" s="21"/>
    </x:row>
    <x:row r="121">
      <x:c r="A121" s="21"/>
      <x:c r="B121" s="21"/>
      <x:c r="C121" s="21"/>
      <x:c r="D121" s="21"/>
      <x:c r="E121" s="21"/>
      <x:c r="F121" s="29" t="str">
        <x:f>IF(OR(B121="",C121=""),"",B121&amp;"|"&amp;C121&amp;"|"&amp;IF(D121="","00",D121)&amp;"|"&amp;IF(E121="","01",E121))</x:f>
      </x:c>
      <x:c r="G121" s="29" t="str">
        <x:f>IF(F121="","",F121&amp;"|"&amp;TEXT(A121,"000"))</x:f>
      </x:c>
      <x:c r="H121" s="21"/>
      <x:c r="I121" s="21"/>
      <x:c r="J121" s="25"/>
      <x:c r="K121" s="25"/>
      <x:c r="L121" s="25"/>
      <x:c r="M121" s="39" t="str">
        <x:f>IF(G121="","",K121+L121*J121)</x:f>
      </x:c>
      <x:c r="N121" s="35"/>
      <x:c r="O121" s="35"/>
      <x:c r="P121" s="21"/>
      <x:c r="Q121" s="21"/>
      <x:c r="R121" s="29" t="str">
        <x:f>IF(G121="","",MIN(J121,SUMIF('05_BAO_CAO_NGAY'!$K$6:$K$505,G121,'05_BAO_CAO_NGAY'!$V$6:$V$505)))</x:f>
      </x:c>
      <x:c r="S121" s="37" t="str">
        <x:f>IF(G121="","",IFERROR(R121/J121,0))</x:f>
      </x:c>
      <x:c r="T121" s="41" t="str">
        <x:f>IF(OR(G121="",COUNTIF('05_BAO_CAO_NGAY'!$K$6:$K$505,G121)=0),"",_xlfn.MINIFS('05_BAO_CAO_NGAY'!$B$6:$B$505,'05_BAO_CAO_NGAY'!$K$6:$K$505,G121))</x:f>
      </x:c>
      <x:c r="U121" s="41" t="str">
        <x:f>IF(OR(G121="",S121&lt;1),"",_xlfn.MAXIFS('05_BAO_CAO_NGAY'!$B$6:$B$505,'05_BAO_CAO_NGAY'!$K$6:$K$505,G121))</x:f>
      </x:c>
      <x:c r="V121" s="29" t="str">
        <x:f>IF(G121="","",IF(S121&gt;=1,IF(U121&lt;=O121,"Hoàn thành đúng hạn","Hoàn thành trễ"),IF(TODAY()&gt;O121,"Quá hạn",IF(R121&gt;0,"Đang thực hiện","Chưa bắt đầu"))))</x:f>
      </x:c>
      <x:c r="W121" s="37" t="str">
        <x:f>IF(G121="","",IFERROR(SUMIF('05_BAO_CAO_NGAY'!$K$6:$K$505,G121,'05_BAO_CAO_NGAY'!$AB$6:$AB$505)/SUMIF('05_BAO_CAO_NGAY'!$K$6:$K$505,G121,'05_BAO_CAO_NGAY'!$AC$6:$AC$505),0))</x:f>
      </x:c>
      <x:c r="X121" s="37" t="str">
        <x:f>IF(G121="","",IFERROR(SUMIFS('05_BAO_CAO_NGAY'!$W$6:$W$505,'05_BAO_CAO_NGAY'!$K$6:$K$505,G121,'05_BAO_CAO_NGAY'!$N$6:$N$505,"PRODUCTION")/SUMIFS('05_BAO_CAO_NGAY'!$U$6:$U$505,'05_BAO_CAO_NGAY'!$K$6:$K$505,G121,'05_BAO_CAO_NGAY'!$N$6:$N$505,"PRODUCTION"),0))</x:f>
      </x:c>
      <x:c r="Y121" s="29" t="str">
        <x:f>IF(G121="","",SUMIF('05_BAO_CAO_NGAY'!$K$6:$K$505,G121,'05_BAO_CAO_NGAY'!$S$6:$S$505))</x:f>
      </x:c>
      <x:c r="Z121" s="21"/>
    </x:row>
    <x:row r="122">
      <x:c r="A122" s="21"/>
      <x:c r="B122" s="21"/>
      <x:c r="C122" s="21"/>
      <x:c r="D122" s="21"/>
      <x:c r="E122" s="21"/>
      <x:c r="F122" s="29" t="str">
        <x:f>IF(OR(B122="",C122=""),"",B122&amp;"|"&amp;C122&amp;"|"&amp;IF(D122="","00",D122)&amp;"|"&amp;IF(E122="","01",E122))</x:f>
      </x:c>
      <x:c r="G122" s="29" t="str">
        <x:f>IF(F122="","",F122&amp;"|"&amp;TEXT(A122,"000"))</x:f>
      </x:c>
      <x:c r="H122" s="21"/>
      <x:c r="I122" s="21"/>
      <x:c r="J122" s="25"/>
      <x:c r="K122" s="25"/>
      <x:c r="L122" s="25"/>
      <x:c r="M122" s="39" t="str">
        <x:f>IF(G122="","",K122+L122*J122)</x:f>
      </x:c>
      <x:c r="N122" s="35"/>
      <x:c r="O122" s="35"/>
      <x:c r="P122" s="21"/>
      <x:c r="Q122" s="21"/>
      <x:c r="R122" s="29" t="str">
        <x:f>IF(G122="","",MIN(J122,SUMIF('05_BAO_CAO_NGAY'!$K$6:$K$505,G122,'05_BAO_CAO_NGAY'!$V$6:$V$505)))</x:f>
      </x:c>
      <x:c r="S122" s="37" t="str">
        <x:f>IF(G122="","",IFERROR(R122/J122,0))</x:f>
      </x:c>
      <x:c r="T122" s="41" t="str">
        <x:f>IF(OR(G122="",COUNTIF('05_BAO_CAO_NGAY'!$K$6:$K$505,G122)=0),"",_xlfn.MINIFS('05_BAO_CAO_NGAY'!$B$6:$B$505,'05_BAO_CAO_NGAY'!$K$6:$K$505,G122))</x:f>
      </x:c>
      <x:c r="U122" s="41" t="str">
        <x:f>IF(OR(G122="",S122&lt;1),"",_xlfn.MAXIFS('05_BAO_CAO_NGAY'!$B$6:$B$505,'05_BAO_CAO_NGAY'!$K$6:$K$505,G122))</x:f>
      </x:c>
      <x:c r="V122" s="29" t="str">
        <x:f>IF(G122="","",IF(S122&gt;=1,IF(U122&lt;=O122,"Hoàn thành đúng hạn","Hoàn thành trễ"),IF(TODAY()&gt;O122,"Quá hạn",IF(R122&gt;0,"Đang thực hiện","Chưa bắt đầu"))))</x:f>
      </x:c>
      <x:c r="W122" s="37" t="str">
        <x:f>IF(G122="","",IFERROR(SUMIF('05_BAO_CAO_NGAY'!$K$6:$K$505,G122,'05_BAO_CAO_NGAY'!$AB$6:$AB$505)/SUMIF('05_BAO_CAO_NGAY'!$K$6:$K$505,G122,'05_BAO_CAO_NGAY'!$AC$6:$AC$505),0))</x:f>
      </x:c>
      <x:c r="X122" s="37" t="str">
        <x:f>IF(G122="","",IFERROR(SUMIFS('05_BAO_CAO_NGAY'!$W$6:$W$505,'05_BAO_CAO_NGAY'!$K$6:$K$505,G122,'05_BAO_CAO_NGAY'!$N$6:$N$505,"PRODUCTION")/SUMIFS('05_BAO_CAO_NGAY'!$U$6:$U$505,'05_BAO_CAO_NGAY'!$K$6:$K$505,G122,'05_BAO_CAO_NGAY'!$N$6:$N$505,"PRODUCTION"),0))</x:f>
      </x:c>
      <x:c r="Y122" s="29" t="str">
        <x:f>IF(G122="","",SUMIF('05_BAO_CAO_NGAY'!$K$6:$K$505,G122,'05_BAO_CAO_NGAY'!$S$6:$S$505))</x:f>
      </x:c>
      <x:c r="Z122" s="21"/>
    </x:row>
    <x:row r="123">
      <x:c r="A123" s="21"/>
      <x:c r="B123" s="21"/>
      <x:c r="C123" s="21"/>
      <x:c r="D123" s="21"/>
      <x:c r="E123" s="21"/>
      <x:c r="F123" s="29" t="str">
        <x:f>IF(OR(B123="",C123=""),"",B123&amp;"|"&amp;C123&amp;"|"&amp;IF(D123="","00",D123)&amp;"|"&amp;IF(E123="","01",E123))</x:f>
      </x:c>
      <x:c r="G123" s="29" t="str">
        <x:f>IF(F123="","",F123&amp;"|"&amp;TEXT(A123,"000"))</x:f>
      </x:c>
      <x:c r="H123" s="21"/>
      <x:c r="I123" s="21"/>
      <x:c r="J123" s="25"/>
      <x:c r="K123" s="25"/>
      <x:c r="L123" s="25"/>
      <x:c r="M123" s="39" t="str">
        <x:f>IF(G123="","",K123+L123*J123)</x:f>
      </x:c>
      <x:c r="N123" s="35"/>
      <x:c r="O123" s="35"/>
      <x:c r="P123" s="21"/>
      <x:c r="Q123" s="21"/>
      <x:c r="R123" s="29" t="str">
        <x:f>IF(G123="","",MIN(J123,SUMIF('05_BAO_CAO_NGAY'!$K$6:$K$505,G123,'05_BAO_CAO_NGAY'!$V$6:$V$505)))</x:f>
      </x:c>
      <x:c r="S123" s="37" t="str">
        <x:f>IF(G123="","",IFERROR(R123/J123,0))</x:f>
      </x:c>
      <x:c r="T123" s="41" t="str">
        <x:f>IF(OR(G123="",COUNTIF('05_BAO_CAO_NGAY'!$K$6:$K$505,G123)=0),"",_xlfn.MINIFS('05_BAO_CAO_NGAY'!$B$6:$B$505,'05_BAO_CAO_NGAY'!$K$6:$K$505,G123))</x:f>
      </x:c>
      <x:c r="U123" s="41" t="str">
        <x:f>IF(OR(G123="",S123&lt;1),"",_xlfn.MAXIFS('05_BAO_CAO_NGAY'!$B$6:$B$505,'05_BAO_CAO_NGAY'!$K$6:$K$505,G123))</x:f>
      </x:c>
      <x:c r="V123" s="29" t="str">
        <x:f>IF(G123="","",IF(S123&gt;=1,IF(U123&lt;=O123,"Hoàn thành đúng hạn","Hoàn thành trễ"),IF(TODAY()&gt;O123,"Quá hạn",IF(R123&gt;0,"Đang thực hiện","Chưa bắt đầu"))))</x:f>
      </x:c>
      <x:c r="W123" s="37" t="str">
        <x:f>IF(G123="","",IFERROR(SUMIF('05_BAO_CAO_NGAY'!$K$6:$K$505,G123,'05_BAO_CAO_NGAY'!$AB$6:$AB$505)/SUMIF('05_BAO_CAO_NGAY'!$K$6:$K$505,G123,'05_BAO_CAO_NGAY'!$AC$6:$AC$505),0))</x:f>
      </x:c>
      <x:c r="X123" s="37" t="str">
        <x:f>IF(G123="","",IFERROR(SUMIFS('05_BAO_CAO_NGAY'!$W$6:$W$505,'05_BAO_CAO_NGAY'!$K$6:$K$505,G123,'05_BAO_CAO_NGAY'!$N$6:$N$505,"PRODUCTION")/SUMIFS('05_BAO_CAO_NGAY'!$U$6:$U$505,'05_BAO_CAO_NGAY'!$K$6:$K$505,G123,'05_BAO_CAO_NGAY'!$N$6:$N$505,"PRODUCTION"),0))</x:f>
      </x:c>
      <x:c r="Y123" s="29" t="str">
        <x:f>IF(G123="","",SUMIF('05_BAO_CAO_NGAY'!$K$6:$K$505,G123,'05_BAO_CAO_NGAY'!$S$6:$S$505))</x:f>
      </x:c>
      <x:c r="Z123" s="21"/>
    </x:row>
    <x:row r="124">
      <x:c r="A124" s="21"/>
      <x:c r="B124" s="21"/>
      <x:c r="C124" s="21"/>
      <x:c r="D124" s="21"/>
      <x:c r="E124" s="21"/>
      <x:c r="F124" s="29" t="str">
        <x:f>IF(OR(B124="",C124=""),"",B124&amp;"|"&amp;C124&amp;"|"&amp;IF(D124="","00",D124)&amp;"|"&amp;IF(E124="","01",E124))</x:f>
      </x:c>
      <x:c r="G124" s="29" t="str">
        <x:f>IF(F124="","",F124&amp;"|"&amp;TEXT(A124,"000"))</x:f>
      </x:c>
      <x:c r="H124" s="21"/>
      <x:c r="I124" s="21"/>
      <x:c r="J124" s="25"/>
      <x:c r="K124" s="25"/>
      <x:c r="L124" s="25"/>
      <x:c r="M124" s="39" t="str">
        <x:f>IF(G124="","",K124+L124*J124)</x:f>
      </x:c>
      <x:c r="N124" s="35"/>
      <x:c r="O124" s="35"/>
      <x:c r="P124" s="21"/>
      <x:c r="Q124" s="21"/>
      <x:c r="R124" s="29" t="str">
        <x:f>IF(G124="","",MIN(J124,SUMIF('05_BAO_CAO_NGAY'!$K$6:$K$505,G124,'05_BAO_CAO_NGAY'!$V$6:$V$505)))</x:f>
      </x:c>
      <x:c r="S124" s="37" t="str">
        <x:f>IF(G124="","",IFERROR(R124/J124,0))</x:f>
      </x:c>
      <x:c r="T124" s="41" t="str">
        <x:f>IF(OR(G124="",COUNTIF('05_BAO_CAO_NGAY'!$K$6:$K$505,G124)=0),"",_xlfn.MINIFS('05_BAO_CAO_NGAY'!$B$6:$B$505,'05_BAO_CAO_NGAY'!$K$6:$K$505,G124))</x:f>
      </x:c>
      <x:c r="U124" s="41" t="str">
        <x:f>IF(OR(G124="",S124&lt;1),"",_xlfn.MAXIFS('05_BAO_CAO_NGAY'!$B$6:$B$505,'05_BAO_CAO_NGAY'!$K$6:$K$505,G124))</x:f>
      </x:c>
      <x:c r="V124" s="29" t="str">
        <x:f>IF(G124="","",IF(S124&gt;=1,IF(U124&lt;=O124,"Hoàn thành đúng hạn","Hoàn thành trễ"),IF(TODAY()&gt;O124,"Quá hạn",IF(R124&gt;0,"Đang thực hiện","Chưa bắt đầu"))))</x:f>
      </x:c>
      <x:c r="W124" s="37" t="str">
        <x:f>IF(G124="","",IFERROR(SUMIF('05_BAO_CAO_NGAY'!$K$6:$K$505,G124,'05_BAO_CAO_NGAY'!$AB$6:$AB$505)/SUMIF('05_BAO_CAO_NGAY'!$K$6:$K$505,G124,'05_BAO_CAO_NGAY'!$AC$6:$AC$505),0))</x:f>
      </x:c>
      <x:c r="X124" s="37" t="str">
        <x:f>IF(G124="","",IFERROR(SUMIFS('05_BAO_CAO_NGAY'!$W$6:$W$505,'05_BAO_CAO_NGAY'!$K$6:$K$505,G124,'05_BAO_CAO_NGAY'!$N$6:$N$505,"PRODUCTION")/SUMIFS('05_BAO_CAO_NGAY'!$U$6:$U$505,'05_BAO_CAO_NGAY'!$K$6:$K$505,G124,'05_BAO_CAO_NGAY'!$N$6:$N$505,"PRODUCTION"),0))</x:f>
      </x:c>
      <x:c r="Y124" s="29" t="str">
        <x:f>IF(G124="","",SUMIF('05_BAO_CAO_NGAY'!$K$6:$K$505,G124,'05_BAO_CAO_NGAY'!$S$6:$S$505))</x:f>
      </x:c>
      <x:c r="Z124" s="21"/>
    </x:row>
    <x:row r="125">
      <x:c r="A125" s="21"/>
      <x:c r="B125" s="21"/>
      <x:c r="C125" s="21"/>
      <x:c r="D125" s="21"/>
      <x:c r="E125" s="21"/>
      <x:c r="F125" s="29" t="str">
        <x:f>IF(OR(B125="",C125=""),"",B125&amp;"|"&amp;C125&amp;"|"&amp;IF(D125="","00",D125)&amp;"|"&amp;IF(E125="","01",E125))</x:f>
      </x:c>
      <x:c r="G125" s="29" t="str">
        <x:f>IF(F125="","",F125&amp;"|"&amp;TEXT(A125,"000"))</x:f>
      </x:c>
      <x:c r="H125" s="21"/>
      <x:c r="I125" s="21"/>
      <x:c r="J125" s="25"/>
      <x:c r="K125" s="25"/>
      <x:c r="L125" s="25"/>
      <x:c r="M125" s="39" t="str">
        <x:f>IF(G125="","",K125+L125*J125)</x:f>
      </x:c>
      <x:c r="N125" s="35"/>
      <x:c r="O125" s="35"/>
      <x:c r="P125" s="21"/>
      <x:c r="Q125" s="21"/>
      <x:c r="R125" s="29" t="str">
        <x:f>IF(G125="","",MIN(J125,SUMIF('05_BAO_CAO_NGAY'!$K$6:$K$505,G125,'05_BAO_CAO_NGAY'!$V$6:$V$505)))</x:f>
      </x:c>
      <x:c r="S125" s="37" t="str">
        <x:f>IF(G125="","",IFERROR(R125/J125,0))</x:f>
      </x:c>
      <x:c r="T125" s="41" t="str">
        <x:f>IF(OR(G125="",COUNTIF('05_BAO_CAO_NGAY'!$K$6:$K$505,G125)=0),"",_xlfn.MINIFS('05_BAO_CAO_NGAY'!$B$6:$B$505,'05_BAO_CAO_NGAY'!$K$6:$K$505,G125))</x:f>
      </x:c>
      <x:c r="U125" s="41" t="str">
        <x:f>IF(OR(G125="",S125&lt;1),"",_xlfn.MAXIFS('05_BAO_CAO_NGAY'!$B$6:$B$505,'05_BAO_CAO_NGAY'!$K$6:$K$505,G125))</x:f>
      </x:c>
      <x:c r="V125" s="29" t="str">
        <x:f>IF(G125="","",IF(S125&gt;=1,IF(U125&lt;=O125,"Hoàn thành đúng hạn","Hoàn thành trễ"),IF(TODAY()&gt;O125,"Quá hạn",IF(R125&gt;0,"Đang thực hiện","Chưa bắt đầu"))))</x:f>
      </x:c>
      <x:c r="W125" s="37" t="str">
        <x:f>IF(G125="","",IFERROR(SUMIF('05_BAO_CAO_NGAY'!$K$6:$K$505,G125,'05_BAO_CAO_NGAY'!$AB$6:$AB$505)/SUMIF('05_BAO_CAO_NGAY'!$K$6:$K$505,G125,'05_BAO_CAO_NGAY'!$AC$6:$AC$505),0))</x:f>
      </x:c>
      <x:c r="X125" s="37" t="str">
        <x:f>IF(G125="","",IFERROR(SUMIFS('05_BAO_CAO_NGAY'!$W$6:$W$505,'05_BAO_CAO_NGAY'!$K$6:$K$505,G125,'05_BAO_CAO_NGAY'!$N$6:$N$505,"PRODUCTION")/SUMIFS('05_BAO_CAO_NGAY'!$U$6:$U$505,'05_BAO_CAO_NGAY'!$K$6:$K$505,G125,'05_BAO_CAO_NGAY'!$N$6:$N$505,"PRODUCTION"),0))</x:f>
      </x:c>
      <x:c r="Y125" s="29" t="str">
        <x:f>IF(G125="","",SUMIF('05_BAO_CAO_NGAY'!$K$6:$K$505,G125,'05_BAO_CAO_NGAY'!$S$6:$S$505))</x:f>
      </x:c>
      <x:c r="Z125" s="21"/>
    </x:row>
    <x:row r="126">
      <x:c r="A126" s="21"/>
      <x:c r="B126" s="21"/>
      <x:c r="C126" s="21"/>
      <x:c r="D126" s="21"/>
      <x:c r="E126" s="21"/>
      <x:c r="F126" s="29" t="str">
        <x:f>IF(OR(B126="",C126=""),"",B126&amp;"|"&amp;C126&amp;"|"&amp;IF(D126="","00",D126)&amp;"|"&amp;IF(E126="","01",E126))</x:f>
      </x:c>
      <x:c r="G126" s="29" t="str">
        <x:f>IF(F126="","",F126&amp;"|"&amp;TEXT(A126,"000"))</x:f>
      </x:c>
      <x:c r="H126" s="21"/>
      <x:c r="I126" s="21"/>
      <x:c r="J126" s="25"/>
      <x:c r="K126" s="25"/>
      <x:c r="L126" s="25"/>
      <x:c r="M126" s="39" t="str">
        <x:f>IF(G126="","",K126+L126*J126)</x:f>
      </x:c>
      <x:c r="N126" s="35"/>
      <x:c r="O126" s="35"/>
      <x:c r="P126" s="21"/>
      <x:c r="Q126" s="21"/>
      <x:c r="R126" s="29" t="str">
        <x:f>IF(G126="","",MIN(J126,SUMIF('05_BAO_CAO_NGAY'!$K$6:$K$505,G126,'05_BAO_CAO_NGAY'!$V$6:$V$505)))</x:f>
      </x:c>
      <x:c r="S126" s="37" t="str">
        <x:f>IF(G126="","",IFERROR(R126/J126,0))</x:f>
      </x:c>
      <x:c r="T126" s="41" t="str">
        <x:f>IF(OR(G126="",COUNTIF('05_BAO_CAO_NGAY'!$K$6:$K$505,G126)=0),"",_xlfn.MINIFS('05_BAO_CAO_NGAY'!$B$6:$B$505,'05_BAO_CAO_NGAY'!$K$6:$K$505,G126))</x:f>
      </x:c>
      <x:c r="U126" s="41" t="str">
        <x:f>IF(OR(G126="",S126&lt;1),"",_xlfn.MAXIFS('05_BAO_CAO_NGAY'!$B$6:$B$505,'05_BAO_CAO_NGAY'!$K$6:$K$505,G126))</x:f>
      </x:c>
      <x:c r="V126" s="29" t="str">
        <x:f>IF(G126="","",IF(S126&gt;=1,IF(U126&lt;=O126,"Hoàn thành đúng hạn","Hoàn thành trễ"),IF(TODAY()&gt;O126,"Quá hạn",IF(R126&gt;0,"Đang thực hiện","Chưa bắt đầu"))))</x:f>
      </x:c>
      <x:c r="W126" s="37" t="str">
        <x:f>IF(G126="","",IFERROR(SUMIF('05_BAO_CAO_NGAY'!$K$6:$K$505,G126,'05_BAO_CAO_NGAY'!$AB$6:$AB$505)/SUMIF('05_BAO_CAO_NGAY'!$K$6:$K$505,G126,'05_BAO_CAO_NGAY'!$AC$6:$AC$505),0))</x:f>
      </x:c>
      <x:c r="X126" s="37" t="str">
        <x:f>IF(G126="","",IFERROR(SUMIFS('05_BAO_CAO_NGAY'!$W$6:$W$505,'05_BAO_CAO_NGAY'!$K$6:$K$505,G126,'05_BAO_CAO_NGAY'!$N$6:$N$505,"PRODUCTION")/SUMIFS('05_BAO_CAO_NGAY'!$U$6:$U$505,'05_BAO_CAO_NGAY'!$K$6:$K$505,G126,'05_BAO_CAO_NGAY'!$N$6:$N$505,"PRODUCTION"),0))</x:f>
      </x:c>
      <x:c r="Y126" s="29" t="str">
        <x:f>IF(G126="","",SUMIF('05_BAO_CAO_NGAY'!$K$6:$K$505,G126,'05_BAO_CAO_NGAY'!$S$6:$S$505))</x:f>
      </x:c>
      <x:c r="Z126" s="21"/>
    </x:row>
    <x:row r="127">
      <x:c r="A127" s="21"/>
      <x:c r="B127" s="21"/>
      <x:c r="C127" s="21"/>
      <x:c r="D127" s="21"/>
      <x:c r="E127" s="21"/>
      <x:c r="F127" s="29" t="str">
        <x:f>IF(OR(B127="",C127=""),"",B127&amp;"|"&amp;C127&amp;"|"&amp;IF(D127="","00",D127)&amp;"|"&amp;IF(E127="","01",E127))</x:f>
      </x:c>
      <x:c r="G127" s="29" t="str">
        <x:f>IF(F127="","",F127&amp;"|"&amp;TEXT(A127,"000"))</x:f>
      </x:c>
      <x:c r="H127" s="21"/>
      <x:c r="I127" s="21"/>
      <x:c r="J127" s="25"/>
      <x:c r="K127" s="25"/>
      <x:c r="L127" s="25"/>
      <x:c r="M127" s="39" t="str">
        <x:f>IF(G127="","",K127+L127*J127)</x:f>
      </x:c>
      <x:c r="N127" s="35"/>
      <x:c r="O127" s="35"/>
      <x:c r="P127" s="21"/>
      <x:c r="Q127" s="21"/>
      <x:c r="R127" s="29" t="str">
        <x:f>IF(G127="","",MIN(J127,SUMIF('05_BAO_CAO_NGAY'!$K$6:$K$505,G127,'05_BAO_CAO_NGAY'!$V$6:$V$505)))</x:f>
      </x:c>
      <x:c r="S127" s="37" t="str">
        <x:f>IF(G127="","",IFERROR(R127/J127,0))</x:f>
      </x:c>
      <x:c r="T127" s="41" t="str">
        <x:f>IF(OR(G127="",COUNTIF('05_BAO_CAO_NGAY'!$K$6:$K$505,G127)=0),"",_xlfn.MINIFS('05_BAO_CAO_NGAY'!$B$6:$B$505,'05_BAO_CAO_NGAY'!$K$6:$K$505,G127))</x:f>
      </x:c>
      <x:c r="U127" s="41" t="str">
        <x:f>IF(OR(G127="",S127&lt;1),"",_xlfn.MAXIFS('05_BAO_CAO_NGAY'!$B$6:$B$505,'05_BAO_CAO_NGAY'!$K$6:$K$505,G127))</x:f>
      </x:c>
      <x:c r="V127" s="29" t="str">
        <x:f>IF(G127="","",IF(S127&gt;=1,IF(U127&lt;=O127,"Hoàn thành đúng hạn","Hoàn thành trễ"),IF(TODAY()&gt;O127,"Quá hạn",IF(R127&gt;0,"Đang thực hiện","Chưa bắt đầu"))))</x:f>
      </x:c>
      <x:c r="W127" s="37" t="str">
        <x:f>IF(G127="","",IFERROR(SUMIF('05_BAO_CAO_NGAY'!$K$6:$K$505,G127,'05_BAO_CAO_NGAY'!$AB$6:$AB$505)/SUMIF('05_BAO_CAO_NGAY'!$K$6:$K$505,G127,'05_BAO_CAO_NGAY'!$AC$6:$AC$505),0))</x:f>
      </x:c>
      <x:c r="X127" s="37" t="str">
        <x:f>IF(G127="","",IFERROR(SUMIFS('05_BAO_CAO_NGAY'!$W$6:$W$505,'05_BAO_CAO_NGAY'!$K$6:$K$505,G127,'05_BAO_CAO_NGAY'!$N$6:$N$505,"PRODUCTION")/SUMIFS('05_BAO_CAO_NGAY'!$U$6:$U$505,'05_BAO_CAO_NGAY'!$K$6:$K$505,G127,'05_BAO_CAO_NGAY'!$N$6:$N$505,"PRODUCTION"),0))</x:f>
      </x:c>
      <x:c r="Y127" s="29" t="str">
        <x:f>IF(G127="","",SUMIF('05_BAO_CAO_NGAY'!$K$6:$K$505,G127,'05_BAO_CAO_NGAY'!$S$6:$S$505))</x:f>
      </x:c>
      <x:c r="Z127" s="21"/>
    </x:row>
    <x:row r="128">
      <x:c r="A128" s="21"/>
      <x:c r="B128" s="21"/>
      <x:c r="C128" s="21"/>
      <x:c r="D128" s="21"/>
      <x:c r="E128" s="21"/>
      <x:c r="F128" s="29" t="str">
        <x:f>IF(OR(B128="",C128=""),"",B128&amp;"|"&amp;C128&amp;"|"&amp;IF(D128="","00",D128)&amp;"|"&amp;IF(E128="","01",E128))</x:f>
      </x:c>
      <x:c r="G128" s="29" t="str">
        <x:f>IF(F128="","",F128&amp;"|"&amp;TEXT(A128,"000"))</x:f>
      </x:c>
      <x:c r="H128" s="21"/>
      <x:c r="I128" s="21"/>
      <x:c r="J128" s="25"/>
      <x:c r="K128" s="25"/>
      <x:c r="L128" s="25"/>
      <x:c r="M128" s="39" t="str">
        <x:f>IF(G128="","",K128+L128*J128)</x:f>
      </x:c>
      <x:c r="N128" s="35"/>
      <x:c r="O128" s="35"/>
      <x:c r="P128" s="21"/>
      <x:c r="Q128" s="21"/>
      <x:c r="R128" s="29" t="str">
        <x:f>IF(G128="","",MIN(J128,SUMIF('05_BAO_CAO_NGAY'!$K$6:$K$505,G128,'05_BAO_CAO_NGAY'!$V$6:$V$505)))</x:f>
      </x:c>
      <x:c r="S128" s="37" t="str">
        <x:f>IF(G128="","",IFERROR(R128/J128,0))</x:f>
      </x:c>
      <x:c r="T128" s="41" t="str">
        <x:f>IF(OR(G128="",COUNTIF('05_BAO_CAO_NGAY'!$K$6:$K$505,G128)=0),"",_xlfn.MINIFS('05_BAO_CAO_NGAY'!$B$6:$B$505,'05_BAO_CAO_NGAY'!$K$6:$K$505,G128))</x:f>
      </x:c>
      <x:c r="U128" s="41" t="str">
        <x:f>IF(OR(G128="",S128&lt;1),"",_xlfn.MAXIFS('05_BAO_CAO_NGAY'!$B$6:$B$505,'05_BAO_CAO_NGAY'!$K$6:$K$505,G128))</x:f>
      </x:c>
      <x:c r="V128" s="29" t="str">
        <x:f>IF(G128="","",IF(S128&gt;=1,IF(U128&lt;=O128,"Hoàn thành đúng hạn","Hoàn thành trễ"),IF(TODAY()&gt;O128,"Quá hạn",IF(R128&gt;0,"Đang thực hiện","Chưa bắt đầu"))))</x:f>
      </x:c>
      <x:c r="W128" s="37" t="str">
        <x:f>IF(G128="","",IFERROR(SUMIF('05_BAO_CAO_NGAY'!$K$6:$K$505,G128,'05_BAO_CAO_NGAY'!$AB$6:$AB$505)/SUMIF('05_BAO_CAO_NGAY'!$K$6:$K$505,G128,'05_BAO_CAO_NGAY'!$AC$6:$AC$505),0))</x:f>
      </x:c>
      <x:c r="X128" s="37" t="str">
        <x:f>IF(G128="","",IFERROR(SUMIFS('05_BAO_CAO_NGAY'!$W$6:$W$505,'05_BAO_CAO_NGAY'!$K$6:$K$505,G128,'05_BAO_CAO_NGAY'!$N$6:$N$505,"PRODUCTION")/SUMIFS('05_BAO_CAO_NGAY'!$U$6:$U$505,'05_BAO_CAO_NGAY'!$K$6:$K$505,G128,'05_BAO_CAO_NGAY'!$N$6:$N$505,"PRODUCTION"),0))</x:f>
      </x:c>
      <x:c r="Y128" s="29" t="str">
        <x:f>IF(G128="","",SUMIF('05_BAO_CAO_NGAY'!$K$6:$K$505,G128,'05_BAO_CAO_NGAY'!$S$6:$S$505))</x:f>
      </x:c>
      <x:c r="Z128" s="21"/>
    </x:row>
    <x:row r="129">
      <x:c r="A129" s="21"/>
      <x:c r="B129" s="21"/>
      <x:c r="C129" s="21"/>
      <x:c r="D129" s="21"/>
      <x:c r="E129" s="21"/>
      <x:c r="F129" s="29" t="str">
        <x:f>IF(OR(B129="",C129=""),"",B129&amp;"|"&amp;C129&amp;"|"&amp;IF(D129="","00",D129)&amp;"|"&amp;IF(E129="","01",E129))</x:f>
      </x:c>
      <x:c r="G129" s="29" t="str">
        <x:f>IF(F129="","",F129&amp;"|"&amp;TEXT(A129,"000"))</x:f>
      </x:c>
      <x:c r="H129" s="21"/>
      <x:c r="I129" s="21"/>
      <x:c r="J129" s="25"/>
      <x:c r="K129" s="25"/>
      <x:c r="L129" s="25"/>
      <x:c r="M129" s="39" t="str">
        <x:f>IF(G129="","",K129+L129*J129)</x:f>
      </x:c>
      <x:c r="N129" s="35"/>
      <x:c r="O129" s="35"/>
      <x:c r="P129" s="21"/>
      <x:c r="Q129" s="21"/>
      <x:c r="R129" s="29" t="str">
        <x:f>IF(G129="","",MIN(J129,SUMIF('05_BAO_CAO_NGAY'!$K$6:$K$505,G129,'05_BAO_CAO_NGAY'!$V$6:$V$505)))</x:f>
      </x:c>
      <x:c r="S129" s="37" t="str">
        <x:f>IF(G129="","",IFERROR(R129/J129,0))</x:f>
      </x:c>
      <x:c r="T129" s="41" t="str">
        <x:f>IF(OR(G129="",COUNTIF('05_BAO_CAO_NGAY'!$K$6:$K$505,G129)=0),"",_xlfn.MINIFS('05_BAO_CAO_NGAY'!$B$6:$B$505,'05_BAO_CAO_NGAY'!$K$6:$K$505,G129))</x:f>
      </x:c>
      <x:c r="U129" s="41" t="str">
        <x:f>IF(OR(G129="",S129&lt;1),"",_xlfn.MAXIFS('05_BAO_CAO_NGAY'!$B$6:$B$505,'05_BAO_CAO_NGAY'!$K$6:$K$505,G129))</x:f>
      </x:c>
      <x:c r="V129" s="29" t="str">
        <x:f>IF(G129="","",IF(S129&gt;=1,IF(U129&lt;=O129,"Hoàn thành đúng hạn","Hoàn thành trễ"),IF(TODAY()&gt;O129,"Quá hạn",IF(R129&gt;0,"Đang thực hiện","Chưa bắt đầu"))))</x:f>
      </x:c>
      <x:c r="W129" s="37" t="str">
        <x:f>IF(G129="","",IFERROR(SUMIF('05_BAO_CAO_NGAY'!$K$6:$K$505,G129,'05_BAO_CAO_NGAY'!$AB$6:$AB$505)/SUMIF('05_BAO_CAO_NGAY'!$K$6:$K$505,G129,'05_BAO_CAO_NGAY'!$AC$6:$AC$505),0))</x:f>
      </x:c>
      <x:c r="X129" s="37" t="str">
        <x:f>IF(G129="","",IFERROR(SUMIFS('05_BAO_CAO_NGAY'!$W$6:$W$505,'05_BAO_CAO_NGAY'!$K$6:$K$505,G129,'05_BAO_CAO_NGAY'!$N$6:$N$505,"PRODUCTION")/SUMIFS('05_BAO_CAO_NGAY'!$U$6:$U$505,'05_BAO_CAO_NGAY'!$K$6:$K$505,G129,'05_BAO_CAO_NGAY'!$N$6:$N$505,"PRODUCTION"),0))</x:f>
      </x:c>
      <x:c r="Y129" s="29" t="str">
        <x:f>IF(G129="","",SUMIF('05_BAO_CAO_NGAY'!$K$6:$K$505,G129,'05_BAO_CAO_NGAY'!$S$6:$S$505))</x:f>
      </x:c>
      <x:c r="Z129" s="21"/>
    </x:row>
    <x:row r="130">
      <x:c r="A130" s="21"/>
      <x:c r="B130" s="21"/>
      <x:c r="C130" s="21"/>
      <x:c r="D130" s="21"/>
      <x:c r="E130" s="21"/>
      <x:c r="F130" s="29" t="str">
        <x:f>IF(OR(B130="",C130=""),"",B130&amp;"|"&amp;C130&amp;"|"&amp;IF(D130="","00",D130)&amp;"|"&amp;IF(E130="","01",E130))</x:f>
      </x:c>
      <x:c r="G130" s="29" t="str">
        <x:f>IF(F130="","",F130&amp;"|"&amp;TEXT(A130,"000"))</x:f>
      </x:c>
      <x:c r="H130" s="21"/>
      <x:c r="I130" s="21"/>
      <x:c r="J130" s="25"/>
      <x:c r="K130" s="25"/>
      <x:c r="L130" s="25"/>
      <x:c r="M130" s="39" t="str">
        <x:f>IF(G130="","",K130+L130*J130)</x:f>
      </x:c>
      <x:c r="N130" s="35"/>
      <x:c r="O130" s="35"/>
      <x:c r="P130" s="21"/>
      <x:c r="Q130" s="21"/>
      <x:c r="R130" s="29" t="str">
        <x:f>IF(G130="","",MIN(J130,SUMIF('05_BAO_CAO_NGAY'!$K$6:$K$505,G130,'05_BAO_CAO_NGAY'!$V$6:$V$505)))</x:f>
      </x:c>
      <x:c r="S130" s="37" t="str">
        <x:f>IF(G130="","",IFERROR(R130/J130,0))</x:f>
      </x:c>
      <x:c r="T130" s="41" t="str">
        <x:f>IF(OR(G130="",COUNTIF('05_BAO_CAO_NGAY'!$K$6:$K$505,G130)=0),"",_xlfn.MINIFS('05_BAO_CAO_NGAY'!$B$6:$B$505,'05_BAO_CAO_NGAY'!$K$6:$K$505,G130))</x:f>
      </x:c>
      <x:c r="U130" s="41" t="str">
        <x:f>IF(OR(G130="",S130&lt;1),"",_xlfn.MAXIFS('05_BAO_CAO_NGAY'!$B$6:$B$505,'05_BAO_CAO_NGAY'!$K$6:$K$505,G130))</x:f>
      </x:c>
      <x:c r="V130" s="29" t="str">
        <x:f>IF(G130="","",IF(S130&gt;=1,IF(U130&lt;=O130,"Hoàn thành đúng hạn","Hoàn thành trễ"),IF(TODAY()&gt;O130,"Quá hạn",IF(R130&gt;0,"Đang thực hiện","Chưa bắt đầu"))))</x:f>
      </x:c>
      <x:c r="W130" s="37" t="str">
        <x:f>IF(G130="","",IFERROR(SUMIF('05_BAO_CAO_NGAY'!$K$6:$K$505,G130,'05_BAO_CAO_NGAY'!$AB$6:$AB$505)/SUMIF('05_BAO_CAO_NGAY'!$K$6:$K$505,G130,'05_BAO_CAO_NGAY'!$AC$6:$AC$505),0))</x:f>
      </x:c>
      <x:c r="X130" s="37" t="str">
        <x:f>IF(G130="","",IFERROR(SUMIFS('05_BAO_CAO_NGAY'!$W$6:$W$505,'05_BAO_CAO_NGAY'!$K$6:$K$505,G130,'05_BAO_CAO_NGAY'!$N$6:$N$505,"PRODUCTION")/SUMIFS('05_BAO_CAO_NGAY'!$U$6:$U$505,'05_BAO_CAO_NGAY'!$K$6:$K$505,G130,'05_BAO_CAO_NGAY'!$N$6:$N$505,"PRODUCTION"),0))</x:f>
      </x:c>
      <x:c r="Y130" s="29" t="str">
        <x:f>IF(G130="","",SUMIF('05_BAO_CAO_NGAY'!$K$6:$K$505,G130,'05_BAO_CAO_NGAY'!$S$6:$S$505))</x:f>
      </x:c>
      <x:c r="Z130" s="21"/>
    </x:row>
    <x:row r="131">
      <x:c r="A131" s="21"/>
      <x:c r="B131" s="21"/>
      <x:c r="C131" s="21"/>
      <x:c r="D131" s="21"/>
      <x:c r="E131" s="21"/>
      <x:c r="F131" s="29" t="str">
        <x:f>IF(OR(B131="",C131=""),"",B131&amp;"|"&amp;C131&amp;"|"&amp;IF(D131="","00",D131)&amp;"|"&amp;IF(E131="","01",E131))</x:f>
      </x:c>
      <x:c r="G131" s="29" t="str">
        <x:f>IF(F131="","",F131&amp;"|"&amp;TEXT(A131,"000"))</x:f>
      </x:c>
      <x:c r="H131" s="21"/>
      <x:c r="I131" s="21"/>
      <x:c r="J131" s="25"/>
      <x:c r="K131" s="25"/>
      <x:c r="L131" s="25"/>
      <x:c r="M131" s="39" t="str">
        <x:f>IF(G131="","",K131+L131*J131)</x:f>
      </x:c>
      <x:c r="N131" s="35"/>
      <x:c r="O131" s="35"/>
      <x:c r="P131" s="21"/>
      <x:c r="Q131" s="21"/>
      <x:c r="R131" s="29" t="str">
        <x:f>IF(G131="","",MIN(J131,SUMIF('05_BAO_CAO_NGAY'!$K$6:$K$505,G131,'05_BAO_CAO_NGAY'!$V$6:$V$505)))</x:f>
      </x:c>
      <x:c r="S131" s="37" t="str">
        <x:f>IF(G131="","",IFERROR(R131/J131,0))</x:f>
      </x:c>
      <x:c r="T131" s="41" t="str">
        <x:f>IF(OR(G131="",COUNTIF('05_BAO_CAO_NGAY'!$K$6:$K$505,G131)=0),"",_xlfn.MINIFS('05_BAO_CAO_NGAY'!$B$6:$B$505,'05_BAO_CAO_NGAY'!$K$6:$K$505,G131))</x:f>
      </x:c>
      <x:c r="U131" s="41" t="str">
        <x:f>IF(OR(G131="",S131&lt;1),"",_xlfn.MAXIFS('05_BAO_CAO_NGAY'!$B$6:$B$505,'05_BAO_CAO_NGAY'!$K$6:$K$505,G131))</x:f>
      </x:c>
      <x:c r="V131" s="29" t="str">
        <x:f>IF(G131="","",IF(S131&gt;=1,IF(U131&lt;=O131,"Hoàn thành đúng hạn","Hoàn thành trễ"),IF(TODAY()&gt;O131,"Quá hạn",IF(R131&gt;0,"Đang thực hiện","Chưa bắt đầu"))))</x:f>
      </x:c>
      <x:c r="W131" s="37" t="str">
        <x:f>IF(G131="","",IFERROR(SUMIF('05_BAO_CAO_NGAY'!$K$6:$K$505,G131,'05_BAO_CAO_NGAY'!$AB$6:$AB$505)/SUMIF('05_BAO_CAO_NGAY'!$K$6:$K$505,G131,'05_BAO_CAO_NGAY'!$AC$6:$AC$505),0))</x:f>
      </x:c>
      <x:c r="X131" s="37" t="str">
        <x:f>IF(G131="","",IFERROR(SUMIFS('05_BAO_CAO_NGAY'!$W$6:$W$505,'05_BAO_CAO_NGAY'!$K$6:$K$505,G131,'05_BAO_CAO_NGAY'!$N$6:$N$505,"PRODUCTION")/SUMIFS('05_BAO_CAO_NGAY'!$U$6:$U$505,'05_BAO_CAO_NGAY'!$K$6:$K$505,G131,'05_BAO_CAO_NGAY'!$N$6:$N$505,"PRODUCTION"),0))</x:f>
      </x:c>
      <x:c r="Y131" s="29" t="str">
        <x:f>IF(G131="","",SUMIF('05_BAO_CAO_NGAY'!$K$6:$K$505,G131,'05_BAO_CAO_NGAY'!$S$6:$S$505))</x:f>
      </x:c>
      <x:c r="Z131" s="21"/>
    </x:row>
    <x:row r="132">
      <x:c r="A132" s="21"/>
      <x:c r="B132" s="21"/>
      <x:c r="C132" s="21"/>
      <x:c r="D132" s="21"/>
      <x:c r="E132" s="21"/>
      <x:c r="F132" s="29" t="str">
        <x:f>IF(OR(B132="",C132=""),"",B132&amp;"|"&amp;C132&amp;"|"&amp;IF(D132="","00",D132)&amp;"|"&amp;IF(E132="","01",E132))</x:f>
      </x:c>
      <x:c r="G132" s="29" t="str">
        <x:f>IF(F132="","",F132&amp;"|"&amp;TEXT(A132,"000"))</x:f>
      </x:c>
      <x:c r="H132" s="21"/>
      <x:c r="I132" s="21"/>
      <x:c r="J132" s="25"/>
      <x:c r="K132" s="25"/>
      <x:c r="L132" s="25"/>
      <x:c r="M132" s="39" t="str">
        <x:f>IF(G132="","",K132+L132*J132)</x:f>
      </x:c>
      <x:c r="N132" s="35"/>
      <x:c r="O132" s="35"/>
      <x:c r="P132" s="21"/>
      <x:c r="Q132" s="21"/>
      <x:c r="R132" s="29" t="str">
        <x:f>IF(G132="","",MIN(J132,SUMIF('05_BAO_CAO_NGAY'!$K$6:$K$505,G132,'05_BAO_CAO_NGAY'!$V$6:$V$505)))</x:f>
      </x:c>
      <x:c r="S132" s="37" t="str">
        <x:f>IF(G132="","",IFERROR(R132/J132,0))</x:f>
      </x:c>
      <x:c r="T132" s="41" t="str">
        <x:f>IF(OR(G132="",COUNTIF('05_BAO_CAO_NGAY'!$K$6:$K$505,G132)=0),"",_xlfn.MINIFS('05_BAO_CAO_NGAY'!$B$6:$B$505,'05_BAO_CAO_NGAY'!$K$6:$K$505,G132))</x:f>
      </x:c>
      <x:c r="U132" s="41" t="str">
        <x:f>IF(OR(G132="",S132&lt;1),"",_xlfn.MAXIFS('05_BAO_CAO_NGAY'!$B$6:$B$505,'05_BAO_CAO_NGAY'!$K$6:$K$505,G132))</x:f>
      </x:c>
      <x:c r="V132" s="29" t="str">
        <x:f>IF(G132="","",IF(S132&gt;=1,IF(U132&lt;=O132,"Hoàn thành đúng hạn","Hoàn thành trễ"),IF(TODAY()&gt;O132,"Quá hạn",IF(R132&gt;0,"Đang thực hiện","Chưa bắt đầu"))))</x:f>
      </x:c>
      <x:c r="W132" s="37" t="str">
        <x:f>IF(G132="","",IFERROR(SUMIF('05_BAO_CAO_NGAY'!$K$6:$K$505,G132,'05_BAO_CAO_NGAY'!$AB$6:$AB$505)/SUMIF('05_BAO_CAO_NGAY'!$K$6:$K$505,G132,'05_BAO_CAO_NGAY'!$AC$6:$AC$505),0))</x:f>
      </x:c>
      <x:c r="X132" s="37" t="str">
        <x:f>IF(G132="","",IFERROR(SUMIFS('05_BAO_CAO_NGAY'!$W$6:$W$505,'05_BAO_CAO_NGAY'!$K$6:$K$505,G132,'05_BAO_CAO_NGAY'!$N$6:$N$505,"PRODUCTION")/SUMIFS('05_BAO_CAO_NGAY'!$U$6:$U$505,'05_BAO_CAO_NGAY'!$K$6:$K$505,G132,'05_BAO_CAO_NGAY'!$N$6:$N$505,"PRODUCTION"),0))</x:f>
      </x:c>
      <x:c r="Y132" s="29" t="str">
        <x:f>IF(G132="","",SUMIF('05_BAO_CAO_NGAY'!$K$6:$K$505,G132,'05_BAO_CAO_NGAY'!$S$6:$S$505))</x:f>
      </x:c>
      <x:c r="Z132" s="21"/>
    </x:row>
    <x:row r="133">
      <x:c r="A133" s="21"/>
      <x:c r="B133" s="21"/>
      <x:c r="C133" s="21"/>
      <x:c r="D133" s="21"/>
      <x:c r="E133" s="21"/>
      <x:c r="F133" s="29" t="str">
        <x:f>IF(OR(B133="",C133=""),"",B133&amp;"|"&amp;C133&amp;"|"&amp;IF(D133="","00",D133)&amp;"|"&amp;IF(E133="","01",E133))</x:f>
      </x:c>
      <x:c r="G133" s="29" t="str">
        <x:f>IF(F133="","",F133&amp;"|"&amp;TEXT(A133,"000"))</x:f>
      </x:c>
      <x:c r="H133" s="21"/>
      <x:c r="I133" s="21"/>
      <x:c r="J133" s="25"/>
      <x:c r="K133" s="25"/>
      <x:c r="L133" s="25"/>
      <x:c r="M133" s="39" t="str">
        <x:f>IF(G133="","",K133+L133*J133)</x:f>
      </x:c>
      <x:c r="N133" s="35"/>
      <x:c r="O133" s="35"/>
      <x:c r="P133" s="21"/>
      <x:c r="Q133" s="21"/>
      <x:c r="R133" s="29" t="str">
        <x:f>IF(G133="","",MIN(J133,SUMIF('05_BAO_CAO_NGAY'!$K$6:$K$505,G133,'05_BAO_CAO_NGAY'!$V$6:$V$505)))</x:f>
      </x:c>
      <x:c r="S133" s="37" t="str">
        <x:f>IF(G133="","",IFERROR(R133/J133,0))</x:f>
      </x:c>
      <x:c r="T133" s="41" t="str">
        <x:f>IF(OR(G133="",COUNTIF('05_BAO_CAO_NGAY'!$K$6:$K$505,G133)=0),"",_xlfn.MINIFS('05_BAO_CAO_NGAY'!$B$6:$B$505,'05_BAO_CAO_NGAY'!$K$6:$K$505,G133))</x:f>
      </x:c>
      <x:c r="U133" s="41" t="str">
        <x:f>IF(OR(G133="",S133&lt;1),"",_xlfn.MAXIFS('05_BAO_CAO_NGAY'!$B$6:$B$505,'05_BAO_CAO_NGAY'!$K$6:$K$505,G133))</x:f>
      </x:c>
      <x:c r="V133" s="29" t="str">
        <x:f>IF(G133="","",IF(S133&gt;=1,IF(U133&lt;=O133,"Hoàn thành đúng hạn","Hoàn thành trễ"),IF(TODAY()&gt;O133,"Quá hạn",IF(R133&gt;0,"Đang thực hiện","Chưa bắt đầu"))))</x:f>
      </x:c>
      <x:c r="W133" s="37" t="str">
        <x:f>IF(G133="","",IFERROR(SUMIF('05_BAO_CAO_NGAY'!$K$6:$K$505,G133,'05_BAO_CAO_NGAY'!$AB$6:$AB$505)/SUMIF('05_BAO_CAO_NGAY'!$K$6:$K$505,G133,'05_BAO_CAO_NGAY'!$AC$6:$AC$505),0))</x:f>
      </x:c>
      <x:c r="X133" s="37" t="str">
        <x:f>IF(G133="","",IFERROR(SUMIFS('05_BAO_CAO_NGAY'!$W$6:$W$505,'05_BAO_CAO_NGAY'!$K$6:$K$505,G133,'05_BAO_CAO_NGAY'!$N$6:$N$505,"PRODUCTION")/SUMIFS('05_BAO_CAO_NGAY'!$U$6:$U$505,'05_BAO_CAO_NGAY'!$K$6:$K$505,G133,'05_BAO_CAO_NGAY'!$N$6:$N$505,"PRODUCTION"),0))</x:f>
      </x:c>
      <x:c r="Y133" s="29" t="str">
        <x:f>IF(G133="","",SUMIF('05_BAO_CAO_NGAY'!$K$6:$K$505,G133,'05_BAO_CAO_NGAY'!$S$6:$S$505))</x:f>
      </x:c>
      <x:c r="Z133" s="21"/>
    </x:row>
    <x:row r="134">
      <x:c r="A134" s="21"/>
      <x:c r="B134" s="21"/>
      <x:c r="C134" s="21"/>
      <x:c r="D134" s="21"/>
      <x:c r="E134" s="21"/>
      <x:c r="F134" s="29" t="str">
        <x:f>IF(OR(B134="",C134=""),"",B134&amp;"|"&amp;C134&amp;"|"&amp;IF(D134="","00",D134)&amp;"|"&amp;IF(E134="","01",E134))</x:f>
      </x:c>
      <x:c r="G134" s="29" t="str">
        <x:f>IF(F134="","",F134&amp;"|"&amp;TEXT(A134,"000"))</x:f>
      </x:c>
      <x:c r="H134" s="21"/>
      <x:c r="I134" s="21"/>
      <x:c r="J134" s="25"/>
      <x:c r="K134" s="25"/>
      <x:c r="L134" s="25"/>
      <x:c r="M134" s="39" t="str">
        <x:f>IF(G134="","",K134+L134*J134)</x:f>
      </x:c>
      <x:c r="N134" s="35"/>
      <x:c r="O134" s="35"/>
      <x:c r="P134" s="21"/>
      <x:c r="Q134" s="21"/>
      <x:c r="R134" s="29" t="str">
        <x:f>IF(G134="","",MIN(J134,SUMIF('05_BAO_CAO_NGAY'!$K$6:$K$505,G134,'05_BAO_CAO_NGAY'!$V$6:$V$505)))</x:f>
      </x:c>
      <x:c r="S134" s="37" t="str">
        <x:f>IF(G134="","",IFERROR(R134/J134,0))</x:f>
      </x:c>
      <x:c r="T134" s="41" t="str">
        <x:f>IF(OR(G134="",COUNTIF('05_BAO_CAO_NGAY'!$K$6:$K$505,G134)=0),"",_xlfn.MINIFS('05_BAO_CAO_NGAY'!$B$6:$B$505,'05_BAO_CAO_NGAY'!$K$6:$K$505,G134))</x:f>
      </x:c>
      <x:c r="U134" s="41" t="str">
        <x:f>IF(OR(G134="",S134&lt;1),"",_xlfn.MAXIFS('05_BAO_CAO_NGAY'!$B$6:$B$505,'05_BAO_CAO_NGAY'!$K$6:$K$505,G134))</x:f>
      </x:c>
      <x:c r="V134" s="29" t="str">
        <x:f>IF(G134="","",IF(S134&gt;=1,IF(U134&lt;=O134,"Hoàn thành đúng hạn","Hoàn thành trễ"),IF(TODAY()&gt;O134,"Quá hạn",IF(R134&gt;0,"Đang thực hiện","Chưa bắt đầu"))))</x:f>
      </x:c>
      <x:c r="W134" s="37" t="str">
        <x:f>IF(G134="","",IFERROR(SUMIF('05_BAO_CAO_NGAY'!$K$6:$K$505,G134,'05_BAO_CAO_NGAY'!$AB$6:$AB$505)/SUMIF('05_BAO_CAO_NGAY'!$K$6:$K$505,G134,'05_BAO_CAO_NGAY'!$AC$6:$AC$505),0))</x:f>
      </x:c>
      <x:c r="X134" s="37" t="str">
        <x:f>IF(G134="","",IFERROR(SUMIFS('05_BAO_CAO_NGAY'!$W$6:$W$505,'05_BAO_CAO_NGAY'!$K$6:$K$505,G134,'05_BAO_CAO_NGAY'!$N$6:$N$505,"PRODUCTION")/SUMIFS('05_BAO_CAO_NGAY'!$U$6:$U$505,'05_BAO_CAO_NGAY'!$K$6:$K$505,G134,'05_BAO_CAO_NGAY'!$N$6:$N$505,"PRODUCTION"),0))</x:f>
      </x:c>
      <x:c r="Y134" s="29" t="str">
        <x:f>IF(G134="","",SUMIF('05_BAO_CAO_NGAY'!$K$6:$K$505,G134,'05_BAO_CAO_NGAY'!$S$6:$S$505))</x:f>
      </x:c>
      <x:c r="Z134" s="21"/>
    </x:row>
    <x:row r="135">
      <x:c r="A135" s="21"/>
      <x:c r="B135" s="21"/>
      <x:c r="C135" s="21"/>
      <x:c r="D135" s="21"/>
      <x:c r="E135" s="21"/>
      <x:c r="F135" s="29" t="str">
        <x:f>IF(OR(B135="",C135=""),"",B135&amp;"|"&amp;C135&amp;"|"&amp;IF(D135="","00",D135)&amp;"|"&amp;IF(E135="","01",E135))</x:f>
      </x:c>
      <x:c r="G135" s="29" t="str">
        <x:f>IF(F135="","",F135&amp;"|"&amp;TEXT(A135,"000"))</x:f>
      </x:c>
      <x:c r="H135" s="21"/>
      <x:c r="I135" s="21"/>
      <x:c r="J135" s="25"/>
      <x:c r="K135" s="25"/>
      <x:c r="L135" s="25"/>
      <x:c r="M135" s="39" t="str">
        <x:f>IF(G135="","",K135+L135*J135)</x:f>
      </x:c>
      <x:c r="N135" s="35"/>
      <x:c r="O135" s="35"/>
      <x:c r="P135" s="21"/>
      <x:c r="Q135" s="21"/>
      <x:c r="R135" s="29" t="str">
        <x:f>IF(G135="","",MIN(J135,SUMIF('05_BAO_CAO_NGAY'!$K$6:$K$505,G135,'05_BAO_CAO_NGAY'!$V$6:$V$505)))</x:f>
      </x:c>
      <x:c r="S135" s="37" t="str">
        <x:f>IF(G135="","",IFERROR(R135/J135,0))</x:f>
      </x:c>
      <x:c r="T135" s="41" t="str">
        <x:f>IF(OR(G135="",COUNTIF('05_BAO_CAO_NGAY'!$K$6:$K$505,G135)=0),"",_xlfn.MINIFS('05_BAO_CAO_NGAY'!$B$6:$B$505,'05_BAO_CAO_NGAY'!$K$6:$K$505,G135))</x:f>
      </x:c>
      <x:c r="U135" s="41" t="str">
        <x:f>IF(OR(G135="",S135&lt;1),"",_xlfn.MAXIFS('05_BAO_CAO_NGAY'!$B$6:$B$505,'05_BAO_CAO_NGAY'!$K$6:$K$505,G135))</x:f>
      </x:c>
      <x:c r="V135" s="29" t="str">
        <x:f>IF(G135="","",IF(S135&gt;=1,IF(U135&lt;=O135,"Hoàn thành đúng hạn","Hoàn thành trễ"),IF(TODAY()&gt;O135,"Quá hạn",IF(R135&gt;0,"Đang thực hiện","Chưa bắt đầu"))))</x:f>
      </x:c>
      <x:c r="W135" s="37" t="str">
        <x:f>IF(G135="","",IFERROR(SUMIF('05_BAO_CAO_NGAY'!$K$6:$K$505,G135,'05_BAO_CAO_NGAY'!$AB$6:$AB$505)/SUMIF('05_BAO_CAO_NGAY'!$K$6:$K$505,G135,'05_BAO_CAO_NGAY'!$AC$6:$AC$505),0))</x:f>
      </x:c>
      <x:c r="X135" s="37" t="str">
        <x:f>IF(G135="","",IFERROR(SUMIFS('05_BAO_CAO_NGAY'!$W$6:$W$505,'05_BAO_CAO_NGAY'!$K$6:$K$505,G135,'05_BAO_CAO_NGAY'!$N$6:$N$505,"PRODUCTION")/SUMIFS('05_BAO_CAO_NGAY'!$U$6:$U$505,'05_BAO_CAO_NGAY'!$K$6:$K$505,G135,'05_BAO_CAO_NGAY'!$N$6:$N$505,"PRODUCTION"),0))</x:f>
      </x:c>
      <x:c r="Y135" s="29" t="str">
        <x:f>IF(G135="","",SUMIF('05_BAO_CAO_NGAY'!$K$6:$K$505,G135,'05_BAO_CAO_NGAY'!$S$6:$S$505))</x:f>
      </x:c>
      <x:c r="Z135" s="21"/>
    </x:row>
    <x:row r="136">
      <x:c r="A136" s="21"/>
      <x:c r="B136" s="21"/>
      <x:c r="C136" s="21"/>
      <x:c r="D136" s="21"/>
      <x:c r="E136" s="21"/>
      <x:c r="F136" s="29" t="str">
        <x:f>IF(OR(B136="",C136=""),"",B136&amp;"|"&amp;C136&amp;"|"&amp;IF(D136="","00",D136)&amp;"|"&amp;IF(E136="","01",E136))</x:f>
      </x:c>
      <x:c r="G136" s="29" t="str">
        <x:f>IF(F136="","",F136&amp;"|"&amp;TEXT(A136,"000"))</x:f>
      </x:c>
      <x:c r="H136" s="21"/>
      <x:c r="I136" s="21"/>
      <x:c r="J136" s="25"/>
      <x:c r="K136" s="25"/>
      <x:c r="L136" s="25"/>
      <x:c r="M136" s="39" t="str">
        <x:f>IF(G136="","",K136+L136*J136)</x:f>
      </x:c>
      <x:c r="N136" s="35"/>
      <x:c r="O136" s="35"/>
      <x:c r="P136" s="21"/>
      <x:c r="Q136" s="21"/>
      <x:c r="R136" s="29" t="str">
        <x:f>IF(G136="","",MIN(J136,SUMIF('05_BAO_CAO_NGAY'!$K$6:$K$505,G136,'05_BAO_CAO_NGAY'!$V$6:$V$505)))</x:f>
      </x:c>
      <x:c r="S136" s="37" t="str">
        <x:f>IF(G136="","",IFERROR(R136/J136,0))</x:f>
      </x:c>
      <x:c r="T136" s="41" t="str">
        <x:f>IF(OR(G136="",COUNTIF('05_BAO_CAO_NGAY'!$K$6:$K$505,G136)=0),"",_xlfn.MINIFS('05_BAO_CAO_NGAY'!$B$6:$B$505,'05_BAO_CAO_NGAY'!$K$6:$K$505,G136))</x:f>
      </x:c>
      <x:c r="U136" s="41" t="str">
        <x:f>IF(OR(G136="",S136&lt;1),"",_xlfn.MAXIFS('05_BAO_CAO_NGAY'!$B$6:$B$505,'05_BAO_CAO_NGAY'!$K$6:$K$505,G136))</x:f>
      </x:c>
      <x:c r="V136" s="29" t="str">
        <x:f>IF(G136="","",IF(S136&gt;=1,IF(U136&lt;=O136,"Hoàn thành đúng hạn","Hoàn thành trễ"),IF(TODAY()&gt;O136,"Quá hạn",IF(R136&gt;0,"Đang thực hiện","Chưa bắt đầu"))))</x:f>
      </x:c>
      <x:c r="W136" s="37" t="str">
        <x:f>IF(G136="","",IFERROR(SUMIF('05_BAO_CAO_NGAY'!$K$6:$K$505,G136,'05_BAO_CAO_NGAY'!$AB$6:$AB$505)/SUMIF('05_BAO_CAO_NGAY'!$K$6:$K$505,G136,'05_BAO_CAO_NGAY'!$AC$6:$AC$505),0))</x:f>
      </x:c>
      <x:c r="X136" s="37" t="str">
        <x:f>IF(G136="","",IFERROR(SUMIFS('05_BAO_CAO_NGAY'!$W$6:$W$505,'05_BAO_CAO_NGAY'!$K$6:$K$505,G136,'05_BAO_CAO_NGAY'!$N$6:$N$505,"PRODUCTION")/SUMIFS('05_BAO_CAO_NGAY'!$U$6:$U$505,'05_BAO_CAO_NGAY'!$K$6:$K$505,G136,'05_BAO_CAO_NGAY'!$N$6:$N$505,"PRODUCTION"),0))</x:f>
      </x:c>
      <x:c r="Y136" s="29" t="str">
        <x:f>IF(G136="","",SUMIF('05_BAO_CAO_NGAY'!$K$6:$K$505,G136,'05_BAO_CAO_NGAY'!$S$6:$S$505))</x:f>
      </x:c>
      <x:c r="Z136" s="21"/>
    </x:row>
    <x:row r="137">
      <x:c r="A137" s="21"/>
      <x:c r="B137" s="21"/>
      <x:c r="C137" s="21"/>
      <x:c r="D137" s="21"/>
      <x:c r="E137" s="21"/>
      <x:c r="F137" s="29" t="str">
        <x:f>IF(OR(B137="",C137=""),"",B137&amp;"|"&amp;C137&amp;"|"&amp;IF(D137="","00",D137)&amp;"|"&amp;IF(E137="","01",E137))</x:f>
      </x:c>
      <x:c r="G137" s="29" t="str">
        <x:f>IF(F137="","",F137&amp;"|"&amp;TEXT(A137,"000"))</x:f>
      </x:c>
      <x:c r="H137" s="21"/>
      <x:c r="I137" s="21"/>
      <x:c r="J137" s="25"/>
      <x:c r="K137" s="25"/>
      <x:c r="L137" s="25"/>
      <x:c r="M137" s="39" t="str">
        <x:f>IF(G137="","",K137+L137*J137)</x:f>
      </x:c>
      <x:c r="N137" s="35"/>
      <x:c r="O137" s="35"/>
      <x:c r="P137" s="21"/>
      <x:c r="Q137" s="21"/>
      <x:c r="R137" s="29" t="str">
        <x:f>IF(G137="","",MIN(J137,SUMIF('05_BAO_CAO_NGAY'!$K$6:$K$505,G137,'05_BAO_CAO_NGAY'!$V$6:$V$505)))</x:f>
      </x:c>
      <x:c r="S137" s="37" t="str">
        <x:f>IF(G137="","",IFERROR(R137/J137,0))</x:f>
      </x:c>
      <x:c r="T137" s="41" t="str">
        <x:f>IF(OR(G137="",COUNTIF('05_BAO_CAO_NGAY'!$K$6:$K$505,G137)=0),"",_xlfn.MINIFS('05_BAO_CAO_NGAY'!$B$6:$B$505,'05_BAO_CAO_NGAY'!$K$6:$K$505,G137))</x:f>
      </x:c>
      <x:c r="U137" s="41" t="str">
        <x:f>IF(OR(G137="",S137&lt;1),"",_xlfn.MAXIFS('05_BAO_CAO_NGAY'!$B$6:$B$505,'05_BAO_CAO_NGAY'!$K$6:$K$505,G137))</x:f>
      </x:c>
      <x:c r="V137" s="29" t="str">
        <x:f>IF(G137="","",IF(S137&gt;=1,IF(U137&lt;=O137,"Hoàn thành đúng hạn","Hoàn thành trễ"),IF(TODAY()&gt;O137,"Quá hạn",IF(R137&gt;0,"Đang thực hiện","Chưa bắt đầu"))))</x:f>
      </x:c>
      <x:c r="W137" s="37" t="str">
        <x:f>IF(G137="","",IFERROR(SUMIF('05_BAO_CAO_NGAY'!$K$6:$K$505,G137,'05_BAO_CAO_NGAY'!$AB$6:$AB$505)/SUMIF('05_BAO_CAO_NGAY'!$K$6:$K$505,G137,'05_BAO_CAO_NGAY'!$AC$6:$AC$505),0))</x:f>
      </x:c>
      <x:c r="X137" s="37" t="str">
        <x:f>IF(G137="","",IFERROR(SUMIFS('05_BAO_CAO_NGAY'!$W$6:$W$505,'05_BAO_CAO_NGAY'!$K$6:$K$505,G137,'05_BAO_CAO_NGAY'!$N$6:$N$505,"PRODUCTION")/SUMIFS('05_BAO_CAO_NGAY'!$U$6:$U$505,'05_BAO_CAO_NGAY'!$K$6:$K$505,G137,'05_BAO_CAO_NGAY'!$N$6:$N$505,"PRODUCTION"),0))</x:f>
      </x:c>
      <x:c r="Y137" s="29" t="str">
        <x:f>IF(G137="","",SUMIF('05_BAO_CAO_NGAY'!$K$6:$K$505,G137,'05_BAO_CAO_NGAY'!$S$6:$S$505))</x:f>
      </x:c>
      <x:c r="Z137" s="21"/>
    </x:row>
    <x:row r="138">
      <x:c r="A138" s="21"/>
      <x:c r="B138" s="21"/>
      <x:c r="C138" s="21"/>
      <x:c r="D138" s="21"/>
      <x:c r="E138" s="21"/>
      <x:c r="F138" s="29" t="str">
        <x:f>IF(OR(B138="",C138=""),"",B138&amp;"|"&amp;C138&amp;"|"&amp;IF(D138="","00",D138)&amp;"|"&amp;IF(E138="","01",E138))</x:f>
      </x:c>
      <x:c r="G138" s="29" t="str">
        <x:f>IF(F138="","",F138&amp;"|"&amp;TEXT(A138,"000"))</x:f>
      </x:c>
      <x:c r="H138" s="21"/>
      <x:c r="I138" s="21"/>
      <x:c r="J138" s="25"/>
      <x:c r="K138" s="25"/>
      <x:c r="L138" s="25"/>
      <x:c r="M138" s="39" t="str">
        <x:f>IF(G138="","",K138+L138*J138)</x:f>
      </x:c>
      <x:c r="N138" s="35"/>
      <x:c r="O138" s="35"/>
      <x:c r="P138" s="21"/>
      <x:c r="Q138" s="21"/>
      <x:c r="R138" s="29" t="str">
        <x:f>IF(G138="","",MIN(J138,SUMIF('05_BAO_CAO_NGAY'!$K$6:$K$505,G138,'05_BAO_CAO_NGAY'!$V$6:$V$505)))</x:f>
      </x:c>
      <x:c r="S138" s="37" t="str">
        <x:f>IF(G138="","",IFERROR(R138/J138,0))</x:f>
      </x:c>
      <x:c r="T138" s="41" t="str">
        <x:f>IF(OR(G138="",COUNTIF('05_BAO_CAO_NGAY'!$K$6:$K$505,G138)=0),"",_xlfn.MINIFS('05_BAO_CAO_NGAY'!$B$6:$B$505,'05_BAO_CAO_NGAY'!$K$6:$K$505,G138))</x:f>
      </x:c>
      <x:c r="U138" s="41" t="str">
        <x:f>IF(OR(G138="",S138&lt;1),"",_xlfn.MAXIFS('05_BAO_CAO_NGAY'!$B$6:$B$505,'05_BAO_CAO_NGAY'!$K$6:$K$505,G138))</x:f>
      </x:c>
      <x:c r="V138" s="29" t="str">
        <x:f>IF(G138="","",IF(S138&gt;=1,IF(U138&lt;=O138,"Hoàn thành đúng hạn","Hoàn thành trễ"),IF(TODAY()&gt;O138,"Quá hạn",IF(R138&gt;0,"Đang thực hiện","Chưa bắt đầu"))))</x:f>
      </x:c>
      <x:c r="W138" s="37" t="str">
        <x:f>IF(G138="","",IFERROR(SUMIF('05_BAO_CAO_NGAY'!$K$6:$K$505,G138,'05_BAO_CAO_NGAY'!$AB$6:$AB$505)/SUMIF('05_BAO_CAO_NGAY'!$K$6:$K$505,G138,'05_BAO_CAO_NGAY'!$AC$6:$AC$505),0))</x:f>
      </x:c>
      <x:c r="X138" s="37" t="str">
        <x:f>IF(G138="","",IFERROR(SUMIFS('05_BAO_CAO_NGAY'!$W$6:$W$505,'05_BAO_CAO_NGAY'!$K$6:$K$505,G138,'05_BAO_CAO_NGAY'!$N$6:$N$505,"PRODUCTION")/SUMIFS('05_BAO_CAO_NGAY'!$U$6:$U$505,'05_BAO_CAO_NGAY'!$K$6:$K$505,G138,'05_BAO_CAO_NGAY'!$N$6:$N$505,"PRODUCTION"),0))</x:f>
      </x:c>
      <x:c r="Y138" s="29" t="str">
        <x:f>IF(G138="","",SUMIF('05_BAO_CAO_NGAY'!$K$6:$K$505,G138,'05_BAO_CAO_NGAY'!$S$6:$S$505))</x:f>
      </x:c>
      <x:c r="Z138" s="21"/>
    </x:row>
    <x:row r="139">
      <x:c r="A139" s="21"/>
      <x:c r="B139" s="21"/>
      <x:c r="C139" s="21"/>
      <x:c r="D139" s="21"/>
      <x:c r="E139" s="21"/>
      <x:c r="F139" s="29" t="str">
        <x:f>IF(OR(B139="",C139=""),"",B139&amp;"|"&amp;C139&amp;"|"&amp;IF(D139="","00",D139)&amp;"|"&amp;IF(E139="","01",E139))</x:f>
      </x:c>
      <x:c r="G139" s="29" t="str">
        <x:f>IF(F139="","",F139&amp;"|"&amp;TEXT(A139,"000"))</x:f>
      </x:c>
      <x:c r="H139" s="21"/>
      <x:c r="I139" s="21"/>
      <x:c r="J139" s="25"/>
      <x:c r="K139" s="25"/>
      <x:c r="L139" s="25"/>
      <x:c r="M139" s="39" t="str">
        <x:f>IF(G139="","",K139+L139*J139)</x:f>
      </x:c>
      <x:c r="N139" s="35"/>
      <x:c r="O139" s="35"/>
      <x:c r="P139" s="21"/>
      <x:c r="Q139" s="21"/>
      <x:c r="R139" s="29" t="str">
        <x:f>IF(G139="","",MIN(J139,SUMIF('05_BAO_CAO_NGAY'!$K$6:$K$505,G139,'05_BAO_CAO_NGAY'!$V$6:$V$505)))</x:f>
      </x:c>
      <x:c r="S139" s="37" t="str">
        <x:f>IF(G139="","",IFERROR(R139/J139,0))</x:f>
      </x:c>
      <x:c r="T139" s="41" t="str">
        <x:f>IF(OR(G139="",COUNTIF('05_BAO_CAO_NGAY'!$K$6:$K$505,G139)=0),"",_xlfn.MINIFS('05_BAO_CAO_NGAY'!$B$6:$B$505,'05_BAO_CAO_NGAY'!$K$6:$K$505,G139))</x:f>
      </x:c>
      <x:c r="U139" s="41" t="str">
        <x:f>IF(OR(G139="",S139&lt;1),"",_xlfn.MAXIFS('05_BAO_CAO_NGAY'!$B$6:$B$505,'05_BAO_CAO_NGAY'!$K$6:$K$505,G139))</x:f>
      </x:c>
      <x:c r="V139" s="29" t="str">
        <x:f>IF(G139="","",IF(S139&gt;=1,IF(U139&lt;=O139,"Hoàn thành đúng hạn","Hoàn thành trễ"),IF(TODAY()&gt;O139,"Quá hạn",IF(R139&gt;0,"Đang thực hiện","Chưa bắt đầu"))))</x:f>
      </x:c>
      <x:c r="W139" s="37" t="str">
        <x:f>IF(G139="","",IFERROR(SUMIF('05_BAO_CAO_NGAY'!$K$6:$K$505,G139,'05_BAO_CAO_NGAY'!$AB$6:$AB$505)/SUMIF('05_BAO_CAO_NGAY'!$K$6:$K$505,G139,'05_BAO_CAO_NGAY'!$AC$6:$AC$505),0))</x:f>
      </x:c>
      <x:c r="X139" s="37" t="str">
        <x:f>IF(G139="","",IFERROR(SUMIFS('05_BAO_CAO_NGAY'!$W$6:$W$505,'05_BAO_CAO_NGAY'!$K$6:$K$505,G139,'05_BAO_CAO_NGAY'!$N$6:$N$505,"PRODUCTION")/SUMIFS('05_BAO_CAO_NGAY'!$U$6:$U$505,'05_BAO_CAO_NGAY'!$K$6:$K$505,G139,'05_BAO_CAO_NGAY'!$N$6:$N$505,"PRODUCTION"),0))</x:f>
      </x:c>
      <x:c r="Y139" s="29" t="str">
        <x:f>IF(G139="","",SUMIF('05_BAO_CAO_NGAY'!$K$6:$K$505,G139,'05_BAO_CAO_NGAY'!$S$6:$S$505))</x:f>
      </x:c>
      <x:c r="Z139" s="21"/>
    </x:row>
    <x:row r="140">
      <x:c r="A140" s="21"/>
      <x:c r="B140" s="21"/>
      <x:c r="C140" s="21"/>
      <x:c r="D140" s="21"/>
      <x:c r="E140" s="21"/>
      <x:c r="F140" s="29" t="str">
        <x:f>IF(OR(B140="",C140=""),"",B140&amp;"|"&amp;C140&amp;"|"&amp;IF(D140="","00",D140)&amp;"|"&amp;IF(E140="","01",E140))</x:f>
      </x:c>
      <x:c r="G140" s="29" t="str">
        <x:f>IF(F140="","",F140&amp;"|"&amp;TEXT(A140,"000"))</x:f>
      </x:c>
      <x:c r="H140" s="21"/>
      <x:c r="I140" s="21"/>
      <x:c r="J140" s="25"/>
      <x:c r="K140" s="25"/>
      <x:c r="L140" s="25"/>
      <x:c r="M140" s="39" t="str">
        <x:f>IF(G140="","",K140+L140*J140)</x:f>
      </x:c>
      <x:c r="N140" s="35"/>
      <x:c r="O140" s="35"/>
      <x:c r="P140" s="21"/>
      <x:c r="Q140" s="21"/>
      <x:c r="R140" s="29" t="str">
        <x:f>IF(G140="","",MIN(J140,SUMIF('05_BAO_CAO_NGAY'!$K$6:$K$505,G140,'05_BAO_CAO_NGAY'!$V$6:$V$505)))</x:f>
      </x:c>
      <x:c r="S140" s="37" t="str">
        <x:f>IF(G140="","",IFERROR(R140/J140,0))</x:f>
      </x:c>
      <x:c r="T140" s="41" t="str">
        <x:f>IF(OR(G140="",COUNTIF('05_BAO_CAO_NGAY'!$K$6:$K$505,G140)=0),"",_xlfn.MINIFS('05_BAO_CAO_NGAY'!$B$6:$B$505,'05_BAO_CAO_NGAY'!$K$6:$K$505,G140))</x:f>
      </x:c>
      <x:c r="U140" s="41" t="str">
        <x:f>IF(OR(G140="",S140&lt;1),"",_xlfn.MAXIFS('05_BAO_CAO_NGAY'!$B$6:$B$505,'05_BAO_CAO_NGAY'!$K$6:$K$505,G140))</x:f>
      </x:c>
      <x:c r="V140" s="29" t="str">
        <x:f>IF(G140="","",IF(S140&gt;=1,IF(U140&lt;=O140,"Hoàn thành đúng hạn","Hoàn thành trễ"),IF(TODAY()&gt;O140,"Quá hạn",IF(R140&gt;0,"Đang thực hiện","Chưa bắt đầu"))))</x:f>
      </x:c>
      <x:c r="W140" s="37" t="str">
        <x:f>IF(G140="","",IFERROR(SUMIF('05_BAO_CAO_NGAY'!$K$6:$K$505,G140,'05_BAO_CAO_NGAY'!$AB$6:$AB$505)/SUMIF('05_BAO_CAO_NGAY'!$K$6:$K$505,G140,'05_BAO_CAO_NGAY'!$AC$6:$AC$505),0))</x:f>
      </x:c>
      <x:c r="X140" s="37" t="str">
        <x:f>IF(G140="","",IFERROR(SUMIFS('05_BAO_CAO_NGAY'!$W$6:$W$505,'05_BAO_CAO_NGAY'!$K$6:$K$505,G140,'05_BAO_CAO_NGAY'!$N$6:$N$505,"PRODUCTION")/SUMIFS('05_BAO_CAO_NGAY'!$U$6:$U$505,'05_BAO_CAO_NGAY'!$K$6:$K$505,G140,'05_BAO_CAO_NGAY'!$N$6:$N$505,"PRODUCTION"),0))</x:f>
      </x:c>
      <x:c r="Y140" s="29" t="str">
        <x:f>IF(G140="","",SUMIF('05_BAO_CAO_NGAY'!$K$6:$K$505,G140,'05_BAO_CAO_NGAY'!$S$6:$S$505))</x:f>
      </x:c>
      <x:c r="Z140" s="21"/>
    </x:row>
    <x:row r="141">
      <x:c r="A141" s="21"/>
      <x:c r="B141" s="21"/>
      <x:c r="C141" s="21"/>
      <x:c r="D141" s="21"/>
      <x:c r="E141" s="21"/>
      <x:c r="F141" s="29" t="str">
        <x:f>IF(OR(B141="",C141=""),"",B141&amp;"|"&amp;C141&amp;"|"&amp;IF(D141="","00",D141)&amp;"|"&amp;IF(E141="","01",E141))</x:f>
      </x:c>
      <x:c r="G141" s="29" t="str">
        <x:f>IF(F141="","",F141&amp;"|"&amp;TEXT(A141,"000"))</x:f>
      </x:c>
      <x:c r="H141" s="21"/>
      <x:c r="I141" s="21"/>
      <x:c r="J141" s="25"/>
      <x:c r="K141" s="25"/>
      <x:c r="L141" s="25"/>
      <x:c r="M141" s="39" t="str">
        <x:f>IF(G141="","",K141+L141*J141)</x:f>
      </x:c>
      <x:c r="N141" s="35"/>
      <x:c r="O141" s="35"/>
      <x:c r="P141" s="21"/>
      <x:c r="Q141" s="21"/>
      <x:c r="R141" s="29" t="str">
        <x:f>IF(G141="","",MIN(J141,SUMIF('05_BAO_CAO_NGAY'!$K$6:$K$505,G141,'05_BAO_CAO_NGAY'!$V$6:$V$505)))</x:f>
      </x:c>
      <x:c r="S141" s="37" t="str">
        <x:f>IF(G141="","",IFERROR(R141/J141,0))</x:f>
      </x:c>
      <x:c r="T141" s="41" t="str">
        <x:f>IF(OR(G141="",COUNTIF('05_BAO_CAO_NGAY'!$K$6:$K$505,G141)=0),"",_xlfn.MINIFS('05_BAO_CAO_NGAY'!$B$6:$B$505,'05_BAO_CAO_NGAY'!$K$6:$K$505,G141))</x:f>
      </x:c>
      <x:c r="U141" s="41" t="str">
        <x:f>IF(OR(G141="",S141&lt;1),"",_xlfn.MAXIFS('05_BAO_CAO_NGAY'!$B$6:$B$505,'05_BAO_CAO_NGAY'!$K$6:$K$505,G141))</x:f>
      </x:c>
      <x:c r="V141" s="29" t="str">
        <x:f>IF(G141="","",IF(S141&gt;=1,IF(U141&lt;=O141,"Hoàn thành đúng hạn","Hoàn thành trễ"),IF(TODAY()&gt;O141,"Quá hạn",IF(R141&gt;0,"Đang thực hiện","Chưa bắt đầu"))))</x:f>
      </x:c>
      <x:c r="W141" s="37" t="str">
        <x:f>IF(G141="","",IFERROR(SUMIF('05_BAO_CAO_NGAY'!$K$6:$K$505,G141,'05_BAO_CAO_NGAY'!$AB$6:$AB$505)/SUMIF('05_BAO_CAO_NGAY'!$K$6:$K$505,G141,'05_BAO_CAO_NGAY'!$AC$6:$AC$505),0))</x:f>
      </x:c>
      <x:c r="X141" s="37" t="str">
        <x:f>IF(G141="","",IFERROR(SUMIFS('05_BAO_CAO_NGAY'!$W$6:$W$505,'05_BAO_CAO_NGAY'!$K$6:$K$505,G141,'05_BAO_CAO_NGAY'!$N$6:$N$505,"PRODUCTION")/SUMIFS('05_BAO_CAO_NGAY'!$U$6:$U$505,'05_BAO_CAO_NGAY'!$K$6:$K$505,G141,'05_BAO_CAO_NGAY'!$N$6:$N$505,"PRODUCTION"),0))</x:f>
      </x:c>
      <x:c r="Y141" s="29" t="str">
        <x:f>IF(G141="","",SUMIF('05_BAO_CAO_NGAY'!$K$6:$K$505,G141,'05_BAO_CAO_NGAY'!$S$6:$S$505))</x:f>
      </x:c>
      <x:c r="Z141" s="21"/>
    </x:row>
    <x:row r="142">
      <x:c r="A142" s="21"/>
      <x:c r="B142" s="21"/>
      <x:c r="C142" s="21"/>
      <x:c r="D142" s="21"/>
      <x:c r="E142" s="21"/>
      <x:c r="F142" s="29" t="str">
        <x:f>IF(OR(B142="",C142=""),"",B142&amp;"|"&amp;C142&amp;"|"&amp;IF(D142="","00",D142)&amp;"|"&amp;IF(E142="","01",E142))</x:f>
      </x:c>
      <x:c r="G142" s="29" t="str">
        <x:f>IF(F142="","",F142&amp;"|"&amp;TEXT(A142,"000"))</x:f>
      </x:c>
      <x:c r="H142" s="21"/>
      <x:c r="I142" s="21"/>
      <x:c r="J142" s="25"/>
      <x:c r="K142" s="25"/>
      <x:c r="L142" s="25"/>
      <x:c r="M142" s="39" t="str">
        <x:f>IF(G142="","",K142+L142*J142)</x:f>
      </x:c>
      <x:c r="N142" s="35"/>
      <x:c r="O142" s="35"/>
      <x:c r="P142" s="21"/>
      <x:c r="Q142" s="21"/>
      <x:c r="R142" s="29" t="str">
        <x:f>IF(G142="","",MIN(J142,SUMIF('05_BAO_CAO_NGAY'!$K$6:$K$505,G142,'05_BAO_CAO_NGAY'!$V$6:$V$505)))</x:f>
      </x:c>
      <x:c r="S142" s="37" t="str">
        <x:f>IF(G142="","",IFERROR(R142/J142,0))</x:f>
      </x:c>
      <x:c r="T142" s="41" t="str">
        <x:f>IF(OR(G142="",COUNTIF('05_BAO_CAO_NGAY'!$K$6:$K$505,G142)=0),"",_xlfn.MINIFS('05_BAO_CAO_NGAY'!$B$6:$B$505,'05_BAO_CAO_NGAY'!$K$6:$K$505,G142))</x:f>
      </x:c>
      <x:c r="U142" s="41" t="str">
        <x:f>IF(OR(G142="",S142&lt;1),"",_xlfn.MAXIFS('05_BAO_CAO_NGAY'!$B$6:$B$505,'05_BAO_CAO_NGAY'!$K$6:$K$505,G142))</x:f>
      </x:c>
      <x:c r="V142" s="29" t="str">
        <x:f>IF(G142="","",IF(S142&gt;=1,IF(U142&lt;=O142,"Hoàn thành đúng hạn","Hoàn thành trễ"),IF(TODAY()&gt;O142,"Quá hạn",IF(R142&gt;0,"Đang thực hiện","Chưa bắt đầu"))))</x:f>
      </x:c>
      <x:c r="W142" s="37" t="str">
        <x:f>IF(G142="","",IFERROR(SUMIF('05_BAO_CAO_NGAY'!$K$6:$K$505,G142,'05_BAO_CAO_NGAY'!$AB$6:$AB$505)/SUMIF('05_BAO_CAO_NGAY'!$K$6:$K$505,G142,'05_BAO_CAO_NGAY'!$AC$6:$AC$505),0))</x:f>
      </x:c>
      <x:c r="X142" s="37" t="str">
        <x:f>IF(G142="","",IFERROR(SUMIFS('05_BAO_CAO_NGAY'!$W$6:$W$505,'05_BAO_CAO_NGAY'!$K$6:$K$505,G142,'05_BAO_CAO_NGAY'!$N$6:$N$505,"PRODUCTION")/SUMIFS('05_BAO_CAO_NGAY'!$U$6:$U$505,'05_BAO_CAO_NGAY'!$K$6:$K$505,G142,'05_BAO_CAO_NGAY'!$N$6:$N$505,"PRODUCTION"),0))</x:f>
      </x:c>
      <x:c r="Y142" s="29" t="str">
        <x:f>IF(G142="","",SUMIF('05_BAO_CAO_NGAY'!$K$6:$K$505,G142,'05_BAO_CAO_NGAY'!$S$6:$S$505))</x:f>
      </x:c>
      <x:c r="Z142" s="21"/>
    </x:row>
    <x:row r="143">
      <x:c r="A143" s="21"/>
      <x:c r="B143" s="21"/>
      <x:c r="C143" s="21"/>
      <x:c r="D143" s="21"/>
      <x:c r="E143" s="21"/>
      <x:c r="F143" s="29" t="str">
        <x:f>IF(OR(B143="",C143=""),"",B143&amp;"|"&amp;C143&amp;"|"&amp;IF(D143="","00",D143)&amp;"|"&amp;IF(E143="","01",E143))</x:f>
      </x:c>
      <x:c r="G143" s="29" t="str">
        <x:f>IF(F143="","",F143&amp;"|"&amp;TEXT(A143,"000"))</x:f>
      </x:c>
      <x:c r="H143" s="21"/>
      <x:c r="I143" s="21"/>
      <x:c r="J143" s="25"/>
      <x:c r="K143" s="25"/>
      <x:c r="L143" s="25"/>
      <x:c r="M143" s="39" t="str">
        <x:f>IF(G143="","",K143+L143*J143)</x:f>
      </x:c>
      <x:c r="N143" s="35"/>
      <x:c r="O143" s="35"/>
      <x:c r="P143" s="21"/>
      <x:c r="Q143" s="21"/>
      <x:c r="R143" s="29" t="str">
        <x:f>IF(G143="","",MIN(J143,SUMIF('05_BAO_CAO_NGAY'!$K$6:$K$505,G143,'05_BAO_CAO_NGAY'!$V$6:$V$505)))</x:f>
      </x:c>
      <x:c r="S143" s="37" t="str">
        <x:f>IF(G143="","",IFERROR(R143/J143,0))</x:f>
      </x:c>
      <x:c r="T143" s="41" t="str">
        <x:f>IF(OR(G143="",COUNTIF('05_BAO_CAO_NGAY'!$K$6:$K$505,G143)=0),"",_xlfn.MINIFS('05_BAO_CAO_NGAY'!$B$6:$B$505,'05_BAO_CAO_NGAY'!$K$6:$K$505,G143))</x:f>
      </x:c>
      <x:c r="U143" s="41" t="str">
        <x:f>IF(OR(G143="",S143&lt;1),"",_xlfn.MAXIFS('05_BAO_CAO_NGAY'!$B$6:$B$505,'05_BAO_CAO_NGAY'!$K$6:$K$505,G143))</x:f>
      </x:c>
      <x:c r="V143" s="29" t="str">
        <x:f>IF(G143="","",IF(S143&gt;=1,IF(U143&lt;=O143,"Hoàn thành đúng hạn","Hoàn thành trễ"),IF(TODAY()&gt;O143,"Quá hạn",IF(R143&gt;0,"Đang thực hiện","Chưa bắt đầu"))))</x:f>
      </x:c>
      <x:c r="W143" s="37" t="str">
        <x:f>IF(G143="","",IFERROR(SUMIF('05_BAO_CAO_NGAY'!$K$6:$K$505,G143,'05_BAO_CAO_NGAY'!$AB$6:$AB$505)/SUMIF('05_BAO_CAO_NGAY'!$K$6:$K$505,G143,'05_BAO_CAO_NGAY'!$AC$6:$AC$505),0))</x:f>
      </x:c>
      <x:c r="X143" s="37" t="str">
        <x:f>IF(G143="","",IFERROR(SUMIFS('05_BAO_CAO_NGAY'!$W$6:$W$505,'05_BAO_CAO_NGAY'!$K$6:$K$505,G143,'05_BAO_CAO_NGAY'!$N$6:$N$505,"PRODUCTION")/SUMIFS('05_BAO_CAO_NGAY'!$U$6:$U$505,'05_BAO_CAO_NGAY'!$K$6:$K$505,G143,'05_BAO_CAO_NGAY'!$N$6:$N$505,"PRODUCTION"),0))</x:f>
      </x:c>
      <x:c r="Y143" s="29" t="str">
        <x:f>IF(G143="","",SUMIF('05_BAO_CAO_NGAY'!$K$6:$K$505,G143,'05_BAO_CAO_NGAY'!$S$6:$S$505))</x:f>
      </x:c>
      <x:c r="Z143" s="21"/>
    </x:row>
    <x:row r="144">
      <x:c r="A144" s="21"/>
      <x:c r="B144" s="21"/>
      <x:c r="C144" s="21"/>
      <x:c r="D144" s="21"/>
      <x:c r="E144" s="21"/>
      <x:c r="F144" s="29" t="str">
        <x:f>IF(OR(B144="",C144=""),"",B144&amp;"|"&amp;C144&amp;"|"&amp;IF(D144="","00",D144)&amp;"|"&amp;IF(E144="","01",E144))</x:f>
      </x:c>
      <x:c r="G144" s="29" t="str">
        <x:f>IF(F144="","",F144&amp;"|"&amp;TEXT(A144,"000"))</x:f>
      </x:c>
      <x:c r="H144" s="21"/>
      <x:c r="I144" s="21"/>
      <x:c r="J144" s="25"/>
      <x:c r="K144" s="25"/>
      <x:c r="L144" s="25"/>
      <x:c r="M144" s="39" t="str">
        <x:f>IF(G144="","",K144+L144*J144)</x:f>
      </x:c>
      <x:c r="N144" s="35"/>
      <x:c r="O144" s="35"/>
      <x:c r="P144" s="21"/>
      <x:c r="Q144" s="21"/>
      <x:c r="R144" s="29" t="str">
        <x:f>IF(G144="","",MIN(J144,SUMIF('05_BAO_CAO_NGAY'!$K$6:$K$505,G144,'05_BAO_CAO_NGAY'!$V$6:$V$505)))</x:f>
      </x:c>
      <x:c r="S144" s="37" t="str">
        <x:f>IF(G144="","",IFERROR(R144/J144,0))</x:f>
      </x:c>
      <x:c r="T144" s="41" t="str">
        <x:f>IF(OR(G144="",COUNTIF('05_BAO_CAO_NGAY'!$K$6:$K$505,G144)=0),"",_xlfn.MINIFS('05_BAO_CAO_NGAY'!$B$6:$B$505,'05_BAO_CAO_NGAY'!$K$6:$K$505,G144))</x:f>
      </x:c>
      <x:c r="U144" s="41" t="str">
        <x:f>IF(OR(G144="",S144&lt;1),"",_xlfn.MAXIFS('05_BAO_CAO_NGAY'!$B$6:$B$505,'05_BAO_CAO_NGAY'!$K$6:$K$505,G144))</x:f>
      </x:c>
      <x:c r="V144" s="29" t="str">
        <x:f>IF(G144="","",IF(S144&gt;=1,IF(U144&lt;=O144,"Hoàn thành đúng hạn","Hoàn thành trễ"),IF(TODAY()&gt;O144,"Quá hạn",IF(R144&gt;0,"Đang thực hiện","Chưa bắt đầu"))))</x:f>
      </x:c>
      <x:c r="W144" s="37" t="str">
        <x:f>IF(G144="","",IFERROR(SUMIF('05_BAO_CAO_NGAY'!$K$6:$K$505,G144,'05_BAO_CAO_NGAY'!$AB$6:$AB$505)/SUMIF('05_BAO_CAO_NGAY'!$K$6:$K$505,G144,'05_BAO_CAO_NGAY'!$AC$6:$AC$505),0))</x:f>
      </x:c>
      <x:c r="X144" s="37" t="str">
        <x:f>IF(G144="","",IFERROR(SUMIFS('05_BAO_CAO_NGAY'!$W$6:$W$505,'05_BAO_CAO_NGAY'!$K$6:$K$505,G144,'05_BAO_CAO_NGAY'!$N$6:$N$505,"PRODUCTION")/SUMIFS('05_BAO_CAO_NGAY'!$U$6:$U$505,'05_BAO_CAO_NGAY'!$K$6:$K$505,G144,'05_BAO_CAO_NGAY'!$N$6:$N$505,"PRODUCTION"),0))</x:f>
      </x:c>
      <x:c r="Y144" s="29" t="str">
        <x:f>IF(G144="","",SUMIF('05_BAO_CAO_NGAY'!$K$6:$K$505,G144,'05_BAO_CAO_NGAY'!$S$6:$S$505))</x:f>
      </x:c>
      <x:c r="Z144" s="21"/>
    </x:row>
    <x:row r="145">
      <x:c r="A145" s="21"/>
      <x:c r="B145" s="21"/>
      <x:c r="C145" s="21"/>
      <x:c r="D145" s="21"/>
      <x:c r="E145" s="21"/>
      <x:c r="F145" s="29" t="str">
        <x:f>IF(OR(B145="",C145=""),"",B145&amp;"|"&amp;C145&amp;"|"&amp;IF(D145="","00",D145)&amp;"|"&amp;IF(E145="","01",E145))</x:f>
      </x:c>
      <x:c r="G145" s="29" t="str">
        <x:f>IF(F145="","",F145&amp;"|"&amp;TEXT(A145,"000"))</x:f>
      </x:c>
      <x:c r="H145" s="21"/>
      <x:c r="I145" s="21"/>
      <x:c r="J145" s="25"/>
      <x:c r="K145" s="25"/>
      <x:c r="L145" s="25"/>
      <x:c r="M145" s="39" t="str">
        <x:f>IF(G145="","",K145+L145*J145)</x:f>
      </x:c>
      <x:c r="N145" s="35"/>
      <x:c r="O145" s="35"/>
      <x:c r="P145" s="21"/>
      <x:c r="Q145" s="21"/>
      <x:c r="R145" s="29" t="str">
        <x:f>IF(G145="","",MIN(J145,SUMIF('05_BAO_CAO_NGAY'!$K$6:$K$505,G145,'05_BAO_CAO_NGAY'!$V$6:$V$505)))</x:f>
      </x:c>
      <x:c r="S145" s="37" t="str">
        <x:f>IF(G145="","",IFERROR(R145/J145,0))</x:f>
      </x:c>
      <x:c r="T145" s="41" t="str">
        <x:f>IF(OR(G145="",COUNTIF('05_BAO_CAO_NGAY'!$K$6:$K$505,G145)=0),"",_xlfn.MINIFS('05_BAO_CAO_NGAY'!$B$6:$B$505,'05_BAO_CAO_NGAY'!$K$6:$K$505,G145))</x:f>
      </x:c>
      <x:c r="U145" s="41" t="str">
        <x:f>IF(OR(G145="",S145&lt;1),"",_xlfn.MAXIFS('05_BAO_CAO_NGAY'!$B$6:$B$505,'05_BAO_CAO_NGAY'!$K$6:$K$505,G145))</x:f>
      </x:c>
      <x:c r="V145" s="29" t="str">
        <x:f>IF(G145="","",IF(S145&gt;=1,IF(U145&lt;=O145,"Hoàn thành đúng hạn","Hoàn thành trễ"),IF(TODAY()&gt;O145,"Quá hạn",IF(R145&gt;0,"Đang thực hiện","Chưa bắt đầu"))))</x:f>
      </x:c>
      <x:c r="W145" s="37" t="str">
        <x:f>IF(G145="","",IFERROR(SUMIF('05_BAO_CAO_NGAY'!$K$6:$K$505,G145,'05_BAO_CAO_NGAY'!$AB$6:$AB$505)/SUMIF('05_BAO_CAO_NGAY'!$K$6:$K$505,G145,'05_BAO_CAO_NGAY'!$AC$6:$AC$505),0))</x:f>
      </x:c>
      <x:c r="X145" s="37" t="str">
        <x:f>IF(G145="","",IFERROR(SUMIFS('05_BAO_CAO_NGAY'!$W$6:$W$505,'05_BAO_CAO_NGAY'!$K$6:$K$505,G145,'05_BAO_CAO_NGAY'!$N$6:$N$505,"PRODUCTION")/SUMIFS('05_BAO_CAO_NGAY'!$U$6:$U$505,'05_BAO_CAO_NGAY'!$K$6:$K$505,G145,'05_BAO_CAO_NGAY'!$N$6:$N$505,"PRODUCTION"),0))</x:f>
      </x:c>
      <x:c r="Y145" s="29" t="str">
        <x:f>IF(G145="","",SUMIF('05_BAO_CAO_NGAY'!$K$6:$K$505,G145,'05_BAO_CAO_NGAY'!$S$6:$S$505))</x:f>
      </x:c>
      <x:c r="Z145" s="21"/>
    </x:row>
    <x:row r="146">
      <x:c r="A146" s="21"/>
      <x:c r="B146" s="21"/>
      <x:c r="C146" s="21"/>
      <x:c r="D146" s="21"/>
      <x:c r="E146" s="21"/>
      <x:c r="F146" s="29" t="str">
        <x:f>IF(OR(B146="",C146=""),"",B146&amp;"|"&amp;C146&amp;"|"&amp;IF(D146="","00",D146)&amp;"|"&amp;IF(E146="","01",E146))</x:f>
      </x:c>
      <x:c r="G146" s="29" t="str">
        <x:f>IF(F146="","",F146&amp;"|"&amp;TEXT(A146,"000"))</x:f>
      </x:c>
      <x:c r="H146" s="21"/>
      <x:c r="I146" s="21"/>
      <x:c r="J146" s="25"/>
      <x:c r="K146" s="25"/>
      <x:c r="L146" s="25"/>
      <x:c r="M146" s="39" t="str">
        <x:f>IF(G146="","",K146+L146*J146)</x:f>
      </x:c>
      <x:c r="N146" s="35"/>
      <x:c r="O146" s="35"/>
      <x:c r="P146" s="21"/>
      <x:c r="Q146" s="21"/>
      <x:c r="R146" s="29" t="str">
        <x:f>IF(G146="","",MIN(J146,SUMIF('05_BAO_CAO_NGAY'!$K$6:$K$505,G146,'05_BAO_CAO_NGAY'!$V$6:$V$505)))</x:f>
      </x:c>
      <x:c r="S146" s="37" t="str">
        <x:f>IF(G146="","",IFERROR(R146/J146,0))</x:f>
      </x:c>
      <x:c r="T146" s="41" t="str">
        <x:f>IF(OR(G146="",COUNTIF('05_BAO_CAO_NGAY'!$K$6:$K$505,G146)=0),"",_xlfn.MINIFS('05_BAO_CAO_NGAY'!$B$6:$B$505,'05_BAO_CAO_NGAY'!$K$6:$K$505,G146))</x:f>
      </x:c>
      <x:c r="U146" s="41" t="str">
        <x:f>IF(OR(G146="",S146&lt;1),"",_xlfn.MAXIFS('05_BAO_CAO_NGAY'!$B$6:$B$505,'05_BAO_CAO_NGAY'!$K$6:$K$505,G146))</x:f>
      </x:c>
      <x:c r="V146" s="29" t="str">
        <x:f>IF(G146="","",IF(S146&gt;=1,IF(U146&lt;=O146,"Hoàn thành đúng hạn","Hoàn thành trễ"),IF(TODAY()&gt;O146,"Quá hạn",IF(R146&gt;0,"Đang thực hiện","Chưa bắt đầu"))))</x:f>
      </x:c>
      <x:c r="W146" s="37" t="str">
        <x:f>IF(G146="","",IFERROR(SUMIF('05_BAO_CAO_NGAY'!$K$6:$K$505,G146,'05_BAO_CAO_NGAY'!$AB$6:$AB$505)/SUMIF('05_BAO_CAO_NGAY'!$K$6:$K$505,G146,'05_BAO_CAO_NGAY'!$AC$6:$AC$505),0))</x:f>
      </x:c>
      <x:c r="X146" s="37" t="str">
        <x:f>IF(G146="","",IFERROR(SUMIFS('05_BAO_CAO_NGAY'!$W$6:$W$505,'05_BAO_CAO_NGAY'!$K$6:$K$505,G146,'05_BAO_CAO_NGAY'!$N$6:$N$505,"PRODUCTION")/SUMIFS('05_BAO_CAO_NGAY'!$U$6:$U$505,'05_BAO_CAO_NGAY'!$K$6:$K$505,G146,'05_BAO_CAO_NGAY'!$N$6:$N$505,"PRODUCTION"),0))</x:f>
      </x:c>
      <x:c r="Y146" s="29" t="str">
        <x:f>IF(G146="","",SUMIF('05_BAO_CAO_NGAY'!$K$6:$K$505,G146,'05_BAO_CAO_NGAY'!$S$6:$S$505))</x:f>
      </x:c>
      <x:c r="Z146" s="21"/>
    </x:row>
    <x:row r="147">
      <x:c r="A147" s="21"/>
      <x:c r="B147" s="21"/>
      <x:c r="C147" s="21"/>
      <x:c r="D147" s="21"/>
      <x:c r="E147" s="21"/>
      <x:c r="F147" s="29" t="str">
        <x:f>IF(OR(B147="",C147=""),"",B147&amp;"|"&amp;C147&amp;"|"&amp;IF(D147="","00",D147)&amp;"|"&amp;IF(E147="","01",E147))</x:f>
      </x:c>
      <x:c r="G147" s="29" t="str">
        <x:f>IF(F147="","",F147&amp;"|"&amp;TEXT(A147,"000"))</x:f>
      </x:c>
      <x:c r="H147" s="21"/>
      <x:c r="I147" s="21"/>
      <x:c r="J147" s="25"/>
      <x:c r="K147" s="25"/>
      <x:c r="L147" s="25"/>
      <x:c r="M147" s="39" t="str">
        <x:f>IF(G147="","",K147+L147*J147)</x:f>
      </x:c>
      <x:c r="N147" s="35"/>
      <x:c r="O147" s="35"/>
      <x:c r="P147" s="21"/>
      <x:c r="Q147" s="21"/>
      <x:c r="R147" s="29" t="str">
        <x:f>IF(G147="","",MIN(J147,SUMIF('05_BAO_CAO_NGAY'!$K$6:$K$505,G147,'05_BAO_CAO_NGAY'!$V$6:$V$505)))</x:f>
      </x:c>
      <x:c r="S147" s="37" t="str">
        <x:f>IF(G147="","",IFERROR(R147/J147,0))</x:f>
      </x:c>
      <x:c r="T147" s="41" t="str">
        <x:f>IF(OR(G147="",COUNTIF('05_BAO_CAO_NGAY'!$K$6:$K$505,G147)=0),"",_xlfn.MINIFS('05_BAO_CAO_NGAY'!$B$6:$B$505,'05_BAO_CAO_NGAY'!$K$6:$K$505,G147))</x:f>
      </x:c>
      <x:c r="U147" s="41" t="str">
        <x:f>IF(OR(G147="",S147&lt;1),"",_xlfn.MAXIFS('05_BAO_CAO_NGAY'!$B$6:$B$505,'05_BAO_CAO_NGAY'!$K$6:$K$505,G147))</x:f>
      </x:c>
      <x:c r="V147" s="29" t="str">
        <x:f>IF(G147="","",IF(S147&gt;=1,IF(U147&lt;=O147,"Hoàn thành đúng hạn","Hoàn thành trễ"),IF(TODAY()&gt;O147,"Quá hạn",IF(R147&gt;0,"Đang thực hiện","Chưa bắt đầu"))))</x:f>
      </x:c>
      <x:c r="W147" s="37" t="str">
        <x:f>IF(G147="","",IFERROR(SUMIF('05_BAO_CAO_NGAY'!$K$6:$K$505,G147,'05_BAO_CAO_NGAY'!$AB$6:$AB$505)/SUMIF('05_BAO_CAO_NGAY'!$K$6:$K$505,G147,'05_BAO_CAO_NGAY'!$AC$6:$AC$505),0))</x:f>
      </x:c>
      <x:c r="X147" s="37" t="str">
        <x:f>IF(G147="","",IFERROR(SUMIFS('05_BAO_CAO_NGAY'!$W$6:$W$505,'05_BAO_CAO_NGAY'!$K$6:$K$505,G147,'05_BAO_CAO_NGAY'!$N$6:$N$505,"PRODUCTION")/SUMIFS('05_BAO_CAO_NGAY'!$U$6:$U$505,'05_BAO_CAO_NGAY'!$K$6:$K$505,G147,'05_BAO_CAO_NGAY'!$N$6:$N$505,"PRODUCTION"),0))</x:f>
      </x:c>
      <x:c r="Y147" s="29" t="str">
        <x:f>IF(G147="","",SUMIF('05_BAO_CAO_NGAY'!$K$6:$K$505,G147,'05_BAO_CAO_NGAY'!$S$6:$S$505))</x:f>
      </x:c>
      <x:c r="Z147" s="21"/>
    </x:row>
    <x:row r="148">
      <x:c r="A148" s="21"/>
      <x:c r="B148" s="21"/>
      <x:c r="C148" s="21"/>
      <x:c r="D148" s="21"/>
      <x:c r="E148" s="21"/>
      <x:c r="F148" s="29" t="str">
        <x:f>IF(OR(B148="",C148=""),"",B148&amp;"|"&amp;C148&amp;"|"&amp;IF(D148="","00",D148)&amp;"|"&amp;IF(E148="","01",E148))</x:f>
      </x:c>
      <x:c r="G148" s="29" t="str">
        <x:f>IF(F148="","",F148&amp;"|"&amp;TEXT(A148,"000"))</x:f>
      </x:c>
      <x:c r="H148" s="21"/>
      <x:c r="I148" s="21"/>
      <x:c r="J148" s="25"/>
      <x:c r="K148" s="25"/>
      <x:c r="L148" s="25"/>
      <x:c r="M148" s="39" t="str">
        <x:f>IF(G148="","",K148+L148*J148)</x:f>
      </x:c>
      <x:c r="N148" s="35"/>
      <x:c r="O148" s="35"/>
      <x:c r="P148" s="21"/>
      <x:c r="Q148" s="21"/>
      <x:c r="R148" s="29" t="str">
        <x:f>IF(G148="","",MIN(J148,SUMIF('05_BAO_CAO_NGAY'!$K$6:$K$505,G148,'05_BAO_CAO_NGAY'!$V$6:$V$505)))</x:f>
      </x:c>
      <x:c r="S148" s="37" t="str">
        <x:f>IF(G148="","",IFERROR(R148/J148,0))</x:f>
      </x:c>
      <x:c r="T148" s="41" t="str">
        <x:f>IF(OR(G148="",COUNTIF('05_BAO_CAO_NGAY'!$K$6:$K$505,G148)=0),"",_xlfn.MINIFS('05_BAO_CAO_NGAY'!$B$6:$B$505,'05_BAO_CAO_NGAY'!$K$6:$K$505,G148))</x:f>
      </x:c>
      <x:c r="U148" s="41" t="str">
        <x:f>IF(OR(G148="",S148&lt;1),"",_xlfn.MAXIFS('05_BAO_CAO_NGAY'!$B$6:$B$505,'05_BAO_CAO_NGAY'!$K$6:$K$505,G148))</x:f>
      </x:c>
      <x:c r="V148" s="29" t="str">
        <x:f>IF(G148="","",IF(S148&gt;=1,IF(U148&lt;=O148,"Hoàn thành đúng hạn","Hoàn thành trễ"),IF(TODAY()&gt;O148,"Quá hạn",IF(R148&gt;0,"Đang thực hiện","Chưa bắt đầu"))))</x:f>
      </x:c>
      <x:c r="W148" s="37" t="str">
        <x:f>IF(G148="","",IFERROR(SUMIF('05_BAO_CAO_NGAY'!$K$6:$K$505,G148,'05_BAO_CAO_NGAY'!$AB$6:$AB$505)/SUMIF('05_BAO_CAO_NGAY'!$K$6:$K$505,G148,'05_BAO_CAO_NGAY'!$AC$6:$AC$505),0))</x:f>
      </x:c>
      <x:c r="X148" s="37" t="str">
        <x:f>IF(G148="","",IFERROR(SUMIFS('05_BAO_CAO_NGAY'!$W$6:$W$505,'05_BAO_CAO_NGAY'!$K$6:$K$505,G148,'05_BAO_CAO_NGAY'!$N$6:$N$505,"PRODUCTION")/SUMIFS('05_BAO_CAO_NGAY'!$U$6:$U$505,'05_BAO_CAO_NGAY'!$K$6:$K$505,G148,'05_BAO_CAO_NGAY'!$N$6:$N$505,"PRODUCTION"),0))</x:f>
      </x:c>
      <x:c r="Y148" s="29" t="str">
        <x:f>IF(G148="","",SUMIF('05_BAO_CAO_NGAY'!$K$6:$K$505,G148,'05_BAO_CAO_NGAY'!$S$6:$S$505))</x:f>
      </x:c>
      <x:c r="Z148" s="21"/>
    </x:row>
    <x:row r="149">
      <x:c r="A149" s="21"/>
      <x:c r="B149" s="21"/>
      <x:c r="C149" s="21"/>
      <x:c r="D149" s="21"/>
      <x:c r="E149" s="21"/>
      <x:c r="F149" s="29" t="str">
        <x:f>IF(OR(B149="",C149=""),"",B149&amp;"|"&amp;C149&amp;"|"&amp;IF(D149="","00",D149)&amp;"|"&amp;IF(E149="","01",E149))</x:f>
      </x:c>
      <x:c r="G149" s="29" t="str">
        <x:f>IF(F149="","",F149&amp;"|"&amp;TEXT(A149,"000"))</x:f>
      </x:c>
      <x:c r="H149" s="21"/>
      <x:c r="I149" s="21"/>
      <x:c r="J149" s="25"/>
      <x:c r="K149" s="25"/>
      <x:c r="L149" s="25"/>
      <x:c r="M149" s="39" t="str">
        <x:f>IF(G149="","",K149+L149*J149)</x:f>
      </x:c>
      <x:c r="N149" s="35"/>
      <x:c r="O149" s="35"/>
      <x:c r="P149" s="21"/>
      <x:c r="Q149" s="21"/>
      <x:c r="R149" s="29" t="str">
        <x:f>IF(G149="","",MIN(J149,SUMIF('05_BAO_CAO_NGAY'!$K$6:$K$505,G149,'05_BAO_CAO_NGAY'!$V$6:$V$505)))</x:f>
      </x:c>
      <x:c r="S149" s="37" t="str">
        <x:f>IF(G149="","",IFERROR(R149/J149,0))</x:f>
      </x:c>
      <x:c r="T149" s="41" t="str">
        <x:f>IF(OR(G149="",COUNTIF('05_BAO_CAO_NGAY'!$K$6:$K$505,G149)=0),"",_xlfn.MINIFS('05_BAO_CAO_NGAY'!$B$6:$B$505,'05_BAO_CAO_NGAY'!$K$6:$K$505,G149))</x:f>
      </x:c>
      <x:c r="U149" s="41" t="str">
        <x:f>IF(OR(G149="",S149&lt;1),"",_xlfn.MAXIFS('05_BAO_CAO_NGAY'!$B$6:$B$505,'05_BAO_CAO_NGAY'!$K$6:$K$505,G149))</x:f>
      </x:c>
      <x:c r="V149" s="29" t="str">
        <x:f>IF(G149="","",IF(S149&gt;=1,IF(U149&lt;=O149,"Hoàn thành đúng hạn","Hoàn thành trễ"),IF(TODAY()&gt;O149,"Quá hạn",IF(R149&gt;0,"Đang thực hiện","Chưa bắt đầu"))))</x:f>
      </x:c>
      <x:c r="W149" s="37" t="str">
        <x:f>IF(G149="","",IFERROR(SUMIF('05_BAO_CAO_NGAY'!$K$6:$K$505,G149,'05_BAO_CAO_NGAY'!$AB$6:$AB$505)/SUMIF('05_BAO_CAO_NGAY'!$K$6:$K$505,G149,'05_BAO_CAO_NGAY'!$AC$6:$AC$505),0))</x:f>
      </x:c>
      <x:c r="X149" s="37" t="str">
        <x:f>IF(G149="","",IFERROR(SUMIFS('05_BAO_CAO_NGAY'!$W$6:$W$505,'05_BAO_CAO_NGAY'!$K$6:$K$505,G149,'05_BAO_CAO_NGAY'!$N$6:$N$505,"PRODUCTION")/SUMIFS('05_BAO_CAO_NGAY'!$U$6:$U$505,'05_BAO_CAO_NGAY'!$K$6:$K$505,G149,'05_BAO_CAO_NGAY'!$N$6:$N$505,"PRODUCTION"),0))</x:f>
      </x:c>
      <x:c r="Y149" s="29" t="str">
        <x:f>IF(G149="","",SUMIF('05_BAO_CAO_NGAY'!$K$6:$K$505,G149,'05_BAO_CAO_NGAY'!$S$6:$S$505))</x:f>
      </x:c>
      <x:c r="Z149" s="21"/>
    </x:row>
    <x:row r="150">
      <x:c r="A150" s="21"/>
      <x:c r="B150" s="21"/>
      <x:c r="C150" s="21"/>
      <x:c r="D150" s="21"/>
      <x:c r="E150" s="21"/>
      <x:c r="F150" s="29" t="str">
        <x:f>IF(OR(B150="",C150=""),"",B150&amp;"|"&amp;C150&amp;"|"&amp;IF(D150="","00",D150)&amp;"|"&amp;IF(E150="","01",E150))</x:f>
      </x:c>
      <x:c r="G150" s="29" t="str">
        <x:f>IF(F150="","",F150&amp;"|"&amp;TEXT(A150,"000"))</x:f>
      </x:c>
      <x:c r="H150" s="21"/>
      <x:c r="I150" s="21"/>
      <x:c r="J150" s="25"/>
      <x:c r="K150" s="25"/>
      <x:c r="L150" s="25"/>
      <x:c r="M150" s="39" t="str">
        <x:f>IF(G150="","",K150+L150*J150)</x:f>
      </x:c>
      <x:c r="N150" s="35"/>
      <x:c r="O150" s="35"/>
      <x:c r="P150" s="21"/>
      <x:c r="Q150" s="21"/>
      <x:c r="R150" s="29" t="str">
        <x:f>IF(G150="","",MIN(J150,SUMIF('05_BAO_CAO_NGAY'!$K$6:$K$505,G150,'05_BAO_CAO_NGAY'!$V$6:$V$505)))</x:f>
      </x:c>
      <x:c r="S150" s="37" t="str">
        <x:f>IF(G150="","",IFERROR(R150/J150,0))</x:f>
      </x:c>
      <x:c r="T150" s="41" t="str">
        <x:f>IF(OR(G150="",COUNTIF('05_BAO_CAO_NGAY'!$K$6:$K$505,G150)=0),"",_xlfn.MINIFS('05_BAO_CAO_NGAY'!$B$6:$B$505,'05_BAO_CAO_NGAY'!$K$6:$K$505,G150))</x:f>
      </x:c>
      <x:c r="U150" s="41" t="str">
        <x:f>IF(OR(G150="",S150&lt;1),"",_xlfn.MAXIFS('05_BAO_CAO_NGAY'!$B$6:$B$505,'05_BAO_CAO_NGAY'!$K$6:$K$505,G150))</x:f>
      </x:c>
      <x:c r="V150" s="29" t="str">
        <x:f>IF(G150="","",IF(S150&gt;=1,IF(U150&lt;=O150,"Hoàn thành đúng hạn","Hoàn thành trễ"),IF(TODAY()&gt;O150,"Quá hạn",IF(R150&gt;0,"Đang thực hiện","Chưa bắt đầu"))))</x:f>
      </x:c>
      <x:c r="W150" s="37" t="str">
        <x:f>IF(G150="","",IFERROR(SUMIF('05_BAO_CAO_NGAY'!$K$6:$K$505,G150,'05_BAO_CAO_NGAY'!$AB$6:$AB$505)/SUMIF('05_BAO_CAO_NGAY'!$K$6:$K$505,G150,'05_BAO_CAO_NGAY'!$AC$6:$AC$505),0))</x:f>
      </x:c>
      <x:c r="X150" s="37" t="str">
        <x:f>IF(G150="","",IFERROR(SUMIFS('05_BAO_CAO_NGAY'!$W$6:$W$505,'05_BAO_CAO_NGAY'!$K$6:$K$505,G150,'05_BAO_CAO_NGAY'!$N$6:$N$505,"PRODUCTION")/SUMIFS('05_BAO_CAO_NGAY'!$U$6:$U$505,'05_BAO_CAO_NGAY'!$K$6:$K$505,G150,'05_BAO_CAO_NGAY'!$N$6:$N$505,"PRODUCTION"),0))</x:f>
      </x:c>
      <x:c r="Y150" s="29" t="str">
        <x:f>IF(G150="","",SUMIF('05_BAO_CAO_NGAY'!$K$6:$K$505,G150,'05_BAO_CAO_NGAY'!$S$6:$S$505))</x:f>
      </x:c>
      <x:c r="Z150" s="21"/>
    </x:row>
    <x:row r="151">
      <x:c r="A151" s="21"/>
      <x:c r="B151" s="21"/>
      <x:c r="C151" s="21"/>
      <x:c r="D151" s="21"/>
      <x:c r="E151" s="21"/>
      <x:c r="F151" s="29" t="str">
        <x:f>IF(OR(B151="",C151=""),"",B151&amp;"|"&amp;C151&amp;"|"&amp;IF(D151="","00",D151)&amp;"|"&amp;IF(E151="","01",E151))</x:f>
      </x:c>
      <x:c r="G151" s="29" t="str">
        <x:f>IF(F151="","",F151&amp;"|"&amp;TEXT(A151,"000"))</x:f>
      </x:c>
      <x:c r="H151" s="21"/>
      <x:c r="I151" s="21"/>
      <x:c r="J151" s="25"/>
      <x:c r="K151" s="25"/>
      <x:c r="L151" s="25"/>
      <x:c r="M151" s="39" t="str">
        <x:f>IF(G151="","",K151+L151*J151)</x:f>
      </x:c>
      <x:c r="N151" s="35"/>
      <x:c r="O151" s="35"/>
      <x:c r="P151" s="21"/>
      <x:c r="Q151" s="21"/>
      <x:c r="R151" s="29" t="str">
        <x:f>IF(G151="","",MIN(J151,SUMIF('05_BAO_CAO_NGAY'!$K$6:$K$505,G151,'05_BAO_CAO_NGAY'!$V$6:$V$505)))</x:f>
      </x:c>
      <x:c r="S151" s="37" t="str">
        <x:f>IF(G151="","",IFERROR(R151/J151,0))</x:f>
      </x:c>
      <x:c r="T151" s="41" t="str">
        <x:f>IF(OR(G151="",COUNTIF('05_BAO_CAO_NGAY'!$K$6:$K$505,G151)=0),"",_xlfn.MINIFS('05_BAO_CAO_NGAY'!$B$6:$B$505,'05_BAO_CAO_NGAY'!$K$6:$K$505,G151))</x:f>
      </x:c>
      <x:c r="U151" s="41" t="str">
        <x:f>IF(OR(G151="",S151&lt;1),"",_xlfn.MAXIFS('05_BAO_CAO_NGAY'!$B$6:$B$505,'05_BAO_CAO_NGAY'!$K$6:$K$505,G151))</x:f>
      </x:c>
      <x:c r="V151" s="29" t="str">
        <x:f>IF(G151="","",IF(S151&gt;=1,IF(U151&lt;=O151,"Hoàn thành đúng hạn","Hoàn thành trễ"),IF(TODAY()&gt;O151,"Quá hạn",IF(R151&gt;0,"Đang thực hiện","Chưa bắt đầu"))))</x:f>
      </x:c>
      <x:c r="W151" s="37" t="str">
        <x:f>IF(G151="","",IFERROR(SUMIF('05_BAO_CAO_NGAY'!$K$6:$K$505,G151,'05_BAO_CAO_NGAY'!$AB$6:$AB$505)/SUMIF('05_BAO_CAO_NGAY'!$K$6:$K$505,G151,'05_BAO_CAO_NGAY'!$AC$6:$AC$505),0))</x:f>
      </x:c>
      <x:c r="X151" s="37" t="str">
        <x:f>IF(G151="","",IFERROR(SUMIFS('05_BAO_CAO_NGAY'!$W$6:$W$505,'05_BAO_CAO_NGAY'!$K$6:$K$505,G151,'05_BAO_CAO_NGAY'!$N$6:$N$505,"PRODUCTION")/SUMIFS('05_BAO_CAO_NGAY'!$U$6:$U$505,'05_BAO_CAO_NGAY'!$K$6:$K$505,G151,'05_BAO_CAO_NGAY'!$N$6:$N$505,"PRODUCTION"),0))</x:f>
      </x:c>
      <x:c r="Y151" s="29" t="str">
        <x:f>IF(G151="","",SUMIF('05_BAO_CAO_NGAY'!$K$6:$K$505,G151,'05_BAO_CAO_NGAY'!$S$6:$S$505))</x:f>
      </x:c>
      <x:c r="Z151" s="21"/>
    </x:row>
    <x:row r="152">
      <x:c r="A152" s="21"/>
      <x:c r="B152" s="21"/>
      <x:c r="C152" s="21"/>
      <x:c r="D152" s="21"/>
      <x:c r="E152" s="21"/>
      <x:c r="F152" s="29" t="str">
        <x:f>IF(OR(B152="",C152=""),"",B152&amp;"|"&amp;C152&amp;"|"&amp;IF(D152="","00",D152)&amp;"|"&amp;IF(E152="","01",E152))</x:f>
      </x:c>
      <x:c r="G152" s="29" t="str">
        <x:f>IF(F152="","",F152&amp;"|"&amp;TEXT(A152,"000"))</x:f>
      </x:c>
      <x:c r="H152" s="21"/>
      <x:c r="I152" s="21"/>
      <x:c r="J152" s="25"/>
      <x:c r="K152" s="25"/>
      <x:c r="L152" s="25"/>
      <x:c r="M152" s="39" t="str">
        <x:f>IF(G152="","",K152+L152*J152)</x:f>
      </x:c>
      <x:c r="N152" s="35"/>
      <x:c r="O152" s="35"/>
      <x:c r="P152" s="21"/>
      <x:c r="Q152" s="21"/>
      <x:c r="R152" s="29" t="str">
        <x:f>IF(G152="","",MIN(J152,SUMIF('05_BAO_CAO_NGAY'!$K$6:$K$505,G152,'05_BAO_CAO_NGAY'!$V$6:$V$505)))</x:f>
      </x:c>
      <x:c r="S152" s="37" t="str">
        <x:f>IF(G152="","",IFERROR(R152/J152,0))</x:f>
      </x:c>
      <x:c r="T152" s="41" t="str">
        <x:f>IF(OR(G152="",COUNTIF('05_BAO_CAO_NGAY'!$K$6:$K$505,G152)=0),"",_xlfn.MINIFS('05_BAO_CAO_NGAY'!$B$6:$B$505,'05_BAO_CAO_NGAY'!$K$6:$K$505,G152))</x:f>
      </x:c>
      <x:c r="U152" s="41" t="str">
        <x:f>IF(OR(G152="",S152&lt;1),"",_xlfn.MAXIFS('05_BAO_CAO_NGAY'!$B$6:$B$505,'05_BAO_CAO_NGAY'!$K$6:$K$505,G152))</x:f>
      </x:c>
      <x:c r="V152" s="29" t="str">
        <x:f>IF(G152="","",IF(S152&gt;=1,IF(U152&lt;=O152,"Hoàn thành đúng hạn","Hoàn thành trễ"),IF(TODAY()&gt;O152,"Quá hạn",IF(R152&gt;0,"Đang thực hiện","Chưa bắt đầu"))))</x:f>
      </x:c>
      <x:c r="W152" s="37" t="str">
        <x:f>IF(G152="","",IFERROR(SUMIF('05_BAO_CAO_NGAY'!$K$6:$K$505,G152,'05_BAO_CAO_NGAY'!$AB$6:$AB$505)/SUMIF('05_BAO_CAO_NGAY'!$K$6:$K$505,G152,'05_BAO_CAO_NGAY'!$AC$6:$AC$505),0))</x:f>
      </x:c>
      <x:c r="X152" s="37" t="str">
        <x:f>IF(G152="","",IFERROR(SUMIFS('05_BAO_CAO_NGAY'!$W$6:$W$505,'05_BAO_CAO_NGAY'!$K$6:$K$505,G152,'05_BAO_CAO_NGAY'!$N$6:$N$505,"PRODUCTION")/SUMIFS('05_BAO_CAO_NGAY'!$U$6:$U$505,'05_BAO_CAO_NGAY'!$K$6:$K$505,G152,'05_BAO_CAO_NGAY'!$N$6:$N$505,"PRODUCTION"),0))</x:f>
      </x:c>
      <x:c r="Y152" s="29" t="str">
        <x:f>IF(G152="","",SUMIF('05_BAO_CAO_NGAY'!$K$6:$K$505,G152,'05_BAO_CAO_NGAY'!$S$6:$S$505))</x:f>
      </x:c>
      <x:c r="Z152" s="21"/>
    </x:row>
    <x:row r="153">
      <x:c r="A153" s="21"/>
      <x:c r="B153" s="21"/>
      <x:c r="C153" s="21"/>
      <x:c r="D153" s="21"/>
      <x:c r="E153" s="21"/>
      <x:c r="F153" s="29" t="str">
        <x:f>IF(OR(B153="",C153=""),"",B153&amp;"|"&amp;C153&amp;"|"&amp;IF(D153="","00",D153)&amp;"|"&amp;IF(E153="","01",E153))</x:f>
      </x:c>
      <x:c r="G153" s="29" t="str">
        <x:f>IF(F153="","",F153&amp;"|"&amp;TEXT(A153,"000"))</x:f>
      </x:c>
      <x:c r="H153" s="21"/>
      <x:c r="I153" s="21"/>
      <x:c r="J153" s="25"/>
      <x:c r="K153" s="25"/>
      <x:c r="L153" s="25"/>
      <x:c r="M153" s="39" t="str">
        <x:f>IF(G153="","",K153+L153*J153)</x:f>
      </x:c>
      <x:c r="N153" s="35"/>
      <x:c r="O153" s="35"/>
      <x:c r="P153" s="21"/>
      <x:c r="Q153" s="21"/>
      <x:c r="R153" s="29" t="str">
        <x:f>IF(G153="","",MIN(J153,SUMIF('05_BAO_CAO_NGAY'!$K$6:$K$505,G153,'05_BAO_CAO_NGAY'!$V$6:$V$505)))</x:f>
      </x:c>
      <x:c r="S153" s="37" t="str">
        <x:f>IF(G153="","",IFERROR(R153/J153,0))</x:f>
      </x:c>
      <x:c r="T153" s="41" t="str">
        <x:f>IF(OR(G153="",COUNTIF('05_BAO_CAO_NGAY'!$K$6:$K$505,G153)=0),"",_xlfn.MINIFS('05_BAO_CAO_NGAY'!$B$6:$B$505,'05_BAO_CAO_NGAY'!$K$6:$K$505,G153))</x:f>
      </x:c>
      <x:c r="U153" s="41" t="str">
        <x:f>IF(OR(G153="",S153&lt;1),"",_xlfn.MAXIFS('05_BAO_CAO_NGAY'!$B$6:$B$505,'05_BAO_CAO_NGAY'!$K$6:$K$505,G153))</x:f>
      </x:c>
      <x:c r="V153" s="29" t="str">
        <x:f>IF(G153="","",IF(S153&gt;=1,IF(U153&lt;=O153,"Hoàn thành đúng hạn","Hoàn thành trễ"),IF(TODAY()&gt;O153,"Quá hạn",IF(R153&gt;0,"Đang thực hiện","Chưa bắt đầu"))))</x:f>
      </x:c>
      <x:c r="W153" s="37" t="str">
        <x:f>IF(G153="","",IFERROR(SUMIF('05_BAO_CAO_NGAY'!$K$6:$K$505,G153,'05_BAO_CAO_NGAY'!$AB$6:$AB$505)/SUMIF('05_BAO_CAO_NGAY'!$K$6:$K$505,G153,'05_BAO_CAO_NGAY'!$AC$6:$AC$505),0))</x:f>
      </x:c>
      <x:c r="X153" s="37" t="str">
        <x:f>IF(G153="","",IFERROR(SUMIFS('05_BAO_CAO_NGAY'!$W$6:$W$505,'05_BAO_CAO_NGAY'!$K$6:$K$505,G153,'05_BAO_CAO_NGAY'!$N$6:$N$505,"PRODUCTION")/SUMIFS('05_BAO_CAO_NGAY'!$U$6:$U$505,'05_BAO_CAO_NGAY'!$K$6:$K$505,G153,'05_BAO_CAO_NGAY'!$N$6:$N$505,"PRODUCTION"),0))</x:f>
      </x:c>
      <x:c r="Y153" s="29" t="str">
        <x:f>IF(G153="","",SUMIF('05_BAO_CAO_NGAY'!$K$6:$K$505,G153,'05_BAO_CAO_NGAY'!$S$6:$S$505))</x:f>
      </x:c>
      <x:c r="Z153" s="21"/>
    </x:row>
    <x:row r="154">
      <x:c r="A154" s="21"/>
      <x:c r="B154" s="21"/>
      <x:c r="C154" s="21"/>
      <x:c r="D154" s="21"/>
      <x:c r="E154" s="21"/>
      <x:c r="F154" s="29" t="str">
        <x:f>IF(OR(B154="",C154=""),"",B154&amp;"|"&amp;C154&amp;"|"&amp;IF(D154="","00",D154)&amp;"|"&amp;IF(E154="","01",E154))</x:f>
      </x:c>
      <x:c r="G154" s="29" t="str">
        <x:f>IF(F154="","",F154&amp;"|"&amp;TEXT(A154,"000"))</x:f>
      </x:c>
      <x:c r="H154" s="21"/>
      <x:c r="I154" s="21"/>
      <x:c r="J154" s="25"/>
      <x:c r="K154" s="25"/>
      <x:c r="L154" s="25"/>
      <x:c r="M154" s="39" t="str">
        <x:f>IF(G154="","",K154+L154*J154)</x:f>
      </x:c>
      <x:c r="N154" s="35"/>
      <x:c r="O154" s="35"/>
      <x:c r="P154" s="21"/>
      <x:c r="Q154" s="21"/>
      <x:c r="R154" s="29" t="str">
        <x:f>IF(G154="","",MIN(J154,SUMIF('05_BAO_CAO_NGAY'!$K$6:$K$505,G154,'05_BAO_CAO_NGAY'!$V$6:$V$505)))</x:f>
      </x:c>
      <x:c r="S154" s="37" t="str">
        <x:f>IF(G154="","",IFERROR(R154/J154,0))</x:f>
      </x:c>
      <x:c r="T154" s="41" t="str">
        <x:f>IF(OR(G154="",COUNTIF('05_BAO_CAO_NGAY'!$K$6:$K$505,G154)=0),"",_xlfn.MINIFS('05_BAO_CAO_NGAY'!$B$6:$B$505,'05_BAO_CAO_NGAY'!$K$6:$K$505,G154))</x:f>
      </x:c>
      <x:c r="U154" s="41" t="str">
        <x:f>IF(OR(G154="",S154&lt;1),"",_xlfn.MAXIFS('05_BAO_CAO_NGAY'!$B$6:$B$505,'05_BAO_CAO_NGAY'!$K$6:$K$505,G154))</x:f>
      </x:c>
      <x:c r="V154" s="29" t="str">
        <x:f>IF(G154="","",IF(S154&gt;=1,IF(U154&lt;=O154,"Hoàn thành đúng hạn","Hoàn thành trễ"),IF(TODAY()&gt;O154,"Quá hạn",IF(R154&gt;0,"Đang thực hiện","Chưa bắt đầu"))))</x:f>
      </x:c>
      <x:c r="W154" s="37" t="str">
        <x:f>IF(G154="","",IFERROR(SUMIF('05_BAO_CAO_NGAY'!$K$6:$K$505,G154,'05_BAO_CAO_NGAY'!$AB$6:$AB$505)/SUMIF('05_BAO_CAO_NGAY'!$K$6:$K$505,G154,'05_BAO_CAO_NGAY'!$AC$6:$AC$505),0))</x:f>
      </x:c>
      <x:c r="X154" s="37" t="str">
        <x:f>IF(G154="","",IFERROR(SUMIFS('05_BAO_CAO_NGAY'!$W$6:$W$505,'05_BAO_CAO_NGAY'!$K$6:$K$505,G154,'05_BAO_CAO_NGAY'!$N$6:$N$505,"PRODUCTION")/SUMIFS('05_BAO_CAO_NGAY'!$U$6:$U$505,'05_BAO_CAO_NGAY'!$K$6:$K$505,G154,'05_BAO_CAO_NGAY'!$N$6:$N$505,"PRODUCTION"),0))</x:f>
      </x:c>
      <x:c r="Y154" s="29" t="str">
        <x:f>IF(G154="","",SUMIF('05_BAO_CAO_NGAY'!$K$6:$K$505,G154,'05_BAO_CAO_NGAY'!$S$6:$S$505))</x:f>
      </x:c>
      <x:c r="Z154" s="21"/>
    </x:row>
    <x:row r="155">
      <x:c r="A155" s="21"/>
      <x:c r="B155" s="21"/>
      <x:c r="C155" s="21"/>
      <x:c r="D155" s="21"/>
      <x:c r="E155" s="21"/>
      <x:c r="F155" s="29" t="str">
        <x:f>IF(OR(B155="",C155=""),"",B155&amp;"|"&amp;C155&amp;"|"&amp;IF(D155="","00",D155)&amp;"|"&amp;IF(E155="","01",E155))</x:f>
      </x:c>
      <x:c r="G155" s="29" t="str">
        <x:f>IF(F155="","",F155&amp;"|"&amp;TEXT(A155,"000"))</x:f>
      </x:c>
      <x:c r="H155" s="21"/>
      <x:c r="I155" s="21"/>
      <x:c r="J155" s="25"/>
      <x:c r="K155" s="25"/>
      <x:c r="L155" s="25"/>
      <x:c r="M155" s="39" t="str">
        <x:f>IF(G155="","",K155+L155*J155)</x:f>
      </x:c>
      <x:c r="N155" s="35"/>
      <x:c r="O155" s="35"/>
      <x:c r="P155" s="21"/>
      <x:c r="Q155" s="21"/>
      <x:c r="R155" s="29" t="str">
        <x:f>IF(G155="","",MIN(J155,SUMIF('05_BAO_CAO_NGAY'!$K$6:$K$505,G155,'05_BAO_CAO_NGAY'!$V$6:$V$505)))</x:f>
      </x:c>
      <x:c r="S155" s="37" t="str">
        <x:f>IF(G155="","",IFERROR(R155/J155,0))</x:f>
      </x:c>
      <x:c r="T155" s="41" t="str">
        <x:f>IF(OR(G155="",COUNTIF('05_BAO_CAO_NGAY'!$K$6:$K$505,G155)=0),"",_xlfn.MINIFS('05_BAO_CAO_NGAY'!$B$6:$B$505,'05_BAO_CAO_NGAY'!$K$6:$K$505,G155))</x:f>
      </x:c>
      <x:c r="U155" s="41" t="str">
        <x:f>IF(OR(G155="",S155&lt;1),"",_xlfn.MAXIFS('05_BAO_CAO_NGAY'!$B$6:$B$505,'05_BAO_CAO_NGAY'!$K$6:$K$505,G155))</x:f>
      </x:c>
      <x:c r="V155" s="29" t="str">
        <x:f>IF(G155="","",IF(S155&gt;=1,IF(U155&lt;=O155,"Hoàn thành đúng hạn","Hoàn thành trễ"),IF(TODAY()&gt;O155,"Quá hạn",IF(R155&gt;0,"Đang thực hiện","Chưa bắt đầu"))))</x:f>
      </x:c>
      <x:c r="W155" s="37" t="str">
        <x:f>IF(G155="","",IFERROR(SUMIF('05_BAO_CAO_NGAY'!$K$6:$K$505,G155,'05_BAO_CAO_NGAY'!$AB$6:$AB$505)/SUMIF('05_BAO_CAO_NGAY'!$K$6:$K$505,G155,'05_BAO_CAO_NGAY'!$AC$6:$AC$505),0))</x:f>
      </x:c>
      <x:c r="X155" s="37" t="str">
        <x:f>IF(G155="","",IFERROR(SUMIFS('05_BAO_CAO_NGAY'!$W$6:$W$505,'05_BAO_CAO_NGAY'!$K$6:$K$505,G155,'05_BAO_CAO_NGAY'!$N$6:$N$505,"PRODUCTION")/SUMIFS('05_BAO_CAO_NGAY'!$U$6:$U$505,'05_BAO_CAO_NGAY'!$K$6:$K$505,G155,'05_BAO_CAO_NGAY'!$N$6:$N$505,"PRODUCTION"),0))</x:f>
      </x:c>
      <x:c r="Y155" s="29" t="str">
        <x:f>IF(G155="","",SUMIF('05_BAO_CAO_NGAY'!$K$6:$K$505,G155,'05_BAO_CAO_NGAY'!$S$6:$S$505))</x:f>
      </x:c>
      <x:c r="Z155" s="21"/>
    </x:row>
    <x:row r="156">
      <x:c r="A156" s="21"/>
      <x:c r="B156" s="21"/>
      <x:c r="C156" s="21"/>
      <x:c r="D156" s="21"/>
      <x:c r="E156" s="21"/>
      <x:c r="F156" s="29" t="str">
        <x:f>IF(OR(B156="",C156=""),"",B156&amp;"|"&amp;C156&amp;"|"&amp;IF(D156="","00",D156)&amp;"|"&amp;IF(E156="","01",E156))</x:f>
      </x:c>
      <x:c r="G156" s="29" t="str">
        <x:f>IF(F156="","",F156&amp;"|"&amp;TEXT(A156,"000"))</x:f>
      </x:c>
      <x:c r="H156" s="21"/>
      <x:c r="I156" s="21"/>
      <x:c r="J156" s="25"/>
      <x:c r="K156" s="25"/>
      <x:c r="L156" s="25"/>
      <x:c r="M156" s="39" t="str">
        <x:f>IF(G156="","",K156+L156*J156)</x:f>
      </x:c>
      <x:c r="N156" s="35"/>
      <x:c r="O156" s="35"/>
      <x:c r="P156" s="21"/>
      <x:c r="Q156" s="21"/>
      <x:c r="R156" s="29" t="str">
        <x:f>IF(G156="","",MIN(J156,SUMIF('05_BAO_CAO_NGAY'!$K$6:$K$505,G156,'05_BAO_CAO_NGAY'!$V$6:$V$505)))</x:f>
      </x:c>
      <x:c r="S156" s="37" t="str">
        <x:f>IF(G156="","",IFERROR(R156/J156,0))</x:f>
      </x:c>
      <x:c r="T156" s="41" t="str">
        <x:f>IF(OR(G156="",COUNTIF('05_BAO_CAO_NGAY'!$K$6:$K$505,G156)=0),"",_xlfn.MINIFS('05_BAO_CAO_NGAY'!$B$6:$B$505,'05_BAO_CAO_NGAY'!$K$6:$K$505,G156))</x:f>
      </x:c>
      <x:c r="U156" s="41" t="str">
        <x:f>IF(OR(G156="",S156&lt;1),"",_xlfn.MAXIFS('05_BAO_CAO_NGAY'!$B$6:$B$505,'05_BAO_CAO_NGAY'!$K$6:$K$505,G156))</x:f>
      </x:c>
      <x:c r="V156" s="29" t="str">
        <x:f>IF(G156="","",IF(S156&gt;=1,IF(U156&lt;=O156,"Hoàn thành đúng hạn","Hoàn thành trễ"),IF(TODAY()&gt;O156,"Quá hạn",IF(R156&gt;0,"Đang thực hiện","Chưa bắt đầu"))))</x:f>
      </x:c>
      <x:c r="W156" s="37" t="str">
        <x:f>IF(G156="","",IFERROR(SUMIF('05_BAO_CAO_NGAY'!$K$6:$K$505,G156,'05_BAO_CAO_NGAY'!$AB$6:$AB$505)/SUMIF('05_BAO_CAO_NGAY'!$K$6:$K$505,G156,'05_BAO_CAO_NGAY'!$AC$6:$AC$505),0))</x:f>
      </x:c>
      <x:c r="X156" s="37" t="str">
        <x:f>IF(G156="","",IFERROR(SUMIFS('05_BAO_CAO_NGAY'!$W$6:$W$505,'05_BAO_CAO_NGAY'!$K$6:$K$505,G156,'05_BAO_CAO_NGAY'!$N$6:$N$505,"PRODUCTION")/SUMIFS('05_BAO_CAO_NGAY'!$U$6:$U$505,'05_BAO_CAO_NGAY'!$K$6:$K$505,G156,'05_BAO_CAO_NGAY'!$N$6:$N$505,"PRODUCTION"),0))</x:f>
      </x:c>
      <x:c r="Y156" s="29" t="str">
        <x:f>IF(G156="","",SUMIF('05_BAO_CAO_NGAY'!$K$6:$K$505,G156,'05_BAO_CAO_NGAY'!$S$6:$S$505))</x:f>
      </x:c>
      <x:c r="Z156" s="21"/>
    </x:row>
    <x:row r="157">
      <x:c r="A157" s="21"/>
      <x:c r="B157" s="21"/>
      <x:c r="C157" s="21"/>
      <x:c r="D157" s="21"/>
      <x:c r="E157" s="21"/>
      <x:c r="F157" s="29" t="str">
        <x:f>IF(OR(B157="",C157=""),"",B157&amp;"|"&amp;C157&amp;"|"&amp;IF(D157="","00",D157)&amp;"|"&amp;IF(E157="","01",E157))</x:f>
      </x:c>
      <x:c r="G157" s="29" t="str">
        <x:f>IF(F157="","",F157&amp;"|"&amp;TEXT(A157,"000"))</x:f>
      </x:c>
      <x:c r="H157" s="21"/>
      <x:c r="I157" s="21"/>
      <x:c r="J157" s="25"/>
      <x:c r="K157" s="25"/>
      <x:c r="L157" s="25"/>
      <x:c r="M157" s="39" t="str">
        <x:f>IF(G157="","",K157+L157*J157)</x:f>
      </x:c>
      <x:c r="N157" s="35"/>
      <x:c r="O157" s="35"/>
      <x:c r="P157" s="21"/>
      <x:c r="Q157" s="21"/>
      <x:c r="R157" s="29" t="str">
        <x:f>IF(G157="","",MIN(J157,SUMIF('05_BAO_CAO_NGAY'!$K$6:$K$505,G157,'05_BAO_CAO_NGAY'!$V$6:$V$505)))</x:f>
      </x:c>
      <x:c r="S157" s="37" t="str">
        <x:f>IF(G157="","",IFERROR(R157/J157,0))</x:f>
      </x:c>
      <x:c r="T157" s="41" t="str">
        <x:f>IF(OR(G157="",COUNTIF('05_BAO_CAO_NGAY'!$K$6:$K$505,G157)=0),"",_xlfn.MINIFS('05_BAO_CAO_NGAY'!$B$6:$B$505,'05_BAO_CAO_NGAY'!$K$6:$K$505,G157))</x:f>
      </x:c>
      <x:c r="U157" s="41" t="str">
        <x:f>IF(OR(G157="",S157&lt;1),"",_xlfn.MAXIFS('05_BAO_CAO_NGAY'!$B$6:$B$505,'05_BAO_CAO_NGAY'!$K$6:$K$505,G157))</x:f>
      </x:c>
      <x:c r="V157" s="29" t="str">
        <x:f>IF(G157="","",IF(S157&gt;=1,IF(U157&lt;=O157,"Hoàn thành đúng hạn","Hoàn thành trễ"),IF(TODAY()&gt;O157,"Quá hạn",IF(R157&gt;0,"Đang thực hiện","Chưa bắt đầu"))))</x:f>
      </x:c>
      <x:c r="W157" s="37" t="str">
        <x:f>IF(G157="","",IFERROR(SUMIF('05_BAO_CAO_NGAY'!$K$6:$K$505,G157,'05_BAO_CAO_NGAY'!$AB$6:$AB$505)/SUMIF('05_BAO_CAO_NGAY'!$K$6:$K$505,G157,'05_BAO_CAO_NGAY'!$AC$6:$AC$505),0))</x:f>
      </x:c>
      <x:c r="X157" s="37" t="str">
        <x:f>IF(G157="","",IFERROR(SUMIFS('05_BAO_CAO_NGAY'!$W$6:$W$505,'05_BAO_CAO_NGAY'!$K$6:$K$505,G157,'05_BAO_CAO_NGAY'!$N$6:$N$505,"PRODUCTION")/SUMIFS('05_BAO_CAO_NGAY'!$U$6:$U$505,'05_BAO_CAO_NGAY'!$K$6:$K$505,G157,'05_BAO_CAO_NGAY'!$N$6:$N$505,"PRODUCTION"),0))</x:f>
      </x:c>
      <x:c r="Y157" s="29" t="str">
        <x:f>IF(G157="","",SUMIF('05_BAO_CAO_NGAY'!$K$6:$K$505,G157,'05_BAO_CAO_NGAY'!$S$6:$S$505))</x:f>
      </x:c>
      <x:c r="Z157" s="21"/>
    </x:row>
    <x:row r="158">
      <x:c r="A158" s="21"/>
      <x:c r="B158" s="21"/>
      <x:c r="C158" s="21"/>
      <x:c r="D158" s="21"/>
      <x:c r="E158" s="21"/>
      <x:c r="F158" s="29" t="str">
        <x:f>IF(OR(B158="",C158=""),"",B158&amp;"|"&amp;C158&amp;"|"&amp;IF(D158="","00",D158)&amp;"|"&amp;IF(E158="","01",E158))</x:f>
      </x:c>
      <x:c r="G158" s="29" t="str">
        <x:f>IF(F158="","",F158&amp;"|"&amp;TEXT(A158,"000"))</x:f>
      </x:c>
      <x:c r="H158" s="21"/>
      <x:c r="I158" s="21"/>
      <x:c r="J158" s="25"/>
      <x:c r="K158" s="25"/>
      <x:c r="L158" s="25"/>
      <x:c r="M158" s="39" t="str">
        <x:f>IF(G158="","",K158+L158*J158)</x:f>
      </x:c>
      <x:c r="N158" s="35"/>
      <x:c r="O158" s="35"/>
      <x:c r="P158" s="21"/>
      <x:c r="Q158" s="21"/>
      <x:c r="R158" s="29" t="str">
        <x:f>IF(G158="","",MIN(J158,SUMIF('05_BAO_CAO_NGAY'!$K$6:$K$505,G158,'05_BAO_CAO_NGAY'!$V$6:$V$505)))</x:f>
      </x:c>
      <x:c r="S158" s="37" t="str">
        <x:f>IF(G158="","",IFERROR(R158/J158,0))</x:f>
      </x:c>
      <x:c r="T158" s="41" t="str">
        <x:f>IF(OR(G158="",COUNTIF('05_BAO_CAO_NGAY'!$K$6:$K$505,G158)=0),"",_xlfn.MINIFS('05_BAO_CAO_NGAY'!$B$6:$B$505,'05_BAO_CAO_NGAY'!$K$6:$K$505,G158))</x:f>
      </x:c>
      <x:c r="U158" s="41" t="str">
        <x:f>IF(OR(G158="",S158&lt;1),"",_xlfn.MAXIFS('05_BAO_CAO_NGAY'!$B$6:$B$505,'05_BAO_CAO_NGAY'!$K$6:$K$505,G158))</x:f>
      </x:c>
      <x:c r="V158" s="29" t="str">
        <x:f>IF(G158="","",IF(S158&gt;=1,IF(U158&lt;=O158,"Hoàn thành đúng hạn","Hoàn thành trễ"),IF(TODAY()&gt;O158,"Quá hạn",IF(R158&gt;0,"Đang thực hiện","Chưa bắt đầu"))))</x:f>
      </x:c>
      <x:c r="W158" s="37" t="str">
        <x:f>IF(G158="","",IFERROR(SUMIF('05_BAO_CAO_NGAY'!$K$6:$K$505,G158,'05_BAO_CAO_NGAY'!$AB$6:$AB$505)/SUMIF('05_BAO_CAO_NGAY'!$K$6:$K$505,G158,'05_BAO_CAO_NGAY'!$AC$6:$AC$505),0))</x:f>
      </x:c>
      <x:c r="X158" s="37" t="str">
        <x:f>IF(G158="","",IFERROR(SUMIFS('05_BAO_CAO_NGAY'!$W$6:$W$505,'05_BAO_CAO_NGAY'!$K$6:$K$505,G158,'05_BAO_CAO_NGAY'!$N$6:$N$505,"PRODUCTION")/SUMIFS('05_BAO_CAO_NGAY'!$U$6:$U$505,'05_BAO_CAO_NGAY'!$K$6:$K$505,G158,'05_BAO_CAO_NGAY'!$N$6:$N$505,"PRODUCTION"),0))</x:f>
      </x:c>
      <x:c r="Y158" s="29" t="str">
        <x:f>IF(G158="","",SUMIF('05_BAO_CAO_NGAY'!$K$6:$K$505,G158,'05_BAO_CAO_NGAY'!$S$6:$S$505))</x:f>
      </x:c>
      <x:c r="Z158" s="21"/>
    </x:row>
    <x:row r="159">
      <x:c r="A159" s="21"/>
      <x:c r="B159" s="21"/>
      <x:c r="C159" s="21"/>
      <x:c r="D159" s="21"/>
      <x:c r="E159" s="21"/>
      <x:c r="F159" s="29" t="str">
        <x:f>IF(OR(B159="",C159=""),"",B159&amp;"|"&amp;C159&amp;"|"&amp;IF(D159="","00",D159)&amp;"|"&amp;IF(E159="","01",E159))</x:f>
      </x:c>
      <x:c r="G159" s="29" t="str">
        <x:f>IF(F159="","",F159&amp;"|"&amp;TEXT(A159,"000"))</x:f>
      </x:c>
      <x:c r="H159" s="21"/>
      <x:c r="I159" s="21"/>
      <x:c r="J159" s="25"/>
      <x:c r="K159" s="25"/>
      <x:c r="L159" s="25"/>
      <x:c r="M159" s="39" t="str">
        <x:f>IF(G159="","",K159+L159*J159)</x:f>
      </x:c>
      <x:c r="N159" s="35"/>
      <x:c r="O159" s="35"/>
      <x:c r="P159" s="21"/>
      <x:c r="Q159" s="21"/>
      <x:c r="R159" s="29" t="str">
        <x:f>IF(G159="","",MIN(J159,SUMIF('05_BAO_CAO_NGAY'!$K$6:$K$505,G159,'05_BAO_CAO_NGAY'!$V$6:$V$505)))</x:f>
      </x:c>
      <x:c r="S159" s="37" t="str">
        <x:f>IF(G159="","",IFERROR(R159/J159,0))</x:f>
      </x:c>
      <x:c r="T159" s="41" t="str">
        <x:f>IF(OR(G159="",COUNTIF('05_BAO_CAO_NGAY'!$K$6:$K$505,G159)=0),"",_xlfn.MINIFS('05_BAO_CAO_NGAY'!$B$6:$B$505,'05_BAO_CAO_NGAY'!$K$6:$K$505,G159))</x:f>
      </x:c>
      <x:c r="U159" s="41" t="str">
        <x:f>IF(OR(G159="",S159&lt;1),"",_xlfn.MAXIFS('05_BAO_CAO_NGAY'!$B$6:$B$505,'05_BAO_CAO_NGAY'!$K$6:$K$505,G159))</x:f>
      </x:c>
      <x:c r="V159" s="29" t="str">
        <x:f>IF(G159="","",IF(S159&gt;=1,IF(U159&lt;=O159,"Hoàn thành đúng hạn","Hoàn thành trễ"),IF(TODAY()&gt;O159,"Quá hạn",IF(R159&gt;0,"Đang thực hiện","Chưa bắt đầu"))))</x:f>
      </x:c>
      <x:c r="W159" s="37" t="str">
        <x:f>IF(G159="","",IFERROR(SUMIF('05_BAO_CAO_NGAY'!$K$6:$K$505,G159,'05_BAO_CAO_NGAY'!$AB$6:$AB$505)/SUMIF('05_BAO_CAO_NGAY'!$K$6:$K$505,G159,'05_BAO_CAO_NGAY'!$AC$6:$AC$505),0))</x:f>
      </x:c>
      <x:c r="X159" s="37" t="str">
        <x:f>IF(G159="","",IFERROR(SUMIFS('05_BAO_CAO_NGAY'!$W$6:$W$505,'05_BAO_CAO_NGAY'!$K$6:$K$505,G159,'05_BAO_CAO_NGAY'!$N$6:$N$505,"PRODUCTION")/SUMIFS('05_BAO_CAO_NGAY'!$U$6:$U$505,'05_BAO_CAO_NGAY'!$K$6:$K$505,G159,'05_BAO_CAO_NGAY'!$N$6:$N$505,"PRODUCTION"),0))</x:f>
      </x:c>
      <x:c r="Y159" s="29" t="str">
        <x:f>IF(G159="","",SUMIF('05_BAO_CAO_NGAY'!$K$6:$K$505,G159,'05_BAO_CAO_NGAY'!$S$6:$S$505))</x:f>
      </x:c>
      <x:c r="Z159" s="21"/>
    </x:row>
    <x:row r="160">
      <x:c r="A160" s="21"/>
      <x:c r="B160" s="21"/>
      <x:c r="C160" s="21"/>
      <x:c r="D160" s="21"/>
      <x:c r="E160" s="21"/>
      <x:c r="F160" s="29" t="str">
        <x:f>IF(OR(B160="",C160=""),"",B160&amp;"|"&amp;C160&amp;"|"&amp;IF(D160="","00",D160)&amp;"|"&amp;IF(E160="","01",E160))</x:f>
      </x:c>
      <x:c r="G160" s="29" t="str">
        <x:f>IF(F160="","",F160&amp;"|"&amp;TEXT(A160,"000"))</x:f>
      </x:c>
      <x:c r="H160" s="21"/>
      <x:c r="I160" s="21"/>
      <x:c r="J160" s="25"/>
      <x:c r="K160" s="25"/>
      <x:c r="L160" s="25"/>
      <x:c r="M160" s="39" t="str">
        <x:f>IF(G160="","",K160+L160*J160)</x:f>
      </x:c>
      <x:c r="N160" s="35"/>
      <x:c r="O160" s="35"/>
      <x:c r="P160" s="21"/>
      <x:c r="Q160" s="21"/>
      <x:c r="R160" s="29" t="str">
        <x:f>IF(G160="","",MIN(J160,SUMIF('05_BAO_CAO_NGAY'!$K$6:$K$505,G160,'05_BAO_CAO_NGAY'!$V$6:$V$505)))</x:f>
      </x:c>
      <x:c r="S160" s="37" t="str">
        <x:f>IF(G160="","",IFERROR(R160/J160,0))</x:f>
      </x:c>
      <x:c r="T160" s="41" t="str">
        <x:f>IF(OR(G160="",COUNTIF('05_BAO_CAO_NGAY'!$K$6:$K$505,G160)=0),"",_xlfn.MINIFS('05_BAO_CAO_NGAY'!$B$6:$B$505,'05_BAO_CAO_NGAY'!$K$6:$K$505,G160))</x:f>
      </x:c>
      <x:c r="U160" s="41" t="str">
        <x:f>IF(OR(G160="",S160&lt;1),"",_xlfn.MAXIFS('05_BAO_CAO_NGAY'!$B$6:$B$505,'05_BAO_CAO_NGAY'!$K$6:$K$505,G160))</x:f>
      </x:c>
      <x:c r="V160" s="29" t="str">
        <x:f>IF(G160="","",IF(S160&gt;=1,IF(U160&lt;=O160,"Hoàn thành đúng hạn","Hoàn thành trễ"),IF(TODAY()&gt;O160,"Quá hạn",IF(R160&gt;0,"Đang thực hiện","Chưa bắt đầu"))))</x:f>
      </x:c>
      <x:c r="W160" s="37" t="str">
        <x:f>IF(G160="","",IFERROR(SUMIF('05_BAO_CAO_NGAY'!$K$6:$K$505,G160,'05_BAO_CAO_NGAY'!$AB$6:$AB$505)/SUMIF('05_BAO_CAO_NGAY'!$K$6:$K$505,G160,'05_BAO_CAO_NGAY'!$AC$6:$AC$505),0))</x:f>
      </x:c>
      <x:c r="X160" s="37" t="str">
        <x:f>IF(G160="","",IFERROR(SUMIFS('05_BAO_CAO_NGAY'!$W$6:$W$505,'05_BAO_CAO_NGAY'!$K$6:$K$505,G160,'05_BAO_CAO_NGAY'!$N$6:$N$505,"PRODUCTION")/SUMIFS('05_BAO_CAO_NGAY'!$U$6:$U$505,'05_BAO_CAO_NGAY'!$K$6:$K$505,G160,'05_BAO_CAO_NGAY'!$N$6:$N$505,"PRODUCTION"),0))</x:f>
      </x:c>
      <x:c r="Y160" s="29" t="str">
        <x:f>IF(G160="","",SUMIF('05_BAO_CAO_NGAY'!$K$6:$K$505,G160,'05_BAO_CAO_NGAY'!$S$6:$S$505))</x:f>
      </x:c>
      <x:c r="Z160" s="21"/>
    </x:row>
    <x:row r="161">
      <x:c r="A161" s="21"/>
      <x:c r="B161" s="21"/>
      <x:c r="C161" s="21"/>
      <x:c r="D161" s="21"/>
      <x:c r="E161" s="21"/>
      <x:c r="F161" s="29" t="str">
        <x:f>IF(OR(B161="",C161=""),"",B161&amp;"|"&amp;C161&amp;"|"&amp;IF(D161="","00",D161)&amp;"|"&amp;IF(E161="","01",E161))</x:f>
      </x:c>
      <x:c r="G161" s="29" t="str">
        <x:f>IF(F161="","",F161&amp;"|"&amp;TEXT(A161,"000"))</x:f>
      </x:c>
      <x:c r="H161" s="21"/>
      <x:c r="I161" s="21"/>
      <x:c r="J161" s="25"/>
      <x:c r="K161" s="25"/>
      <x:c r="L161" s="25"/>
      <x:c r="M161" s="39" t="str">
        <x:f>IF(G161="","",K161+L161*J161)</x:f>
      </x:c>
      <x:c r="N161" s="35"/>
      <x:c r="O161" s="35"/>
      <x:c r="P161" s="21"/>
      <x:c r="Q161" s="21"/>
      <x:c r="R161" s="29" t="str">
        <x:f>IF(G161="","",MIN(J161,SUMIF('05_BAO_CAO_NGAY'!$K$6:$K$505,G161,'05_BAO_CAO_NGAY'!$V$6:$V$505)))</x:f>
      </x:c>
      <x:c r="S161" s="37" t="str">
        <x:f>IF(G161="","",IFERROR(R161/J161,0))</x:f>
      </x:c>
      <x:c r="T161" s="41" t="str">
        <x:f>IF(OR(G161="",COUNTIF('05_BAO_CAO_NGAY'!$K$6:$K$505,G161)=0),"",_xlfn.MINIFS('05_BAO_CAO_NGAY'!$B$6:$B$505,'05_BAO_CAO_NGAY'!$K$6:$K$505,G161))</x:f>
      </x:c>
      <x:c r="U161" s="41" t="str">
        <x:f>IF(OR(G161="",S161&lt;1),"",_xlfn.MAXIFS('05_BAO_CAO_NGAY'!$B$6:$B$505,'05_BAO_CAO_NGAY'!$K$6:$K$505,G161))</x:f>
      </x:c>
      <x:c r="V161" s="29" t="str">
        <x:f>IF(G161="","",IF(S161&gt;=1,IF(U161&lt;=O161,"Hoàn thành đúng hạn","Hoàn thành trễ"),IF(TODAY()&gt;O161,"Quá hạn",IF(R161&gt;0,"Đang thực hiện","Chưa bắt đầu"))))</x:f>
      </x:c>
      <x:c r="W161" s="37" t="str">
        <x:f>IF(G161="","",IFERROR(SUMIF('05_BAO_CAO_NGAY'!$K$6:$K$505,G161,'05_BAO_CAO_NGAY'!$AB$6:$AB$505)/SUMIF('05_BAO_CAO_NGAY'!$K$6:$K$505,G161,'05_BAO_CAO_NGAY'!$AC$6:$AC$505),0))</x:f>
      </x:c>
      <x:c r="X161" s="37" t="str">
        <x:f>IF(G161="","",IFERROR(SUMIFS('05_BAO_CAO_NGAY'!$W$6:$W$505,'05_BAO_CAO_NGAY'!$K$6:$K$505,G161,'05_BAO_CAO_NGAY'!$N$6:$N$505,"PRODUCTION")/SUMIFS('05_BAO_CAO_NGAY'!$U$6:$U$505,'05_BAO_CAO_NGAY'!$K$6:$K$505,G161,'05_BAO_CAO_NGAY'!$N$6:$N$505,"PRODUCTION"),0))</x:f>
      </x:c>
      <x:c r="Y161" s="29" t="str">
        <x:f>IF(G161="","",SUMIF('05_BAO_CAO_NGAY'!$K$6:$K$505,G161,'05_BAO_CAO_NGAY'!$S$6:$S$505))</x:f>
      </x:c>
      <x:c r="Z161" s="21"/>
    </x:row>
    <x:row r="162">
      <x:c r="A162" s="21"/>
      <x:c r="B162" s="21"/>
      <x:c r="C162" s="21"/>
      <x:c r="D162" s="21"/>
      <x:c r="E162" s="21"/>
      <x:c r="F162" s="29" t="str">
        <x:f>IF(OR(B162="",C162=""),"",B162&amp;"|"&amp;C162&amp;"|"&amp;IF(D162="","00",D162)&amp;"|"&amp;IF(E162="","01",E162))</x:f>
      </x:c>
      <x:c r="G162" s="29" t="str">
        <x:f>IF(F162="","",F162&amp;"|"&amp;TEXT(A162,"000"))</x:f>
      </x:c>
      <x:c r="H162" s="21"/>
      <x:c r="I162" s="21"/>
      <x:c r="J162" s="25"/>
      <x:c r="K162" s="25"/>
      <x:c r="L162" s="25"/>
      <x:c r="M162" s="39" t="str">
        <x:f>IF(G162="","",K162+L162*J162)</x:f>
      </x:c>
      <x:c r="N162" s="35"/>
      <x:c r="O162" s="35"/>
      <x:c r="P162" s="21"/>
      <x:c r="Q162" s="21"/>
      <x:c r="R162" s="29" t="str">
        <x:f>IF(G162="","",MIN(J162,SUMIF('05_BAO_CAO_NGAY'!$K$6:$K$505,G162,'05_BAO_CAO_NGAY'!$V$6:$V$505)))</x:f>
      </x:c>
      <x:c r="S162" s="37" t="str">
        <x:f>IF(G162="","",IFERROR(R162/J162,0))</x:f>
      </x:c>
      <x:c r="T162" s="41" t="str">
        <x:f>IF(OR(G162="",COUNTIF('05_BAO_CAO_NGAY'!$K$6:$K$505,G162)=0),"",_xlfn.MINIFS('05_BAO_CAO_NGAY'!$B$6:$B$505,'05_BAO_CAO_NGAY'!$K$6:$K$505,G162))</x:f>
      </x:c>
      <x:c r="U162" s="41" t="str">
        <x:f>IF(OR(G162="",S162&lt;1),"",_xlfn.MAXIFS('05_BAO_CAO_NGAY'!$B$6:$B$505,'05_BAO_CAO_NGAY'!$K$6:$K$505,G162))</x:f>
      </x:c>
      <x:c r="V162" s="29" t="str">
        <x:f>IF(G162="","",IF(S162&gt;=1,IF(U162&lt;=O162,"Hoàn thành đúng hạn","Hoàn thành trễ"),IF(TODAY()&gt;O162,"Quá hạn",IF(R162&gt;0,"Đang thực hiện","Chưa bắt đầu"))))</x:f>
      </x:c>
      <x:c r="W162" s="37" t="str">
        <x:f>IF(G162="","",IFERROR(SUMIF('05_BAO_CAO_NGAY'!$K$6:$K$505,G162,'05_BAO_CAO_NGAY'!$AB$6:$AB$505)/SUMIF('05_BAO_CAO_NGAY'!$K$6:$K$505,G162,'05_BAO_CAO_NGAY'!$AC$6:$AC$505),0))</x:f>
      </x:c>
      <x:c r="X162" s="37" t="str">
        <x:f>IF(G162="","",IFERROR(SUMIFS('05_BAO_CAO_NGAY'!$W$6:$W$505,'05_BAO_CAO_NGAY'!$K$6:$K$505,G162,'05_BAO_CAO_NGAY'!$N$6:$N$505,"PRODUCTION")/SUMIFS('05_BAO_CAO_NGAY'!$U$6:$U$505,'05_BAO_CAO_NGAY'!$K$6:$K$505,G162,'05_BAO_CAO_NGAY'!$N$6:$N$505,"PRODUCTION"),0))</x:f>
      </x:c>
      <x:c r="Y162" s="29" t="str">
        <x:f>IF(G162="","",SUMIF('05_BAO_CAO_NGAY'!$K$6:$K$505,G162,'05_BAO_CAO_NGAY'!$S$6:$S$505))</x:f>
      </x:c>
      <x:c r="Z162" s="21"/>
    </x:row>
    <x:row r="163">
      <x:c r="A163" s="21"/>
      <x:c r="B163" s="21"/>
      <x:c r="C163" s="21"/>
      <x:c r="D163" s="21"/>
      <x:c r="E163" s="21"/>
      <x:c r="F163" s="29" t="str">
        <x:f>IF(OR(B163="",C163=""),"",B163&amp;"|"&amp;C163&amp;"|"&amp;IF(D163="","00",D163)&amp;"|"&amp;IF(E163="","01",E163))</x:f>
      </x:c>
      <x:c r="G163" s="29" t="str">
        <x:f>IF(F163="","",F163&amp;"|"&amp;TEXT(A163,"000"))</x:f>
      </x:c>
      <x:c r="H163" s="21"/>
      <x:c r="I163" s="21"/>
      <x:c r="J163" s="25"/>
      <x:c r="K163" s="25"/>
      <x:c r="L163" s="25"/>
      <x:c r="M163" s="39" t="str">
        <x:f>IF(G163="","",K163+L163*J163)</x:f>
      </x:c>
      <x:c r="N163" s="35"/>
      <x:c r="O163" s="35"/>
      <x:c r="P163" s="21"/>
      <x:c r="Q163" s="21"/>
      <x:c r="R163" s="29" t="str">
        <x:f>IF(G163="","",MIN(J163,SUMIF('05_BAO_CAO_NGAY'!$K$6:$K$505,G163,'05_BAO_CAO_NGAY'!$V$6:$V$505)))</x:f>
      </x:c>
      <x:c r="S163" s="37" t="str">
        <x:f>IF(G163="","",IFERROR(R163/J163,0))</x:f>
      </x:c>
      <x:c r="T163" s="41" t="str">
        <x:f>IF(OR(G163="",COUNTIF('05_BAO_CAO_NGAY'!$K$6:$K$505,G163)=0),"",_xlfn.MINIFS('05_BAO_CAO_NGAY'!$B$6:$B$505,'05_BAO_CAO_NGAY'!$K$6:$K$505,G163))</x:f>
      </x:c>
      <x:c r="U163" s="41" t="str">
        <x:f>IF(OR(G163="",S163&lt;1),"",_xlfn.MAXIFS('05_BAO_CAO_NGAY'!$B$6:$B$505,'05_BAO_CAO_NGAY'!$K$6:$K$505,G163))</x:f>
      </x:c>
      <x:c r="V163" s="29" t="str">
        <x:f>IF(G163="","",IF(S163&gt;=1,IF(U163&lt;=O163,"Hoàn thành đúng hạn","Hoàn thành trễ"),IF(TODAY()&gt;O163,"Quá hạn",IF(R163&gt;0,"Đang thực hiện","Chưa bắt đầu"))))</x:f>
      </x:c>
      <x:c r="W163" s="37" t="str">
        <x:f>IF(G163="","",IFERROR(SUMIF('05_BAO_CAO_NGAY'!$K$6:$K$505,G163,'05_BAO_CAO_NGAY'!$AB$6:$AB$505)/SUMIF('05_BAO_CAO_NGAY'!$K$6:$K$505,G163,'05_BAO_CAO_NGAY'!$AC$6:$AC$505),0))</x:f>
      </x:c>
      <x:c r="X163" s="37" t="str">
        <x:f>IF(G163="","",IFERROR(SUMIFS('05_BAO_CAO_NGAY'!$W$6:$W$505,'05_BAO_CAO_NGAY'!$K$6:$K$505,G163,'05_BAO_CAO_NGAY'!$N$6:$N$505,"PRODUCTION")/SUMIFS('05_BAO_CAO_NGAY'!$U$6:$U$505,'05_BAO_CAO_NGAY'!$K$6:$K$505,G163,'05_BAO_CAO_NGAY'!$N$6:$N$505,"PRODUCTION"),0))</x:f>
      </x:c>
      <x:c r="Y163" s="29" t="str">
        <x:f>IF(G163="","",SUMIF('05_BAO_CAO_NGAY'!$K$6:$K$505,G163,'05_BAO_CAO_NGAY'!$S$6:$S$505))</x:f>
      </x:c>
      <x:c r="Z163" s="21"/>
    </x:row>
    <x:row r="164">
      <x:c r="A164" s="21"/>
      <x:c r="B164" s="21"/>
      <x:c r="C164" s="21"/>
      <x:c r="D164" s="21"/>
      <x:c r="E164" s="21"/>
      <x:c r="F164" s="29" t="str">
        <x:f>IF(OR(B164="",C164=""),"",B164&amp;"|"&amp;C164&amp;"|"&amp;IF(D164="","00",D164)&amp;"|"&amp;IF(E164="","01",E164))</x:f>
      </x:c>
      <x:c r="G164" s="29" t="str">
        <x:f>IF(F164="","",F164&amp;"|"&amp;TEXT(A164,"000"))</x:f>
      </x:c>
      <x:c r="H164" s="21"/>
      <x:c r="I164" s="21"/>
      <x:c r="J164" s="25"/>
      <x:c r="K164" s="25"/>
      <x:c r="L164" s="25"/>
      <x:c r="M164" s="39" t="str">
        <x:f>IF(G164="","",K164+L164*J164)</x:f>
      </x:c>
      <x:c r="N164" s="35"/>
      <x:c r="O164" s="35"/>
      <x:c r="P164" s="21"/>
      <x:c r="Q164" s="21"/>
      <x:c r="R164" s="29" t="str">
        <x:f>IF(G164="","",MIN(J164,SUMIF('05_BAO_CAO_NGAY'!$K$6:$K$505,G164,'05_BAO_CAO_NGAY'!$V$6:$V$505)))</x:f>
      </x:c>
      <x:c r="S164" s="37" t="str">
        <x:f>IF(G164="","",IFERROR(R164/J164,0))</x:f>
      </x:c>
      <x:c r="T164" s="41" t="str">
        <x:f>IF(OR(G164="",COUNTIF('05_BAO_CAO_NGAY'!$K$6:$K$505,G164)=0),"",_xlfn.MINIFS('05_BAO_CAO_NGAY'!$B$6:$B$505,'05_BAO_CAO_NGAY'!$K$6:$K$505,G164))</x:f>
      </x:c>
      <x:c r="U164" s="41" t="str">
        <x:f>IF(OR(G164="",S164&lt;1),"",_xlfn.MAXIFS('05_BAO_CAO_NGAY'!$B$6:$B$505,'05_BAO_CAO_NGAY'!$K$6:$K$505,G164))</x:f>
      </x:c>
      <x:c r="V164" s="29" t="str">
        <x:f>IF(G164="","",IF(S164&gt;=1,IF(U164&lt;=O164,"Hoàn thành đúng hạn","Hoàn thành trễ"),IF(TODAY()&gt;O164,"Quá hạn",IF(R164&gt;0,"Đang thực hiện","Chưa bắt đầu"))))</x:f>
      </x:c>
      <x:c r="W164" s="37" t="str">
        <x:f>IF(G164="","",IFERROR(SUMIF('05_BAO_CAO_NGAY'!$K$6:$K$505,G164,'05_BAO_CAO_NGAY'!$AB$6:$AB$505)/SUMIF('05_BAO_CAO_NGAY'!$K$6:$K$505,G164,'05_BAO_CAO_NGAY'!$AC$6:$AC$505),0))</x:f>
      </x:c>
      <x:c r="X164" s="37" t="str">
        <x:f>IF(G164="","",IFERROR(SUMIFS('05_BAO_CAO_NGAY'!$W$6:$W$505,'05_BAO_CAO_NGAY'!$K$6:$K$505,G164,'05_BAO_CAO_NGAY'!$N$6:$N$505,"PRODUCTION")/SUMIFS('05_BAO_CAO_NGAY'!$U$6:$U$505,'05_BAO_CAO_NGAY'!$K$6:$K$505,G164,'05_BAO_CAO_NGAY'!$N$6:$N$505,"PRODUCTION"),0))</x:f>
      </x:c>
      <x:c r="Y164" s="29" t="str">
        <x:f>IF(G164="","",SUMIF('05_BAO_CAO_NGAY'!$K$6:$K$505,G164,'05_BAO_CAO_NGAY'!$S$6:$S$505))</x:f>
      </x:c>
      <x:c r="Z164" s="21"/>
    </x:row>
    <x:row r="165">
      <x:c r="A165" s="21"/>
      <x:c r="B165" s="21"/>
      <x:c r="C165" s="21"/>
      <x:c r="D165" s="21"/>
      <x:c r="E165" s="21"/>
      <x:c r="F165" s="29" t="str">
        <x:f>IF(OR(B165="",C165=""),"",B165&amp;"|"&amp;C165&amp;"|"&amp;IF(D165="","00",D165)&amp;"|"&amp;IF(E165="","01",E165))</x:f>
      </x:c>
      <x:c r="G165" s="29" t="str">
        <x:f>IF(F165="","",F165&amp;"|"&amp;TEXT(A165,"000"))</x:f>
      </x:c>
      <x:c r="H165" s="21"/>
      <x:c r="I165" s="21"/>
      <x:c r="J165" s="25"/>
      <x:c r="K165" s="25"/>
      <x:c r="L165" s="25"/>
      <x:c r="M165" s="39" t="str">
        <x:f>IF(G165="","",K165+L165*J165)</x:f>
      </x:c>
      <x:c r="N165" s="35"/>
      <x:c r="O165" s="35"/>
      <x:c r="P165" s="21"/>
      <x:c r="Q165" s="21"/>
      <x:c r="R165" s="29" t="str">
        <x:f>IF(G165="","",MIN(J165,SUMIF('05_BAO_CAO_NGAY'!$K$6:$K$505,G165,'05_BAO_CAO_NGAY'!$V$6:$V$505)))</x:f>
      </x:c>
      <x:c r="S165" s="37" t="str">
        <x:f>IF(G165="","",IFERROR(R165/J165,0))</x:f>
      </x:c>
      <x:c r="T165" s="41" t="str">
        <x:f>IF(OR(G165="",COUNTIF('05_BAO_CAO_NGAY'!$K$6:$K$505,G165)=0),"",_xlfn.MINIFS('05_BAO_CAO_NGAY'!$B$6:$B$505,'05_BAO_CAO_NGAY'!$K$6:$K$505,G165))</x:f>
      </x:c>
      <x:c r="U165" s="41" t="str">
        <x:f>IF(OR(G165="",S165&lt;1),"",_xlfn.MAXIFS('05_BAO_CAO_NGAY'!$B$6:$B$505,'05_BAO_CAO_NGAY'!$K$6:$K$505,G165))</x:f>
      </x:c>
      <x:c r="V165" s="29" t="str">
        <x:f>IF(G165="","",IF(S165&gt;=1,IF(U165&lt;=O165,"Hoàn thành đúng hạn","Hoàn thành trễ"),IF(TODAY()&gt;O165,"Quá hạn",IF(R165&gt;0,"Đang thực hiện","Chưa bắt đầu"))))</x:f>
      </x:c>
      <x:c r="W165" s="37" t="str">
        <x:f>IF(G165="","",IFERROR(SUMIF('05_BAO_CAO_NGAY'!$K$6:$K$505,G165,'05_BAO_CAO_NGAY'!$AB$6:$AB$505)/SUMIF('05_BAO_CAO_NGAY'!$K$6:$K$505,G165,'05_BAO_CAO_NGAY'!$AC$6:$AC$505),0))</x:f>
      </x:c>
      <x:c r="X165" s="37" t="str">
        <x:f>IF(G165="","",IFERROR(SUMIFS('05_BAO_CAO_NGAY'!$W$6:$W$505,'05_BAO_CAO_NGAY'!$K$6:$K$505,G165,'05_BAO_CAO_NGAY'!$N$6:$N$505,"PRODUCTION")/SUMIFS('05_BAO_CAO_NGAY'!$U$6:$U$505,'05_BAO_CAO_NGAY'!$K$6:$K$505,G165,'05_BAO_CAO_NGAY'!$N$6:$N$505,"PRODUCTION"),0))</x:f>
      </x:c>
      <x:c r="Y165" s="29" t="str">
        <x:f>IF(G165="","",SUMIF('05_BAO_CAO_NGAY'!$K$6:$K$505,G165,'05_BAO_CAO_NGAY'!$S$6:$S$505))</x:f>
      </x:c>
      <x:c r="Z165" s="21"/>
    </x:row>
    <x:row r="166">
      <x:c r="A166" s="21"/>
      <x:c r="B166" s="21"/>
      <x:c r="C166" s="21"/>
      <x:c r="D166" s="21"/>
      <x:c r="E166" s="21"/>
      <x:c r="F166" s="29" t="str">
        <x:f>IF(OR(B166="",C166=""),"",B166&amp;"|"&amp;C166&amp;"|"&amp;IF(D166="","00",D166)&amp;"|"&amp;IF(E166="","01",E166))</x:f>
      </x:c>
      <x:c r="G166" s="29" t="str">
        <x:f>IF(F166="","",F166&amp;"|"&amp;TEXT(A166,"000"))</x:f>
      </x:c>
      <x:c r="H166" s="21"/>
      <x:c r="I166" s="21"/>
      <x:c r="J166" s="25"/>
      <x:c r="K166" s="25"/>
      <x:c r="L166" s="25"/>
      <x:c r="M166" s="39" t="str">
        <x:f>IF(G166="","",K166+L166*J166)</x:f>
      </x:c>
      <x:c r="N166" s="35"/>
      <x:c r="O166" s="35"/>
      <x:c r="P166" s="21"/>
      <x:c r="Q166" s="21"/>
      <x:c r="R166" s="29" t="str">
        <x:f>IF(G166="","",MIN(J166,SUMIF('05_BAO_CAO_NGAY'!$K$6:$K$505,G166,'05_BAO_CAO_NGAY'!$V$6:$V$505)))</x:f>
      </x:c>
      <x:c r="S166" s="37" t="str">
        <x:f>IF(G166="","",IFERROR(R166/J166,0))</x:f>
      </x:c>
      <x:c r="T166" s="41" t="str">
        <x:f>IF(OR(G166="",COUNTIF('05_BAO_CAO_NGAY'!$K$6:$K$505,G166)=0),"",_xlfn.MINIFS('05_BAO_CAO_NGAY'!$B$6:$B$505,'05_BAO_CAO_NGAY'!$K$6:$K$505,G166))</x:f>
      </x:c>
      <x:c r="U166" s="41" t="str">
        <x:f>IF(OR(G166="",S166&lt;1),"",_xlfn.MAXIFS('05_BAO_CAO_NGAY'!$B$6:$B$505,'05_BAO_CAO_NGAY'!$K$6:$K$505,G166))</x:f>
      </x:c>
      <x:c r="V166" s="29" t="str">
        <x:f>IF(G166="","",IF(S166&gt;=1,IF(U166&lt;=O166,"Hoàn thành đúng hạn","Hoàn thành trễ"),IF(TODAY()&gt;O166,"Quá hạn",IF(R166&gt;0,"Đang thực hiện","Chưa bắt đầu"))))</x:f>
      </x:c>
      <x:c r="W166" s="37" t="str">
        <x:f>IF(G166="","",IFERROR(SUMIF('05_BAO_CAO_NGAY'!$K$6:$K$505,G166,'05_BAO_CAO_NGAY'!$AB$6:$AB$505)/SUMIF('05_BAO_CAO_NGAY'!$K$6:$K$505,G166,'05_BAO_CAO_NGAY'!$AC$6:$AC$505),0))</x:f>
      </x:c>
      <x:c r="X166" s="37" t="str">
        <x:f>IF(G166="","",IFERROR(SUMIFS('05_BAO_CAO_NGAY'!$W$6:$W$505,'05_BAO_CAO_NGAY'!$K$6:$K$505,G166,'05_BAO_CAO_NGAY'!$N$6:$N$505,"PRODUCTION")/SUMIFS('05_BAO_CAO_NGAY'!$U$6:$U$505,'05_BAO_CAO_NGAY'!$K$6:$K$505,G166,'05_BAO_CAO_NGAY'!$N$6:$N$505,"PRODUCTION"),0))</x:f>
      </x:c>
      <x:c r="Y166" s="29" t="str">
        <x:f>IF(G166="","",SUMIF('05_BAO_CAO_NGAY'!$K$6:$K$505,G166,'05_BAO_CAO_NGAY'!$S$6:$S$505))</x:f>
      </x:c>
      <x:c r="Z166" s="21"/>
    </x:row>
    <x:row r="167">
      <x:c r="A167" s="21"/>
      <x:c r="B167" s="21"/>
      <x:c r="C167" s="21"/>
      <x:c r="D167" s="21"/>
      <x:c r="E167" s="21"/>
      <x:c r="F167" s="29" t="str">
        <x:f>IF(OR(B167="",C167=""),"",B167&amp;"|"&amp;C167&amp;"|"&amp;IF(D167="","00",D167)&amp;"|"&amp;IF(E167="","01",E167))</x:f>
      </x:c>
      <x:c r="G167" s="29" t="str">
        <x:f>IF(F167="","",F167&amp;"|"&amp;TEXT(A167,"000"))</x:f>
      </x:c>
      <x:c r="H167" s="21"/>
      <x:c r="I167" s="21"/>
      <x:c r="J167" s="25"/>
      <x:c r="K167" s="25"/>
      <x:c r="L167" s="25"/>
      <x:c r="M167" s="39" t="str">
        <x:f>IF(G167="","",K167+L167*J167)</x:f>
      </x:c>
      <x:c r="N167" s="35"/>
      <x:c r="O167" s="35"/>
      <x:c r="P167" s="21"/>
      <x:c r="Q167" s="21"/>
      <x:c r="R167" s="29" t="str">
        <x:f>IF(G167="","",MIN(J167,SUMIF('05_BAO_CAO_NGAY'!$K$6:$K$505,G167,'05_BAO_CAO_NGAY'!$V$6:$V$505)))</x:f>
      </x:c>
      <x:c r="S167" s="37" t="str">
        <x:f>IF(G167="","",IFERROR(R167/J167,0))</x:f>
      </x:c>
      <x:c r="T167" s="41" t="str">
        <x:f>IF(OR(G167="",COUNTIF('05_BAO_CAO_NGAY'!$K$6:$K$505,G167)=0),"",_xlfn.MINIFS('05_BAO_CAO_NGAY'!$B$6:$B$505,'05_BAO_CAO_NGAY'!$K$6:$K$505,G167))</x:f>
      </x:c>
      <x:c r="U167" s="41" t="str">
        <x:f>IF(OR(G167="",S167&lt;1),"",_xlfn.MAXIFS('05_BAO_CAO_NGAY'!$B$6:$B$505,'05_BAO_CAO_NGAY'!$K$6:$K$505,G167))</x:f>
      </x:c>
      <x:c r="V167" s="29" t="str">
        <x:f>IF(G167="","",IF(S167&gt;=1,IF(U167&lt;=O167,"Hoàn thành đúng hạn","Hoàn thành trễ"),IF(TODAY()&gt;O167,"Quá hạn",IF(R167&gt;0,"Đang thực hiện","Chưa bắt đầu"))))</x:f>
      </x:c>
      <x:c r="W167" s="37" t="str">
        <x:f>IF(G167="","",IFERROR(SUMIF('05_BAO_CAO_NGAY'!$K$6:$K$505,G167,'05_BAO_CAO_NGAY'!$AB$6:$AB$505)/SUMIF('05_BAO_CAO_NGAY'!$K$6:$K$505,G167,'05_BAO_CAO_NGAY'!$AC$6:$AC$505),0))</x:f>
      </x:c>
      <x:c r="X167" s="37" t="str">
        <x:f>IF(G167="","",IFERROR(SUMIFS('05_BAO_CAO_NGAY'!$W$6:$W$505,'05_BAO_CAO_NGAY'!$K$6:$K$505,G167,'05_BAO_CAO_NGAY'!$N$6:$N$505,"PRODUCTION")/SUMIFS('05_BAO_CAO_NGAY'!$U$6:$U$505,'05_BAO_CAO_NGAY'!$K$6:$K$505,G167,'05_BAO_CAO_NGAY'!$N$6:$N$505,"PRODUCTION"),0))</x:f>
      </x:c>
      <x:c r="Y167" s="29" t="str">
        <x:f>IF(G167="","",SUMIF('05_BAO_CAO_NGAY'!$K$6:$K$505,G167,'05_BAO_CAO_NGAY'!$S$6:$S$505))</x:f>
      </x:c>
      <x:c r="Z167" s="21"/>
    </x:row>
    <x:row r="168">
      <x:c r="A168" s="21"/>
      <x:c r="B168" s="21"/>
      <x:c r="C168" s="21"/>
      <x:c r="D168" s="21"/>
      <x:c r="E168" s="21"/>
      <x:c r="F168" s="29" t="str">
        <x:f>IF(OR(B168="",C168=""),"",B168&amp;"|"&amp;C168&amp;"|"&amp;IF(D168="","00",D168)&amp;"|"&amp;IF(E168="","01",E168))</x:f>
      </x:c>
      <x:c r="G168" s="29" t="str">
        <x:f>IF(F168="","",F168&amp;"|"&amp;TEXT(A168,"000"))</x:f>
      </x:c>
      <x:c r="H168" s="21"/>
      <x:c r="I168" s="21"/>
      <x:c r="J168" s="25"/>
      <x:c r="K168" s="25"/>
      <x:c r="L168" s="25"/>
      <x:c r="M168" s="39" t="str">
        <x:f>IF(G168="","",K168+L168*J168)</x:f>
      </x:c>
      <x:c r="N168" s="35"/>
      <x:c r="O168" s="35"/>
      <x:c r="P168" s="21"/>
      <x:c r="Q168" s="21"/>
      <x:c r="R168" s="29" t="str">
        <x:f>IF(G168="","",MIN(J168,SUMIF('05_BAO_CAO_NGAY'!$K$6:$K$505,G168,'05_BAO_CAO_NGAY'!$V$6:$V$505)))</x:f>
      </x:c>
      <x:c r="S168" s="37" t="str">
        <x:f>IF(G168="","",IFERROR(R168/J168,0))</x:f>
      </x:c>
      <x:c r="T168" s="41" t="str">
        <x:f>IF(OR(G168="",COUNTIF('05_BAO_CAO_NGAY'!$K$6:$K$505,G168)=0),"",_xlfn.MINIFS('05_BAO_CAO_NGAY'!$B$6:$B$505,'05_BAO_CAO_NGAY'!$K$6:$K$505,G168))</x:f>
      </x:c>
      <x:c r="U168" s="41" t="str">
        <x:f>IF(OR(G168="",S168&lt;1),"",_xlfn.MAXIFS('05_BAO_CAO_NGAY'!$B$6:$B$505,'05_BAO_CAO_NGAY'!$K$6:$K$505,G168))</x:f>
      </x:c>
      <x:c r="V168" s="29" t="str">
        <x:f>IF(G168="","",IF(S168&gt;=1,IF(U168&lt;=O168,"Hoàn thành đúng hạn","Hoàn thành trễ"),IF(TODAY()&gt;O168,"Quá hạn",IF(R168&gt;0,"Đang thực hiện","Chưa bắt đầu"))))</x:f>
      </x:c>
      <x:c r="W168" s="37" t="str">
        <x:f>IF(G168="","",IFERROR(SUMIF('05_BAO_CAO_NGAY'!$K$6:$K$505,G168,'05_BAO_CAO_NGAY'!$AB$6:$AB$505)/SUMIF('05_BAO_CAO_NGAY'!$K$6:$K$505,G168,'05_BAO_CAO_NGAY'!$AC$6:$AC$505),0))</x:f>
      </x:c>
      <x:c r="X168" s="37" t="str">
        <x:f>IF(G168="","",IFERROR(SUMIFS('05_BAO_CAO_NGAY'!$W$6:$W$505,'05_BAO_CAO_NGAY'!$K$6:$K$505,G168,'05_BAO_CAO_NGAY'!$N$6:$N$505,"PRODUCTION")/SUMIFS('05_BAO_CAO_NGAY'!$U$6:$U$505,'05_BAO_CAO_NGAY'!$K$6:$K$505,G168,'05_BAO_CAO_NGAY'!$N$6:$N$505,"PRODUCTION"),0))</x:f>
      </x:c>
      <x:c r="Y168" s="29" t="str">
        <x:f>IF(G168="","",SUMIF('05_BAO_CAO_NGAY'!$K$6:$K$505,G168,'05_BAO_CAO_NGAY'!$S$6:$S$505))</x:f>
      </x:c>
      <x:c r="Z168" s="21"/>
    </x:row>
    <x:row r="169">
      <x:c r="A169" s="21"/>
      <x:c r="B169" s="21"/>
      <x:c r="C169" s="21"/>
      <x:c r="D169" s="21"/>
      <x:c r="E169" s="21"/>
      <x:c r="F169" s="29" t="str">
        <x:f>IF(OR(B169="",C169=""),"",B169&amp;"|"&amp;C169&amp;"|"&amp;IF(D169="","00",D169)&amp;"|"&amp;IF(E169="","01",E169))</x:f>
      </x:c>
      <x:c r="G169" s="29" t="str">
        <x:f>IF(F169="","",F169&amp;"|"&amp;TEXT(A169,"000"))</x:f>
      </x:c>
      <x:c r="H169" s="21"/>
      <x:c r="I169" s="21"/>
      <x:c r="J169" s="25"/>
      <x:c r="K169" s="25"/>
      <x:c r="L169" s="25"/>
      <x:c r="M169" s="39" t="str">
        <x:f>IF(G169="","",K169+L169*J169)</x:f>
      </x:c>
      <x:c r="N169" s="35"/>
      <x:c r="O169" s="35"/>
      <x:c r="P169" s="21"/>
      <x:c r="Q169" s="21"/>
      <x:c r="R169" s="29" t="str">
        <x:f>IF(G169="","",MIN(J169,SUMIF('05_BAO_CAO_NGAY'!$K$6:$K$505,G169,'05_BAO_CAO_NGAY'!$V$6:$V$505)))</x:f>
      </x:c>
      <x:c r="S169" s="37" t="str">
        <x:f>IF(G169="","",IFERROR(R169/J169,0))</x:f>
      </x:c>
      <x:c r="T169" s="41" t="str">
        <x:f>IF(OR(G169="",COUNTIF('05_BAO_CAO_NGAY'!$K$6:$K$505,G169)=0),"",_xlfn.MINIFS('05_BAO_CAO_NGAY'!$B$6:$B$505,'05_BAO_CAO_NGAY'!$K$6:$K$505,G169))</x:f>
      </x:c>
      <x:c r="U169" s="41" t="str">
        <x:f>IF(OR(G169="",S169&lt;1),"",_xlfn.MAXIFS('05_BAO_CAO_NGAY'!$B$6:$B$505,'05_BAO_CAO_NGAY'!$K$6:$K$505,G169))</x:f>
      </x:c>
      <x:c r="V169" s="29" t="str">
        <x:f>IF(G169="","",IF(S169&gt;=1,IF(U169&lt;=O169,"Hoàn thành đúng hạn","Hoàn thành trễ"),IF(TODAY()&gt;O169,"Quá hạn",IF(R169&gt;0,"Đang thực hiện","Chưa bắt đầu"))))</x:f>
      </x:c>
      <x:c r="W169" s="37" t="str">
        <x:f>IF(G169="","",IFERROR(SUMIF('05_BAO_CAO_NGAY'!$K$6:$K$505,G169,'05_BAO_CAO_NGAY'!$AB$6:$AB$505)/SUMIF('05_BAO_CAO_NGAY'!$K$6:$K$505,G169,'05_BAO_CAO_NGAY'!$AC$6:$AC$505),0))</x:f>
      </x:c>
      <x:c r="X169" s="37" t="str">
        <x:f>IF(G169="","",IFERROR(SUMIFS('05_BAO_CAO_NGAY'!$W$6:$W$505,'05_BAO_CAO_NGAY'!$K$6:$K$505,G169,'05_BAO_CAO_NGAY'!$N$6:$N$505,"PRODUCTION")/SUMIFS('05_BAO_CAO_NGAY'!$U$6:$U$505,'05_BAO_CAO_NGAY'!$K$6:$K$505,G169,'05_BAO_CAO_NGAY'!$N$6:$N$505,"PRODUCTION"),0))</x:f>
      </x:c>
      <x:c r="Y169" s="29" t="str">
        <x:f>IF(G169="","",SUMIF('05_BAO_CAO_NGAY'!$K$6:$K$505,G169,'05_BAO_CAO_NGAY'!$S$6:$S$505))</x:f>
      </x:c>
      <x:c r="Z169" s="21"/>
    </x:row>
    <x:row r="170">
      <x:c r="A170" s="21"/>
      <x:c r="B170" s="21"/>
      <x:c r="C170" s="21"/>
      <x:c r="D170" s="21"/>
      <x:c r="E170" s="21"/>
      <x:c r="F170" s="29" t="str">
        <x:f>IF(OR(B170="",C170=""),"",B170&amp;"|"&amp;C170&amp;"|"&amp;IF(D170="","00",D170)&amp;"|"&amp;IF(E170="","01",E170))</x:f>
      </x:c>
      <x:c r="G170" s="29" t="str">
        <x:f>IF(F170="","",F170&amp;"|"&amp;TEXT(A170,"000"))</x:f>
      </x:c>
      <x:c r="H170" s="21"/>
      <x:c r="I170" s="21"/>
      <x:c r="J170" s="25"/>
      <x:c r="K170" s="25"/>
      <x:c r="L170" s="25"/>
      <x:c r="M170" s="39" t="str">
        <x:f>IF(G170="","",K170+L170*J170)</x:f>
      </x:c>
      <x:c r="N170" s="35"/>
      <x:c r="O170" s="35"/>
      <x:c r="P170" s="21"/>
      <x:c r="Q170" s="21"/>
      <x:c r="R170" s="29" t="str">
        <x:f>IF(G170="","",MIN(J170,SUMIF('05_BAO_CAO_NGAY'!$K$6:$K$505,G170,'05_BAO_CAO_NGAY'!$V$6:$V$505)))</x:f>
      </x:c>
      <x:c r="S170" s="37" t="str">
        <x:f>IF(G170="","",IFERROR(R170/J170,0))</x:f>
      </x:c>
      <x:c r="T170" s="41" t="str">
        <x:f>IF(OR(G170="",COUNTIF('05_BAO_CAO_NGAY'!$K$6:$K$505,G170)=0),"",_xlfn.MINIFS('05_BAO_CAO_NGAY'!$B$6:$B$505,'05_BAO_CAO_NGAY'!$K$6:$K$505,G170))</x:f>
      </x:c>
      <x:c r="U170" s="41" t="str">
        <x:f>IF(OR(G170="",S170&lt;1),"",_xlfn.MAXIFS('05_BAO_CAO_NGAY'!$B$6:$B$505,'05_BAO_CAO_NGAY'!$K$6:$K$505,G170))</x:f>
      </x:c>
      <x:c r="V170" s="29" t="str">
        <x:f>IF(G170="","",IF(S170&gt;=1,IF(U170&lt;=O170,"Hoàn thành đúng hạn","Hoàn thành trễ"),IF(TODAY()&gt;O170,"Quá hạn",IF(R170&gt;0,"Đang thực hiện","Chưa bắt đầu"))))</x:f>
      </x:c>
      <x:c r="W170" s="37" t="str">
        <x:f>IF(G170="","",IFERROR(SUMIF('05_BAO_CAO_NGAY'!$K$6:$K$505,G170,'05_BAO_CAO_NGAY'!$AB$6:$AB$505)/SUMIF('05_BAO_CAO_NGAY'!$K$6:$K$505,G170,'05_BAO_CAO_NGAY'!$AC$6:$AC$505),0))</x:f>
      </x:c>
      <x:c r="X170" s="37" t="str">
        <x:f>IF(G170="","",IFERROR(SUMIFS('05_BAO_CAO_NGAY'!$W$6:$W$505,'05_BAO_CAO_NGAY'!$K$6:$K$505,G170,'05_BAO_CAO_NGAY'!$N$6:$N$505,"PRODUCTION")/SUMIFS('05_BAO_CAO_NGAY'!$U$6:$U$505,'05_BAO_CAO_NGAY'!$K$6:$K$505,G170,'05_BAO_CAO_NGAY'!$N$6:$N$505,"PRODUCTION"),0))</x:f>
      </x:c>
      <x:c r="Y170" s="29" t="str">
        <x:f>IF(G170="","",SUMIF('05_BAO_CAO_NGAY'!$K$6:$K$505,G170,'05_BAO_CAO_NGAY'!$S$6:$S$505))</x:f>
      </x:c>
      <x:c r="Z170" s="21"/>
    </x:row>
    <x:row r="171">
      <x:c r="A171" s="21"/>
      <x:c r="B171" s="21"/>
      <x:c r="C171" s="21"/>
      <x:c r="D171" s="21"/>
      <x:c r="E171" s="21"/>
      <x:c r="F171" s="29" t="str">
        <x:f>IF(OR(B171="",C171=""),"",B171&amp;"|"&amp;C171&amp;"|"&amp;IF(D171="","00",D171)&amp;"|"&amp;IF(E171="","01",E171))</x:f>
      </x:c>
      <x:c r="G171" s="29" t="str">
        <x:f>IF(F171="","",F171&amp;"|"&amp;TEXT(A171,"000"))</x:f>
      </x:c>
      <x:c r="H171" s="21"/>
      <x:c r="I171" s="21"/>
      <x:c r="J171" s="25"/>
      <x:c r="K171" s="25"/>
      <x:c r="L171" s="25"/>
      <x:c r="M171" s="39" t="str">
        <x:f>IF(G171="","",K171+L171*J171)</x:f>
      </x:c>
      <x:c r="N171" s="35"/>
      <x:c r="O171" s="35"/>
      <x:c r="P171" s="21"/>
      <x:c r="Q171" s="21"/>
      <x:c r="R171" s="29" t="str">
        <x:f>IF(G171="","",MIN(J171,SUMIF('05_BAO_CAO_NGAY'!$K$6:$K$505,G171,'05_BAO_CAO_NGAY'!$V$6:$V$505)))</x:f>
      </x:c>
      <x:c r="S171" s="37" t="str">
        <x:f>IF(G171="","",IFERROR(R171/J171,0))</x:f>
      </x:c>
      <x:c r="T171" s="41" t="str">
        <x:f>IF(OR(G171="",COUNTIF('05_BAO_CAO_NGAY'!$K$6:$K$505,G171)=0),"",_xlfn.MINIFS('05_BAO_CAO_NGAY'!$B$6:$B$505,'05_BAO_CAO_NGAY'!$K$6:$K$505,G171))</x:f>
      </x:c>
      <x:c r="U171" s="41" t="str">
        <x:f>IF(OR(G171="",S171&lt;1),"",_xlfn.MAXIFS('05_BAO_CAO_NGAY'!$B$6:$B$505,'05_BAO_CAO_NGAY'!$K$6:$K$505,G171))</x:f>
      </x:c>
      <x:c r="V171" s="29" t="str">
        <x:f>IF(G171="","",IF(S171&gt;=1,IF(U171&lt;=O171,"Hoàn thành đúng hạn","Hoàn thành trễ"),IF(TODAY()&gt;O171,"Quá hạn",IF(R171&gt;0,"Đang thực hiện","Chưa bắt đầu"))))</x:f>
      </x:c>
      <x:c r="W171" s="37" t="str">
        <x:f>IF(G171="","",IFERROR(SUMIF('05_BAO_CAO_NGAY'!$K$6:$K$505,G171,'05_BAO_CAO_NGAY'!$AB$6:$AB$505)/SUMIF('05_BAO_CAO_NGAY'!$K$6:$K$505,G171,'05_BAO_CAO_NGAY'!$AC$6:$AC$505),0))</x:f>
      </x:c>
      <x:c r="X171" s="37" t="str">
        <x:f>IF(G171="","",IFERROR(SUMIFS('05_BAO_CAO_NGAY'!$W$6:$W$505,'05_BAO_CAO_NGAY'!$K$6:$K$505,G171,'05_BAO_CAO_NGAY'!$N$6:$N$505,"PRODUCTION")/SUMIFS('05_BAO_CAO_NGAY'!$U$6:$U$505,'05_BAO_CAO_NGAY'!$K$6:$K$505,G171,'05_BAO_CAO_NGAY'!$N$6:$N$505,"PRODUCTION"),0))</x:f>
      </x:c>
      <x:c r="Y171" s="29" t="str">
        <x:f>IF(G171="","",SUMIF('05_BAO_CAO_NGAY'!$K$6:$K$505,G171,'05_BAO_CAO_NGAY'!$S$6:$S$505))</x:f>
      </x:c>
      <x:c r="Z171" s="21"/>
    </x:row>
    <x:row r="172">
      <x:c r="A172" s="21"/>
      <x:c r="B172" s="21"/>
      <x:c r="C172" s="21"/>
      <x:c r="D172" s="21"/>
      <x:c r="E172" s="21"/>
      <x:c r="F172" s="29" t="str">
        <x:f>IF(OR(B172="",C172=""),"",B172&amp;"|"&amp;C172&amp;"|"&amp;IF(D172="","00",D172)&amp;"|"&amp;IF(E172="","01",E172))</x:f>
      </x:c>
      <x:c r="G172" s="29" t="str">
        <x:f>IF(F172="","",F172&amp;"|"&amp;TEXT(A172,"000"))</x:f>
      </x:c>
      <x:c r="H172" s="21"/>
      <x:c r="I172" s="21"/>
      <x:c r="J172" s="25"/>
      <x:c r="K172" s="25"/>
      <x:c r="L172" s="25"/>
      <x:c r="M172" s="39" t="str">
        <x:f>IF(G172="","",K172+L172*J172)</x:f>
      </x:c>
      <x:c r="N172" s="35"/>
      <x:c r="O172" s="35"/>
      <x:c r="P172" s="21"/>
      <x:c r="Q172" s="21"/>
      <x:c r="R172" s="29" t="str">
        <x:f>IF(G172="","",MIN(J172,SUMIF('05_BAO_CAO_NGAY'!$K$6:$K$505,G172,'05_BAO_CAO_NGAY'!$V$6:$V$505)))</x:f>
      </x:c>
      <x:c r="S172" s="37" t="str">
        <x:f>IF(G172="","",IFERROR(R172/J172,0))</x:f>
      </x:c>
      <x:c r="T172" s="41" t="str">
        <x:f>IF(OR(G172="",COUNTIF('05_BAO_CAO_NGAY'!$K$6:$K$505,G172)=0),"",_xlfn.MINIFS('05_BAO_CAO_NGAY'!$B$6:$B$505,'05_BAO_CAO_NGAY'!$K$6:$K$505,G172))</x:f>
      </x:c>
      <x:c r="U172" s="41" t="str">
        <x:f>IF(OR(G172="",S172&lt;1),"",_xlfn.MAXIFS('05_BAO_CAO_NGAY'!$B$6:$B$505,'05_BAO_CAO_NGAY'!$K$6:$K$505,G172))</x:f>
      </x:c>
      <x:c r="V172" s="29" t="str">
        <x:f>IF(G172="","",IF(S172&gt;=1,IF(U172&lt;=O172,"Hoàn thành đúng hạn","Hoàn thành trễ"),IF(TODAY()&gt;O172,"Quá hạn",IF(R172&gt;0,"Đang thực hiện","Chưa bắt đầu"))))</x:f>
      </x:c>
      <x:c r="W172" s="37" t="str">
        <x:f>IF(G172="","",IFERROR(SUMIF('05_BAO_CAO_NGAY'!$K$6:$K$505,G172,'05_BAO_CAO_NGAY'!$AB$6:$AB$505)/SUMIF('05_BAO_CAO_NGAY'!$K$6:$K$505,G172,'05_BAO_CAO_NGAY'!$AC$6:$AC$505),0))</x:f>
      </x:c>
      <x:c r="X172" s="37" t="str">
        <x:f>IF(G172="","",IFERROR(SUMIFS('05_BAO_CAO_NGAY'!$W$6:$W$505,'05_BAO_CAO_NGAY'!$K$6:$K$505,G172,'05_BAO_CAO_NGAY'!$N$6:$N$505,"PRODUCTION")/SUMIFS('05_BAO_CAO_NGAY'!$U$6:$U$505,'05_BAO_CAO_NGAY'!$K$6:$K$505,G172,'05_BAO_CAO_NGAY'!$N$6:$N$505,"PRODUCTION"),0))</x:f>
      </x:c>
      <x:c r="Y172" s="29" t="str">
        <x:f>IF(G172="","",SUMIF('05_BAO_CAO_NGAY'!$K$6:$K$505,G172,'05_BAO_CAO_NGAY'!$S$6:$S$505))</x:f>
      </x:c>
      <x:c r="Z172" s="21"/>
    </x:row>
    <x:row r="173">
      <x:c r="A173" s="21"/>
      <x:c r="B173" s="21"/>
      <x:c r="C173" s="21"/>
      <x:c r="D173" s="21"/>
      <x:c r="E173" s="21"/>
      <x:c r="F173" s="29" t="str">
        <x:f>IF(OR(B173="",C173=""),"",B173&amp;"|"&amp;C173&amp;"|"&amp;IF(D173="","00",D173)&amp;"|"&amp;IF(E173="","01",E173))</x:f>
      </x:c>
      <x:c r="G173" s="29" t="str">
        <x:f>IF(F173="","",F173&amp;"|"&amp;TEXT(A173,"000"))</x:f>
      </x:c>
      <x:c r="H173" s="21"/>
      <x:c r="I173" s="21"/>
      <x:c r="J173" s="25"/>
      <x:c r="K173" s="25"/>
      <x:c r="L173" s="25"/>
      <x:c r="M173" s="39" t="str">
        <x:f>IF(G173="","",K173+L173*J173)</x:f>
      </x:c>
      <x:c r="N173" s="35"/>
      <x:c r="O173" s="35"/>
      <x:c r="P173" s="21"/>
      <x:c r="Q173" s="21"/>
      <x:c r="R173" s="29" t="str">
        <x:f>IF(G173="","",MIN(J173,SUMIF('05_BAO_CAO_NGAY'!$K$6:$K$505,G173,'05_BAO_CAO_NGAY'!$V$6:$V$505)))</x:f>
      </x:c>
      <x:c r="S173" s="37" t="str">
        <x:f>IF(G173="","",IFERROR(R173/J173,0))</x:f>
      </x:c>
      <x:c r="T173" s="41" t="str">
        <x:f>IF(OR(G173="",COUNTIF('05_BAO_CAO_NGAY'!$K$6:$K$505,G173)=0),"",_xlfn.MINIFS('05_BAO_CAO_NGAY'!$B$6:$B$505,'05_BAO_CAO_NGAY'!$K$6:$K$505,G173))</x:f>
      </x:c>
      <x:c r="U173" s="41" t="str">
        <x:f>IF(OR(G173="",S173&lt;1),"",_xlfn.MAXIFS('05_BAO_CAO_NGAY'!$B$6:$B$505,'05_BAO_CAO_NGAY'!$K$6:$K$505,G173))</x:f>
      </x:c>
      <x:c r="V173" s="29" t="str">
        <x:f>IF(G173="","",IF(S173&gt;=1,IF(U173&lt;=O173,"Hoàn thành đúng hạn","Hoàn thành trễ"),IF(TODAY()&gt;O173,"Quá hạn",IF(R173&gt;0,"Đang thực hiện","Chưa bắt đầu"))))</x:f>
      </x:c>
      <x:c r="W173" s="37" t="str">
        <x:f>IF(G173="","",IFERROR(SUMIF('05_BAO_CAO_NGAY'!$K$6:$K$505,G173,'05_BAO_CAO_NGAY'!$AB$6:$AB$505)/SUMIF('05_BAO_CAO_NGAY'!$K$6:$K$505,G173,'05_BAO_CAO_NGAY'!$AC$6:$AC$505),0))</x:f>
      </x:c>
      <x:c r="X173" s="37" t="str">
        <x:f>IF(G173="","",IFERROR(SUMIFS('05_BAO_CAO_NGAY'!$W$6:$W$505,'05_BAO_CAO_NGAY'!$K$6:$K$505,G173,'05_BAO_CAO_NGAY'!$N$6:$N$505,"PRODUCTION")/SUMIFS('05_BAO_CAO_NGAY'!$U$6:$U$505,'05_BAO_CAO_NGAY'!$K$6:$K$505,G173,'05_BAO_CAO_NGAY'!$N$6:$N$505,"PRODUCTION"),0))</x:f>
      </x:c>
      <x:c r="Y173" s="29" t="str">
        <x:f>IF(G173="","",SUMIF('05_BAO_CAO_NGAY'!$K$6:$K$505,G173,'05_BAO_CAO_NGAY'!$S$6:$S$505))</x:f>
      </x:c>
      <x:c r="Z173" s="21"/>
    </x:row>
    <x:row r="174">
      <x:c r="A174" s="21"/>
      <x:c r="B174" s="21"/>
      <x:c r="C174" s="21"/>
      <x:c r="D174" s="21"/>
      <x:c r="E174" s="21"/>
      <x:c r="F174" s="29" t="str">
        <x:f>IF(OR(B174="",C174=""),"",B174&amp;"|"&amp;C174&amp;"|"&amp;IF(D174="","00",D174)&amp;"|"&amp;IF(E174="","01",E174))</x:f>
      </x:c>
      <x:c r="G174" s="29" t="str">
        <x:f>IF(F174="","",F174&amp;"|"&amp;TEXT(A174,"000"))</x:f>
      </x:c>
      <x:c r="H174" s="21"/>
      <x:c r="I174" s="21"/>
      <x:c r="J174" s="25"/>
      <x:c r="K174" s="25"/>
      <x:c r="L174" s="25"/>
      <x:c r="M174" s="39" t="str">
        <x:f>IF(G174="","",K174+L174*J174)</x:f>
      </x:c>
      <x:c r="N174" s="35"/>
      <x:c r="O174" s="35"/>
      <x:c r="P174" s="21"/>
      <x:c r="Q174" s="21"/>
      <x:c r="R174" s="29" t="str">
        <x:f>IF(G174="","",MIN(J174,SUMIF('05_BAO_CAO_NGAY'!$K$6:$K$505,G174,'05_BAO_CAO_NGAY'!$V$6:$V$505)))</x:f>
      </x:c>
      <x:c r="S174" s="37" t="str">
        <x:f>IF(G174="","",IFERROR(R174/J174,0))</x:f>
      </x:c>
      <x:c r="T174" s="41" t="str">
        <x:f>IF(OR(G174="",COUNTIF('05_BAO_CAO_NGAY'!$K$6:$K$505,G174)=0),"",_xlfn.MINIFS('05_BAO_CAO_NGAY'!$B$6:$B$505,'05_BAO_CAO_NGAY'!$K$6:$K$505,G174))</x:f>
      </x:c>
      <x:c r="U174" s="41" t="str">
        <x:f>IF(OR(G174="",S174&lt;1),"",_xlfn.MAXIFS('05_BAO_CAO_NGAY'!$B$6:$B$505,'05_BAO_CAO_NGAY'!$K$6:$K$505,G174))</x:f>
      </x:c>
      <x:c r="V174" s="29" t="str">
        <x:f>IF(G174="","",IF(S174&gt;=1,IF(U174&lt;=O174,"Hoàn thành đúng hạn","Hoàn thành trễ"),IF(TODAY()&gt;O174,"Quá hạn",IF(R174&gt;0,"Đang thực hiện","Chưa bắt đầu"))))</x:f>
      </x:c>
      <x:c r="W174" s="37" t="str">
        <x:f>IF(G174="","",IFERROR(SUMIF('05_BAO_CAO_NGAY'!$K$6:$K$505,G174,'05_BAO_CAO_NGAY'!$AB$6:$AB$505)/SUMIF('05_BAO_CAO_NGAY'!$K$6:$K$505,G174,'05_BAO_CAO_NGAY'!$AC$6:$AC$505),0))</x:f>
      </x:c>
      <x:c r="X174" s="37" t="str">
        <x:f>IF(G174="","",IFERROR(SUMIFS('05_BAO_CAO_NGAY'!$W$6:$W$505,'05_BAO_CAO_NGAY'!$K$6:$K$505,G174,'05_BAO_CAO_NGAY'!$N$6:$N$505,"PRODUCTION")/SUMIFS('05_BAO_CAO_NGAY'!$U$6:$U$505,'05_BAO_CAO_NGAY'!$K$6:$K$505,G174,'05_BAO_CAO_NGAY'!$N$6:$N$505,"PRODUCTION"),0))</x:f>
      </x:c>
      <x:c r="Y174" s="29" t="str">
        <x:f>IF(G174="","",SUMIF('05_BAO_CAO_NGAY'!$K$6:$K$505,G174,'05_BAO_CAO_NGAY'!$S$6:$S$505))</x:f>
      </x:c>
      <x:c r="Z174" s="21"/>
    </x:row>
    <x:row r="175">
      <x:c r="A175" s="21"/>
      <x:c r="B175" s="21"/>
      <x:c r="C175" s="21"/>
      <x:c r="D175" s="21"/>
      <x:c r="E175" s="21"/>
      <x:c r="F175" s="29" t="str">
        <x:f>IF(OR(B175="",C175=""),"",B175&amp;"|"&amp;C175&amp;"|"&amp;IF(D175="","00",D175)&amp;"|"&amp;IF(E175="","01",E175))</x:f>
      </x:c>
      <x:c r="G175" s="29" t="str">
        <x:f>IF(F175="","",F175&amp;"|"&amp;TEXT(A175,"000"))</x:f>
      </x:c>
      <x:c r="H175" s="21"/>
      <x:c r="I175" s="21"/>
      <x:c r="J175" s="25"/>
      <x:c r="K175" s="25"/>
      <x:c r="L175" s="25"/>
      <x:c r="M175" s="39" t="str">
        <x:f>IF(G175="","",K175+L175*J175)</x:f>
      </x:c>
      <x:c r="N175" s="35"/>
      <x:c r="O175" s="35"/>
      <x:c r="P175" s="21"/>
      <x:c r="Q175" s="21"/>
      <x:c r="R175" s="29" t="str">
        <x:f>IF(G175="","",MIN(J175,SUMIF('05_BAO_CAO_NGAY'!$K$6:$K$505,G175,'05_BAO_CAO_NGAY'!$V$6:$V$505)))</x:f>
      </x:c>
      <x:c r="S175" s="37" t="str">
        <x:f>IF(G175="","",IFERROR(R175/J175,0))</x:f>
      </x:c>
      <x:c r="T175" s="41" t="str">
        <x:f>IF(OR(G175="",COUNTIF('05_BAO_CAO_NGAY'!$K$6:$K$505,G175)=0),"",_xlfn.MINIFS('05_BAO_CAO_NGAY'!$B$6:$B$505,'05_BAO_CAO_NGAY'!$K$6:$K$505,G175))</x:f>
      </x:c>
      <x:c r="U175" s="41" t="str">
        <x:f>IF(OR(G175="",S175&lt;1),"",_xlfn.MAXIFS('05_BAO_CAO_NGAY'!$B$6:$B$505,'05_BAO_CAO_NGAY'!$K$6:$K$505,G175))</x:f>
      </x:c>
      <x:c r="V175" s="29" t="str">
        <x:f>IF(G175="","",IF(S175&gt;=1,IF(U175&lt;=O175,"Hoàn thành đúng hạn","Hoàn thành trễ"),IF(TODAY()&gt;O175,"Quá hạn",IF(R175&gt;0,"Đang thực hiện","Chưa bắt đầu"))))</x:f>
      </x:c>
      <x:c r="W175" s="37" t="str">
        <x:f>IF(G175="","",IFERROR(SUMIF('05_BAO_CAO_NGAY'!$K$6:$K$505,G175,'05_BAO_CAO_NGAY'!$AB$6:$AB$505)/SUMIF('05_BAO_CAO_NGAY'!$K$6:$K$505,G175,'05_BAO_CAO_NGAY'!$AC$6:$AC$505),0))</x:f>
      </x:c>
      <x:c r="X175" s="37" t="str">
        <x:f>IF(G175="","",IFERROR(SUMIFS('05_BAO_CAO_NGAY'!$W$6:$W$505,'05_BAO_CAO_NGAY'!$K$6:$K$505,G175,'05_BAO_CAO_NGAY'!$N$6:$N$505,"PRODUCTION")/SUMIFS('05_BAO_CAO_NGAY'!$U$6:$U$505,'05_BAO_CAO_NGAY'!$K$6:$K$505,G175,'05_BAO_CAO_NGAY'!$N$6:$N$505,"PRODUCTION"),0))</x:f>
      </x:c>
      <x:c r="Y175" s="29" t="str">
        <x:f>IF(G175="","",SUMIF('05_BAO_CAO_NGAY'!$K$6:$K$505,G175,'05_BAO_CAO_NGAY'!$S$6:$S$505))</x:f>
      </x:c>
      <x:c r="Z175" s="21"/>
    </x:row>
    <x:row r="176">
      <x:c r="A176" s="21"/>
      <x:c r="B176" s="21"/>
      <x:c r="C176" s="21"/>
      <x:c r="D176" s="21"/>
      <x:c r="E176" s="21"/>
      <x:c r="F176" s="29" t="str">
        <x:f>IF(OR(B176="",C176=""),"",B176&amp;"|"&amp;C176&amp;"|"&amp;IF(D176="","00",D176)&amp;"|"&amp;IF(E176="","01",E176))</x:f>
      </x:c>
      <x:c r="G176" s="29" t="str">
        <x:f>IF(F176="","",F176&amp;"|"&amp;TEXT(A176,"000"))</x:f>
      </x:c>
      <x:c r="H176" s="21"/>
      <x:c r="I176" s="21"/>
      <x:c r="J176" s="25"/>
      <x:c r="K176" s="25"/>
      <x:c r="L176" s="25"/>
      <x:c r="M176" s="39" t="str">
        <x:f>IF(G176="","",K176+L176*J176)</x:f>
      </x:c>
      <x:c r="N176" s="35"/>
      <x:c r="O176" s="35"/>
      <x:c r="P176" s="21"/>
      <x:c r="Q176" s="21"/>
      <x:c r="R176" s="29" t="str">
        <x:f>IF(G176="","",MIN(J176,SUMIF('05_BAO_CAO_NGAY'!$K$6:$K$505,G176,'05_BAO_CAO_NGAY'!$V$6:$V$505)))</x:f>
      </x:c>
      <x:c r="S176" s="37" t="str">
        <x:f>IF(G176="","",IFERROR(R176/J176,0))</x:f>
      </x:c>
      <x:c r="T176" s="41" t="str">
        <x:f>IF(OR(G176="",COUNTIF('05_BAO_CAO_NGAY'!$K$6:$K$505,G176)=0),"",_xlfn.MINIFS('05_BAO_CAO_NGAY'!$B$6:$B$505,'05_BAO_CAO_NGAY'!$K$6:$K$505,G176))</x:f>
      </x:c>
      <x:c r="U176" s="41" t="str">
        <x:f>IF(OR(G176="",S176&lt;1),"",_xlfn.MAXIFS('05_BAO_CAO_NGAY'!$B$6:$B$505,'05_BAO_CAO_NGAY'!$K$6:$K$505,G176))</x:f>
      </x:c>
      <x:c r="V176" s="29" t="str">
        <x:f>IF(G176="","",IF(S176&gt;=1,IF(U176&lt;=O176,"Hoàn thành đúng hạn","Hoàn thành trễ"),IF(TODAY()&gt;O176,"Quá hạn",IF(R176&gt;0,"Đang thực hiện","Chưa bắt đầu"))))</x:f>
      </x:c>
      <x:c r="W176" s="37" t="str">
        <x:f>IF(G176="","",IFERROR(SUMIF('05_BAO_CAO_NGAY'!$K$6:$K$505,G176,'05_BAO_CAO_NGAY'!$AB$6:$AB$505)/SUMIF('05_BAO_CAO_NGAY'!$K$6:$K$505,G176,'05_BAO_CAO_NGAY'!$AC$6:$AC$505),0))</x:f>
      </x:c>
      <x:c r="X176" s="37" t="str">
        <x:f>IF(G176="","",IFERROR(SUMIFS('05_BAO_CAO_NGAY'!$W$6:$W$505,'05_BAO_CAO_NGAY'!$K$6:$K$505,G176,'05_BAO_CAO_NGAY'!$N$6:$N$505,"PRODUCTION")/SUMIFS('05_BAO_CAO_NGAY'!$U$6:$U$505,'05_BAO_CAO_NGAY'!$K$6:$K$505,G176,'05_BAO_CAO_NGAY'!$N$6:$N$505,"PRODUCTION"),0))</x:f>
      </x:c>
      <x:c r="Y176" s="29" t="str">
        <x:f>IF(G176="","",SUMIF('05_BAO_CAO_NGAY'!$K$6:$K$505,G176,'05_BAO_CAO_NGAY'!$S$6:$S$505))</x:f>
      </x:c>
      <x:c r="Z176" s="21"/>
    </x:row>
    <x:row r="177">
      <x:c r="A177" s="21"/>
      <x:c r="B177" s="21"/>
      <x:c r="C177" s="21"/>
      <x:c r="D177" s="21"/>
      <x:c r="E177" s="21"/>
      <x:c r="F177" s="29" t="str">
        <x:f>IF(OR(B177="",C177=""),"",B177&amp;"|"&amp;C177&amp;"|"&amp;IF(D177="","00",D177)&amp;"|"&amp;IF(E177="","01",E177))</x:f>
      </x:c>
      <x:c r="G177" s="29" t="str">
        <x:f>IF(F177="","",F177&amp;"|"&amp;TEXT(A177,"000"))</x:f>
      </x:c>
      <x:c r="H177" s="21"/>
      <x:c r="I177" s="21"/>
      <x:c r="J177" s="25"/>
      <x:c r="K177" s="25"/>
      <x:c r="L177" s="25"/>
      <x:c r="M177" s="39" t="str">
        <x:f>IF(G177="","",K177+L177*J177)</x:f>
      </x:c>
      <x:c r="N177" s="35"/>
      <x:c r="O177" s="35"/>
      <x:c r="P177" s="21"/>
      <x:c r="Q177" s="21"/>
      <x:c r="R177" s="29" t="str">
        <x:f>IF(G177="","",MIN(J177,SUMIF('05_BAO_CAO_NGAY'!$K$6:$K$505,G177,'05_BAO_CAO_NGAY'!$V$6:$V$505)))</x:f>
      </x:c>
      <x:c r="S177" s="37" t="str">
        <x:f>IF(G177="","",IFERROR(R177/J177,0))</x:f>
      </x:c>
      <x:c r="T177" s="41" t="str">
        <x:f>IF(OR(G177="",COUNTIF('05_BAO_CAO_NGAY'!$K$6:$K$505,G177)=0),"",_xlfn.MINIFS('05_BAO_CAO_NGAY'!$B$6:$B$505,'05_BAO_CAO_NGAY'!$K$6:$K$505,G177))</x:f>
      </x:c>
      <x:c r="U177" s="41" t="str">
        <x:f>IF(OR(G177="",S177&lt;1),"",_xlfn.MAXIFS('05_BAO_CAO_NGAY'!$B$6:$B$505,'05_BAO_CAO_NGAY'!$K$6:$K$505,G177))</x:f>
      </x:c>
      <x:c r="V177" s="29" t="str">
        <x:f>IF(G177="","",IF(S177&gt;=1,IF(U177&lt;=O177,"Hoàn thành đúng hạn","Hoàn thành trễ"),IF(TODAY()&gt;O177,"Quá hạn",IF(R177&gt;0,"Đang thực hiện","Chưa bắt đầu"))))</x:f>
      </x:c>
      <x:c r="W177" s="37" t="str">
        <x:f>IF(G177="","",IFERROR(SUMIF('05_BAO_CAO_NGAY'!$K$6:$K$505,G177,'05_BAO_CAO_NGAY'!$AB$6:$AB$505)/SUMIF('05_BAO_CAO_NGAY'!$K$6:$K$505,G177,'05_BAO_CAO_NGAY'!$AC$6:$AC$505),0))</x:f>
      </x:c>
      <x:c r="X177" s="37" t="str">
        <x:f>IF(G177="","",IFERROR(SUMIFS('05_BAO_CAO_NGAY'!$W$6:$W$505,'05_BAO_CAO_NGAY'!$K$6:$K$505,G177,'05_BAO_CAO_NGAY'!$N$6:$N$505,"PRODUCTION")/SUMIFS('05_BAO_CAO_NGAY'!$U$6:$U$505,'05_BAO_CAO_NGAY'!$K$6:$K$505,G177,'05_BAO_CAO_NGAY'!$N$6:$N$505,"PRODUCTION"),0))</x:f>
      </x:c>
      <x:c r="Y177" s="29" t="str">
        <x:f>IF(G177="","",SUMIF('05_BAO_CAO_NGAY'!$K$6:$K$505,G177,'05_BAO_CAO_NGAY'!$S$6:$S$505))</x:f>
      </x:c>
      <x:c r="Z177" s="21"/>
    </x:row>
    <x:row r="178">
      <x:c r="A178" s="21"/>
      <x:c r="B178" s="21"/>
      <x:c r="C178" s="21"/>
      <x:c r="D178" s="21"/>
      <x:c r="E178" s="21"/>
      <x:c r="F178" s="29" t="str">
        <x:f>IF(OR(B178="",C178=""),"",B178&amp;"|"&amp;C178&amp;"|"&amp;IF(D178="","00",D178)&amp;"|"&amp;IF(E178="","01",E178))</x:f>
      </x:c>
      <x:c r="G178" s="29" t="str">
        <x:f>IF(F178="","",F178&amp;"|"&amp;TEXT(A178,"000"))</x:f>
      </x:c>
      <x:c r="H178" s="21"/>
      <x:c r="I178" s="21"/>
      <x:c r="J178" s="25"/>
      <x:c r="K178" s="25"/>
      <x:c r="L178" s="25"/>
      <x:c r="M178" s="39" t="str">
        <x:f>IF(G178="","",K178+L178*J178)</x:f>
      </x:c>
      <x:c r="N178" s="35"/>
      <x:c r="O178" s="35"/>
      <x:c r="P178" s="21"/>
      <x:c r="Q178" s="21"/>
      <x:c r="R178" s="29" t="str">
        <x:f>IF(G178="","",MIN(J178,SUMIF('05_BAO_CAO_NGAY'!$K$6:$K$505,G178,'05_BAO_CAO_NGAY'!$V$6:$V$505)))</x:f>
      </x:c>
      <x:c r="S178" s="37" t="str">
        <x:f>IF(G178="","",IFERROR(R178/J178,0))</x:f>
      </x:c>
      <x:c r="T178" s="41" t="str">
        <x:f>IF(OR(G178="",COUNTIF('05_BAO_CAO_NGAY'!$K$6:$K$505,G178)=0),"",_xlfn.MINIFS('05_BAO_CAO_NGAY'!$B$6:$B$505,'05_BAO_CAO_NGAY'!$K$6:$K$505,G178))</x:f>
      </x:c>
      <x:c r="U178" s="41" t="str">
        <x:f>IF(OR(G178="",S178&lt;1),"",_xlfn.MAXIFS('05_BAO_CAO_NGAY'!$B$6:$B$505,'05_BAO_CAO_NGAY'!$K$6:$K$505,G178))</x:f>
      </x:c>
      <x:c r="V178" s="29" t="str">
        <x:f>IF(G178="","",IF(S178&gt;=1,IF(U178&lt;=O178,"Hoàn thành đúng hạn","Hoàn thành trễ"),IF(TODAY()&gt;O178,"Quá hạn",IF(R178&gt;0,"Đang thực hiện","Chưa bắt đầu"))))</x:f>
      </x:c>
      <x:c r="W178" s="37" t="str">
        <x:f>IF(G178="","",IFERROR(SUMIF('05_BAO_CAO_NGAY'!$K$6:$K$505,G178,'05_BAO_CAO_NGAY'!$AB$6:$AB$505)/SUMIF('05_BAO_CAO_NGAY'!$K$6:$K$505,G178,'05_BAO_CAO_NGAY'!$AC$6:$AC$505),0))</x:f>
      </x:c>
      <x:c r="X178" s="37" t="str">
        <x:f>IF(G178="","",IFERROR(SUMIFS('05_BAO_CAO_NGAY'!$W$6:$W$505,'05_BAO_CAO_NGAY'!$K$6:$K$505,G178,'05_BAO_CAO_NGAY'!$N$6:$N$505,"PRODUCTION")/SUMIFS('05_BAO_CAO_NGAY'!$U$6:$U$505,'05_BAO_CAO_NGAY'!$K$6:$K$505,G178,'05_BAO_CAO_NGAY'!$N$6:$N$505,"PRODUCTION"),0))</x:f>
      </x:c>
      <x:c r="Y178" s="29" t="str">
        <x:f>IF(G178="","",SUMIF('05_BAO_CAO_NGAY'!$K$6:$K$505,G178,'05_BAO_CAO_NGAY'!$S$6:$S$505))</x:f>
      </x:c>
      <x:c r="Z178" s="21"/>
    </x:row>
    <x:row r="179">
      <x:c r="A179" s="21"/>
      <x:c r="B179" s="21"/>
      <x:c r="C179" s="21"/>
      <x:c r="D179" s="21"/>
      <x:c r="E179" s="21"/>
      <x:c r="F179" s="29" t="str">
        <x:f>IF(OR(B179="",C179=""),"",B179&amp;"|"&amp;C179&amp;"|"&amp;IF(D179="","00",D179)&amp;"|"&amp;IF(E179="","01",E179))</x:f>
      </x:c>
      <x:c r="G179" s="29" t="str">
        <x:f>IF(F179="","",F179&amp;"|"&amp;TEXT(A179,"000"))</x:f>
      </x:c>
      <x:c r="H179" s="21"/>
      <x:c r="I179" s="21"/>
      <x:c r="J179" s="25"/>
      <x:c r="K179" s="25"/>
      <x:c r="L179" s="25"/>
      <x:c r="M179" s="39" t="str">
        <x:f>IF(G179="","",K179+L179*J179)</x:f>
      </x:c>
      <x:c r="N179" s="35"/>
      <x:c r="O179" s="35"/>
      <x:c r="P179" s="21"/>
      <x:c r="Q179" s="21"/>
      <x:c r="R179" s="29" t="str">
        <x:f>IF(G179="","",MIN(J179,SUMIF('05_BAO_CAO_NGAY'!$K$6:$K$505,G179,'05_BAO_CAO_NGAY'!$V$6:$V$505)))</x:f>
      </x:c>
      <x:c r="S179" s="37" t="str">
        <x:f>IF(G179="","",IFERROR(R179/J179,0))</x:f>
      </x:c>
      <x:c r="T179" s="41" t="str">
        <x:f>IF(OR(G179="",COUNTIF('05_BAO_CAO_NGAY'!$K$6:$K$505,G179)=0),"",_xlfn.MINIFS('05_BAO_CAO_NGAY'!$B$6:$B$505,'05_BAO_CAO_NGAY'!$K$6:$K$505,G179))</x:f>
      </x:c>
      <x:c r="U179" s="41" t="str">
        <x:f>IF(OR(G179="",S179&lt;1),"",_xlfn.MAXIFS('05_BAO_CAO_NGAY'!$B$6:$B$505,'05_BAO_CAO_NGAY'!$K$6:$K$505,G179))</x:f>
      </x:c>
      <x:c r="V179" s="29" t="str">
        <x:f>IF(G179="","",IF(S179&gt;=1,IF(U179&lt;=O179,"Hoàn thành đúng hạn","Hoàn thành trễ"),IF(TODAY()&gt;O179,"Quá hạn",IF(R179&gt;0,"Đang thực hiện","Chưa bắt đầu"))))</x:f>
      </x:c>
      <x:c r="W179" s="37" t="str">
        <x:f>IF(G179="","",IFERROR(SUMIF('05_BAO_CAO_NGAY'!$K$6:$K$505,G179,'05_BAO_CAO_NGAY'!$AB$6:$AB$505)/SUMIF('05_BAO_CAO_NGAY'!$K$6:$K$505,G179,'05_BAO_CAO_NGAY'!$AC$6:$AC$505),0))</x:f>
      </x:c>
      <x:c r="X179" s="37" t="str">
        <x:f>IF(G179="","",IFERROR(SUMIFS('05_BAO_CAO_NGAY'!$W$6:$W$505,'05_BAO_CAO_NGAY'!$K$6:$K$505,G179,'05_BAO_CAO_NGAY'!$N$6:$N$505,"PRODUCTION")/SUMIFS('05_BAO_CAO_NGAY'!$U$6:$U$505,'05_BAO_CAO_NGAY'!$K$6:$K$505,G179,'05_BAO_CAO_NGAY'!$N$6:$N$505,"PRODUCTION"),0))</x:f>
      </x:c>
      <x:c r="Y179" s="29" t="str">
        <x:f>IF(G179="","",SUMIF('05_BAO_CAO_NGAY'!$K$6:$K$505,G179,'05_BAO_CAO_NGAY'!$S$6:$S$505))</x:f>
      </x:c>
      <x:c r="Z179" s="21"/>
    </x:row>
    <x:row r="180">
      <x:c r="A180" s="21"/>
      <x:c r="B180" s="21"/>
      <x:c r="C180" s="21"/>
      <x:c r="D180" s="21"/>
      <x:c r="E180" s="21"/>
      <x:c r="F180" s="29" t="str">
        <x:f>IF(OR(B180="",C180=""),"",B180&amp;"|"&amp;C180&amp;"|"&amp;IF(D180="","00",D180)&amp;"|"&amp;IF(E180="","01",E180))</x:f>
      </x:c>
      <x:c r="G180" s="29" t="str">
        <x:f>IF(F180="","",F180&amp;"|"&amp;TEXT(A180,"000"))</x:f>
      </x:c>
      <x:c r="H180" s="21"/>
      <x:c r="I180" s="21"/>
      <x:c r="J180" s="25"/>
      <x:c r="K180" s="25"/>
      <x:c r="L180" s="25"/>
      <x:c r="M180" s="39" t="str">
        <x:f>IF(G180="","",K180+L180*J180)</x:f>
      </x:c>
      <x:c r="N180" s="35"/>
      <x:c r="O180" s="35"/>
      <x:c r="P180" s="21"/>
      <x:c r="Q180" s="21"/>
      <x:c r="R180" s="29" t="str">
        <x:f>IF(G180="","",MIN(J180,SUMIF('05_BAO_CAO_NGAY'!$K$6:$K$505,G180,'05_BAO_CAO_NGAY'!$V$6:$V$505)))</x:f>
      </x:c>
      <x:c r="S180" s="37" t="str">
        <x:f>IF(G180="","",IFERROR(R180/J180,0))</x:f>
      </x:c>
      <x:c r="T180" s="41" t="str">
        <x:f>IF(OR(G180="",COUNTIF('05_BAO_CAO_NGAY'!$K$6:$K$505,G180)=0),"",_xlfn.MINIFS('05_BAO_CAO_NGAY'!$B$6:$B$505,'05_BAO_CAO_NGAY'!$K$6:$K$505,G180))</x:f>
      </x:c>
      <x:c r="U180" s="41" t="str">
        <x:f>IF(OR(G180="",S180&lt;1),"",_xlfn.MAXIFS('05_BAO_CAO_NGAY'!$B$6:$B$505,'05_BAO_CAO_NGAY'!$K$6:$K$505,G180))</x:f>
      </x:c>
      <x:c r="V180" s="29" t="str">
        <x:f>IF(G180="","",IF(S180&gt;=1,IF(U180&lt;=O180,"Hoàn thành đúng hạn","Hoàn thành trễ"),IF(TODAY()&gt;O180,"Quá hạn",IF(R180&gt;0,"Đang thực hiện","Chưa bắt đầu"))))</x:f>
      </x:c>
      <x:c r="W180" s="37" t="str">
        <x:f>IF(G180="","",IFERROR(SUMIF('05_BAO_CAO_NGAY'!$K$6:$K$505,G180,'05_BAO_CAO_NGAY'!$AB$6:$AB$505)/SUMIF('05_BAO_CAO_NGAY'!$K$6:$K$505,G180,'05_BAO_CAO_NGAY'!$AC$6:$AC$505),0))</x:f>
      </x:c>
      <x:c r="X180" s="37" t="str">
        <x:f>IF(G180="","",IFERROR(SUMIFS('05_BAO_CAO_NGAY'!$W$6:$W$505,'05_BAO_CAO_NGAY'!$K$6:$K$505,G180,'05_BAO_CAO_NGAY'!$N$6:$N$505,"PRODUCTION")/SUMIFS('05_BAO_CAO_NGAY'!$U$6:$U$505,'05_BAO_CAO_NGAY'!$K$6:$K$505,G180,'05_BAO_CAO_NGAY'!$N$6:$N$505,"PRODUCTION"),0))</x:f>
      </x:c>
      <x:c r="Y180" s="29" t="str">
        <x:f>IF(G180="","",SUMIF('05_BAO_CAO_NGAY'!$K$6:$K$505,G180,'05_BAO_CAO_NGAY'!$S$6:$S$505))</x:f>
      </x:c>
      <x:c r="Z180" s="21"/>
    </x:row>
    <x:row r="181">
      <x:c r="A181" s="21"/>
      <x:c r="B181" s="21"/>
      <x:c r="C181" s="21"/>
      <x:c r="D181" s="21"/>
      <x:c r="E181" s="21"/>
      <x:c r="F181" s="29" t="str">
        <x:f>IF(OR(B181="",C181=""),"",B181&amp;"|"&amp;C181&amp;"|"&amp;IF(D181="","00",D181)&amp;"|"&amp;IF(E181="","01",E181))</x:f>
      </x:c>
      <x:c r="G181" s="29" t="str">
        <x:f>IF(F181="","",F181&amp;"|"&amp;TEXT(A181,"000"))</x:f>
      </x:c>
      <x:c r="H181" s="21"/>
      <x:c r="I181" s="21"/>
      <x:c r="J181" s="25"/>
      <x:c r="K181" s="25"/>
      <x:c r="L181" s="25"/>
      <x:c r="M181" s="39" t="str">
        <x:f>IF(G181="","",K181+L181*J181)</x:f>
      </x:c>
      <x:c r="N181" s="35"/>
      <x:c r="O181" s="35"/>
      <x:c r="P181" s="21"/>
      <x:c r="Q181" s="21"/>
      <x:c r="R181" s="29" t="str">
        <x:f>IF(G181="","",MIN(J181,SUMIF('05_BAO_CAO_NGAY'!$K$6:$K$505,G181,'05_BAO_CAO_NGAY'!$V$6:$V$505)))</x:f>
      </x:c>
      <x:c r="S181" s="37" t="str">
        <x:f>IF(G181="","",IFERROR(R181/J181,0))</x:f>
      </x:c>
      <x:c r="T181" s="41" t="str">
        <x:f>IF(OR(G181="",COUNTIF('05_BAO_CAO_NGAY'!$K$6:$K$505,G181)=0),"",_xlfn.MINIFS('05_BAO_CAO_NGAY'!$B$6:$B$505,'05_BAO_CAO_NGAY'!$K$6:$K$505,G181))</x:f>
      </x:c>
      <x:c r="U181" s="41" t="str">
        <x:f>IF(OR(G181="",S181&lt;1),"",_xlfn.MAXIFS('05_BAO_CAO_NGAY'!$B$6:$B$505,'05_BAO_CAO_NGAY'!$K$6:$K$505,G181))</x:f>
      </x:c>
      <x:c r="V181" s="29" t="str">
        <x:f>IF(G181="","",IF(S181&gt;=1,IF(U181&lt;=O181,"Hoàn thành đúng hạn","Hoàn thành trễ"),IF(TODAY()&gt;O181,"Quá hạn",IF(R181&gt;0,"Đang thực hiện","Chưa bắt đầu"))))</x:f>
      </x:c>
      <x:c r="W181" s="37" t="str">
        <x:f>IF(G181="","",IFERROR(SUMIF('05_BAO_CAO_NGAY'!$K$6:$K$505,G181,'05_BAO_CAO_NGAY'!$AB$6:$AB$505)/SUMIF('05_BAO_CAO_NGAY'!$K$6:$K$505,G181,'05_BAO_CAO_NGAY'!$AC$6:$AC$505),0))</x:f>
      </x:c>
      <x:c r="X181" s="37" t="str">
        <x:f>IF(G181="","",IFERROR(SUMIFS('05_BAO_CAO_NGAY'!$W$6:$W$505,'05_BAO_CAO_NGAY'!$K$6:$K$505,G181,'05_BAO_CAO_NGAY'!$N$6:$N$505,"PRODUCTION")/SUMIFS('05_BAO_CAO_NGAY'!$U$6:$U$505,'05_BAO_CAO_NGAY'!$K$6:$K$505,G181,'05_BAO_CAO_NGAY'!$N$6:$N$505,"PRODUCTION"),0))</x:f>
      </x:c>
      <x:c r="Y181" s="29" t="str">
        <x:f>IF(G181="","",SUMIF('05_BAO_CAO_NGAY'!$K$6:$K$505,G181,'05_BAO_CAO_NGAY'!$S$6:$S$505))</x:f>
      </x:c>
      <x:c r="Z181" s="21"/>
    </x:row>
    <x:row r="182">
      <x:c r="A182" s="21"/>
      <x:c r="B182" s="21"/>
      <x:c r="C182" s="21"/>
      <x:c r="D182" s="21"/>
      <x:c r="E182" s="21"/>
      <x:c r="F182" s="29" t="str">
        <x:f>IF(OR(B182="",C182=""),"",B182&amp;"|"&amp;C182&amp;"|"&amp;IF(D182="","00",D182)&amp;"|"&amp;IF(E182="","01",E182))</x:f>
      </x:c>
      <x:c r="G182" s="29" t="str">
        <x:f>IF(F182="","",F182&amp;"|"&amp;TEXT(A182,"000"))</x:f>
      </x:c>
      <x:c r="H182" s="21"/>
      <x:c r="I182" s="21"/>
      <x:c r="J182" s="25"/>
      <x:c r="K182" s="25"/>
      <x:c r="L182" s="25"/>
      <x:c r="M182" s="39" t="str">
        <x:f>IF(G182="","",K182+L182*J182)</x:f>
      </x:c>
      <x:c r="N182" s="35"/>
      <x:c r="O182" s="35"/>
      <x:c r="P182" s="21"/>
      <x:c r="Q182" s="21"/>
      <x:c r="R182" s="29" t="str">
        <x:f>IF(G182="","",MIN(J182,SUMIF('05_BAO_CAO_NGAY'!$K$6:$K$505,G182,'05_BAO_CAO_NGAY'!$V$6:$V$505)))</x:f>
      </x:c>
      <x:c r="S182" s="37" t="str">
        <x:f>IF(G182="","",IFERROR(R182/J182,0))</x:f>
      </x:c>
      <x:c r="T182" s="41" t="str">
        <x:f>IF(OR(G182="",COUNTIF('05_BAO_CAO_NGAY'!$K$6:$K$505,G182)=0),"",_xlfn.MINIFS('05_BAO_CAO_NGAY'!$B$6:$B$505,'05_BAO_CAO_NGAY'!$K$6:$K$505,G182))</x:f>
      </x:c>
      <x:c r="U182" s="41" t="str">
        <x:f>IF(OR(G182="",S182&lt;1),"",_xlfn.MAXIFS('05_BAO_CAO_NGAY'!$B$6:$B$505,'05_BAO_CAO_NGAY'!$K$6:$K$505,G182))</x:f>
      </x:c>
      <x:c r="V182" s="29" t="str">
        <x:f>IF(G182="","",IF(S182&gt;=1,IF(U182&lt;=O182,"Hoàn thành đúng hạn","Hoàn thành trễ"),IF(TODAY()&gt;O182,"Quá hạn",IF(R182&gt;0,"Đang thực hiện","Chưa bắt đầu"))))</x:f>
      </x:c>
      <x:c r="W182" s="37" t="str">
        <x:f>IF(G182="","",IFERROR(SUMIF('05_BAO_CAO_NGAY'!$K$6:$K$505,G182,'05_BAO_CAO_NGAY'!$AB$6:$AB$505)/SUMIF('05_BAO_CAO_NGAY'!$K$6:$K$505,G182,'05_BAO_CAO_NGAY'!$AC$6:$AC$505),0))</x:f>
      </x:c>
      <x:c r="X182" s="37" t="str">
        <x:f>IF(G182="","",IFERROR(SUMIFS('05_BAO_CAO_NGAY'!$W$6:$W$505,'05_BAO_CAO_NGAY'!$K$6:$K$505,G182,'05_BAO_CAO_NGAY'!$N$6:$N$505,"PRODUCTION")/SUMIFS('05_BAO_CAO_NGAY'!$U$6:$U$505,'05_BAO_CAO_NGAY'!$K$6:$K$505,G182,'05_BAO_CAO_NGAY'!$N$6:$N$505,"PRODUCTION"),0))</x:f>
      </x:c>
      <x:c r="Y182" s="29" t="str">
        <x:f>IF(G182="","",SUMIF('05_BAO_CAO_NGAY'!$K$6:$K$505,G182,'05_BAO_CAO_NGAY'!$S$6:$S$505))</x:f>
      </x:c>
      <x:c r="Z182" s="21"/>
    </x:row>
    <x:row r="183">
      <x:c r="A183" s="21"/>
      <x:c r="B183" s="21"/>
      <x:c r="C183" s="21"/>
      <x:c r="D183" s="21"/>
      <x:c r="E183" s="21"/>
      <x:c r="F183" s="29" t="str">
        <x:f>IF(OR(B183="",C183=""),"",B183&amp;"|"&amp;C183&amp;"|"&amp;IF(D183="","00",D183)&amp;"|"&amp;IF(E183="","01",E183))</x:f>
      </x:c>
      <x:c r="G183" s="29" t="str">
        <x:f>IF(F183="","",F183&amp;"|"&amp;TEXT(A183,"000"))</x:f>
      </x:c>
      <x:c r="H183" s="21"/>
      <x:c r="I183" s="21"/>
      <x:c r="J183" s="25"/>
      <x:c r="K183" s="25"/>
      <x:c r="L183" s="25"/>
      <x:c r="M183" s="39" t="str">
        <x:f>IF(G183="","",K183+L183*J183)</x:f>
      </x:c>
      <x:c r="N183" s="35"/>
      <x:c r="O183" s="35"/>
      <x:c r="P183" s="21"/>
      <x:c r="Q183" s="21"/>
      <x:c r="R183" s="29" t="str">
        <x:f>IF(G183="","",MIN(J183,SUMIF('05_BAO_CAO_NGAY'!$K$6:$K$505,G183,'05_BAO_CAO_NGAY'!$V$6:$V$505)))</x:f>
      </x:c>
      <x:c r="S183" s="37" t="str">
        <x:f>IF(G183="","",IFERROR(R183/J183,0))</x:f>
      </x:c>
      <x:c r="T183" s="41" t="str">
        <x:f>IF(OR(G183="",COUNTIF('05_BAO_CAO_NGAY'!$K$6:$K$505,G183)=0),"",_xlfn.MINIFS('05_BAO_CAO_NGAY'!$B$6:$B$505,'05_BAO_CAO_NGAY'!$K$6:$K$505,G183))</x:f>
      </x:c>
      <x:c r="U183" s="41" t="str">
        <x:f>IF(OR(G183="",S183&lt;1),"",_xlfn.MAXIFS('05_BAO_CAO_NGAY'!$B$6:$B$505,'05_BAO_CAO_NGAY'!$K$6:$K$505,G183))</x:f>
      </x:c>
      <x:c r="V183" s="29" t="str">
        <x:f>IF(G183="","",IF(S183&gt;=1,IF(U183&lt;=O183,"Hoàn thành đúng hạn","Hoàn thành trễ"),IF(TODAY()&gt;O183,"Quá hạn",IF(R183&gt;0,"Đang thực hiện","Chưa bắt đầu"))))</x:f>
      </x:c>
      <x:c r="W183" s="37" t="str">
        <x:f>IF(G183="","",IFERROR(SUMIF('05_BAO_CAO_NGAY'!$K$6:$K$505,G183,'05_BAO_CAO_NGAY'!$AB$6:$AB$505)/SUMIF('05_BAO_CAO_NGAY'!$K$6:$K$505,G183,'05_BAO_CAO_NGAY'!$AC$6:$AC$505),0))</x:f>
      </x:c>
      <x:c r="X183" s="37" t="str">
        <x:f>IF(G183="","",IFERROR(SUMIFS('05_BAO_CAO_NGAY'!$W$6:$W$505,'05_BAO_CAO_NGAY'!$K$6:$K$505,G183,'05_BAO_CAO_NGAY'!$N$6:$N$505,"PRODUCTION")/SUMIFS('05_BAO_CAO_NGAY'!$U$6:$U$505,'05_BAO_CAO_NGAY'!$K$6:$K$505,G183,'05_BAO_CAO_NGAY'!$N$6:$N$505,"PRODUCTION"),0))</x:f>
      </x:c>
      <x:c r="Y183" s="29" t="str">
        <x:f>IF(G183="","",SUMIF('05_BAO_CAO_NGAY'!$K$6:$K$505,G183,'05_BAO_CAO_NGAY'!$S$6:$S$505))</x:f>
      </x:c>
      <x:c r="Z183" s="21"/>
    </x:row>
    <x:row r="184">
      <x:c r="A184" s="21"/>
      <x:c r="B184" s="21"/>
      <x:c r="C184" s="21"/>
      <x:c r="D184" s="21"/>
      <x:c r="E184" s="21"/>
      <x:c r="F184" s="29" t="str">
        <x:f>IF(OR(B184="",C184=""),"",B184&amp;"|"&amp;C184&amp;"|"&amp;IF(D184="","00",D184)&amp;"|"&amp;IF(E184="","01",E184))</x:f>
      </x:c>
      <x:c r="G184" s="29" t="str">
        <x:f>IF(F184="","",F184&amp;"|"&amp;TEXT(A184,"000"))</x:f>
      </x:c>
      <x:c r="H184" s="21"/>
      <x:c r="I184" s="21"/>
      <x:c r="J184" s="25"/>
      <x:c r="K184" s="25"/>
      <x:c r="L184" s="25"/>
      <x:c r="M184" s="39" t="str">
        <x:f>IF(G184="","",K184+L184*J184)</x:f>
      </x:c>
      <x:c r="N184" s="35"/>
      <x:c r="O184" s="35"/>
      <x:c r="P184" s="21"/>
      <x:c r="Q184" s="21"/>
      <x:c r="R184" s="29" t="str">
        <x:f>IF(G184="","",MIN(J184,SUMIF('05_BAO_CAO_NGAY'!$K$6:$K$505,G184,'05_BAO_CAO_NGAY'!$V$6:$V$505)))</x:f>
      </x:c>
      <x:c r="S184" s="37" t="str">
        <x:f>IF(G184="","",IFERROR(R184/J184,0))</x:f>
      </x:c>
      <x:c r="T184" s="41" t="str">
        <x:f>IF(OR(G184="",COUNTIF('05_BAO_CAO_NGAY'!$K$6:$K$505,G184)=0),"",_xlfn.MINIFS('05_BAO_CAO_NGAY'!$B$6:$B$505,'05_BAO_CAO_NGAY'!$K$6:$K$505,G184))</x:f>
      </x:c>
      <x:c r="U184" s="41" t="str">
        <x:f>IF(OR(G184="",S184&lt;1),"",_xlfn.MAXIFS('05_BAO_CAO_NGAY'!$B$6:$B$505,'05_BAO_CAO_NGAY'!$K$6:$K$505,G184))</x:f>
      </x:c>
      <x:c r="V184" s="29" t="str">
        <x:f>IF(G184="","",IF(S184&gt;=1,IF(U184&lt;=O184,"Hoàn thành đúng hạn","Hoàn thành trễ"),IF(TODAY()&gt;O184,"Quá hạn",IF(R184&gt;0,"Đang thực hiện","Chưa bắt đầu"))))</x:f>
      </x:c>
      <x:c r="W184" s="37" t="str">
        <x:f>IF(G184="","",IFERROR(SUMIF('05_BAO_CAO_NGAY'!$K$6:$K$505,G184,'05_BAO_CAO_NGAY'!$AB$6:$AB$505)/SUMIF('05_BAO_CAO_NGAY'!$K$6:$K$505,G184,'05_BAO_CAO_NGAY'!$AC$6:$AC$505),0))</x:f>
      </x:c>
      <x:c r="X184" s="37" t="str">
        <x:f>IF(G184="","",IFERROR(SUMIFS('05_BAO_CAO_NGAY'!$W$6:$W$505,'05_BAO_CAO_NGAY'!$K$6:$K$505,G184,'05_BAO_CAO_NGAY'!$N$6:$N$505,"PRODUCTION")/SUMIFS('05_BAO_CAO_NGAY'!$U$6:$U$505,'05_BAO_CAO_NGAY'!$K$6:$K$505,G184,'05_BAO_CAO_NGAY'!$N$6:$N$505,"PRODUCTION"),0))</x:f>
      </x:c>
      <x:c r="Y184" s="29" t="str">
        <x:f>IF(G184="","",SUMIF('05_BAO_CAO_NGAY'!$K$6:$K$505,G184,'05_BAO_CAO_NGAY'!$S$6:$S$505))</x:f>
      </x:c>
      <x:c r="Z184" s="21"/>
    </x:row>
    <x:row r="185">
      <x:c r="A185" s="21"/>
      <x:c r="B185" s="21"/>
      <x:c r="C185" s="21"/>
      <x:c r="D185" s="21"/>
      <x:c r="E185" s="21"/>
      <x:c r="F185" s="29" t="str">
        <x:f>IF(OR(B185="",C185=""),"",B185&amp;"|"&amp;C185&amp;"|"&amp;IF(D185="","00",D185)&amp;"|"&amp;IF(E185="","01",E185))</x:f>
      </x:c>
      <x:c r="G185" s="29" t="str">
        <x:f>IF(F185="","",F185&amp;"|"&amp;TEXT(A185,"000"))</x:f>
      </x:c>
      <x:c r="H185" s="21"/>
      <x:c r="I185" s="21"/>
      <x:c r="J185" s="25"/>
      <x:c r="K185" s="25"/>
      <x:c r="L185" s="25"/>
      <x:c r="M185" s="39" t="str">
        <x:f>IF(G185="","",K185+L185*J185)</x:f>
      </x:c>
      <x:c r="N185" s="35"/>
      <x:c r="O185" s="35"/>
      <x:c r="P185" s="21"/>
      <x:c r="Q185" s="21"/>
      <x:c r="R185" s="29" t="str">
        <x:f>IF(G185="","",MIN(J185,SUMIF('05_BAO_CAO_NGAY'!$K$6:$K$505,G185,'05_BAO_CAO_NGAY'!$V$6:$V$505)))</x:f>
      </x:c>
      <x:c r="S185" s="37" t="str">
        <x:f>IF(G185="","",IFERROR(R185/J185,0))</x:f>
      </x:c>
      <x:c r="T185" s="41" t="str">
        <x:f>IF(OR(G185="",COUNTIF('05_BAO_CAO_NGAY'!$K$6:$K$505,G185)=0),"",_xlfn.MINIFS('05_BAO_CAO_NGAY'!$B$6:$B$505,'05_BAO_CAO_NGAY'!$K$6:$K$505,G185))</x:f>
      </x:c>
      <x:c r="U185" s="41" t="str">
        <x:f>IF(OR(G185="",S185&lt;1),"",_xlfn.MAXIFS('05_BAO_CAO_NGAY'!$B$6:$B$505,'05_BAO_CAO_NGAY'!$K$6:$K$505,G185))</x:f>
      </x:c>
      <x:c r="V185" s="29" t="str">
        <x:f>IF(G185="","",IF(S185&gt;=1,IF(U185&lt;=O185,"Hoàn thành đúng hạn","Hoàn thành trễ"),IF(TODAY()&gt;O185,"Quá hạn",IF(R185&gt;0,"Đang thực hiện","Chưa bắt đầu"))))</x:f>
      </x:c>
      <x:c r="W185" s="37" t="str">
        <x:f>IF(G185="","",IFERROR(SUMIF('05_BAO_CAO_NGAY'!$K$6:$K$505,G185,'05_BAO_CAO_NGAY'!$AB$6:$AB$505)/SUMIF('05_BAO_CAO_NGAY'!$K$6:$K$505,G185,'05_BAO_CAO_NGAY'!$AC$6:$AC$505),0))</x:f>
      </x:c>
      <x:c r="X185" s="37" t="str">
        <x:f>IF(G185="","",IFERROR(SUMIFS('05_BAO_CAO_NGAY'!$W$6:$W$505,'05_BAO_CAO_NGAY'!$K$6:$K$505,G185,'05_BAO_CAO_NGAY'!$N$6:$N$505,"PRODUCTION")/SUMIFS('05_BAO_CAO_NGAY'!$U$6:$U$505,'05_BAO_CAO_NGAY'!$K$6:$K$505,G185,'05_BAO_CAO_NGAY'!$N$6:$N$505,"PRODUCTION"),0))</x:f>
      </x:c>
      <x:c r="Y185" s="29" t="str">
        <x:f>IF(G185="","",SUMIF('05_BAO_CAO_NGAY'!$K$6:$K$505,G185,'05_BAO_CAO_NGAY'!$S$6:$S$505))</x:f>
      </x:c>
      <x:c r="Z185" s="21"/>
    </x:row>
    <x:row r="186">
      <x:c r="A186" s="21"/>
      <x:c r="B186" s="21"/>
      <x:c r="C186" s="21"/>
      <x:c r="D186" s="21"/>
      <x:c r="E186" s="21"/>
      <x:c r="F186" s="29" t="str">
        <x:f>IF(OR(B186="",C186=""),"",B186&amp;"|"&amp;C186&amp;"|"&amp;IF(D186="","00",D186)&amp;"|"&amp;IF(E186="","01",E186))</x:f>
      </x:c>
      <x:c r="G186" s="29" t="str">
        <x:f>IF(F186="","",F186&amp;"|"&amp;TEXT(A186,"000"))</x:f>
      </x:c>
      <x:c r="H186" s="21"/>
      <x:c r="I186" s="21"/>
      <x:c r="J186" s="25"/>
      <x:c r="K186" s="25"/>
      <x:c r="L186" s="25"/>
      <x:c r="M186" s="39" t="str">
        <x:f>IF(G186="","",K186+L186*J186)</x:f>
      </x:c>
      <x:c r="N186" s="35"/>
      <x:c r="O186" s="35"/>
      <x:c r="P186" s="21"/>
      <x:c r="Q186" s="21"/>
      <x:c r="R186" s="29" t="str">
        <x:f>IF(G186="","",MIN(J186,SUMIF('05_BAO_CAO_NGAY'!$K$6:$K$505,G186,'05_BAO_CAO_NGAY'!$V$6:$V$505)))</x:f>
      </x:c>
      <x:c r="S186" s="37" t="str">
        <x:f>IF(G186="","",IFERROR(R186/J186,0))</x:f>
      </x:c>
      <x:c r="T186" s="41" t="str">
        <x:f>IF(OR(G186="",COUNTIF('05_BAO_CAO_NGAY'!$K$6:$K$505,G186)=0),"",_xlfn.MINIFS('05_BAO_CAO_NGAY'!$B$6:$B$505,'05_BAO_CAO_NGAY'!$K$6:$K$505,G186))</x:f>
      </x:c>
      <x:c r="U186" s="41" t="str">
        <x:f>IF(OR(G186="",S186&lt;1),"",_xlfn.MAXIFS('05_BAO_CAO_NGAY'!$B$6:$B$505,'05_BAO_CAO_NGAY'!$K$6:$K$505,G186))</x:f>
      </x:c>
      <x:c r="V186" s="29" t="str">
        <x:f>IF(G186="","",IF(S186&gt;=1,IF(U186&lt;=O186,"Hoàn thành đúng hạn","Hoàn thành trễ"),IF(TODAY()&gt;O186,"Quá hạn",IF(R186&gt;0,"Đang thực hiện","Chưa bắt đầu"))))</x:f>
      </x:c>
      <x:c r="W186" s="37" t="str">
        <x:f>IF(G186="","",IFERROR(SUMIF('05_BAO_CAO_NGAY'!$K$6:$K$505,G186,'05_BAO_CAO_NGAY'!$AB$6:$AB$505)/SUMIF('05_BAO_CAO_NGAY'!$K$6:$K$505,G186,'05_BAO_CAO_NGAY'!$AC$6:$AC$505),0))</x:f>
      </x:c>
      <x:c r="X186" s="37" t="str">
        <x:f>IF(G186="","",IFERROR(SUMIFS('05_BAO_CAO_NGAY'!$W$6:$W$505,'05_BAO_CAO_NGAY'!$K$6:$K$505,G186,'05_BAO_CAO_NGAY'!$N$6:$N$505,"PRODUCTION")/SUMIFS('05_BAO_CAO_NGAY'!$U$6:$U$505,'05_BAO_CAO_NGAY'!$K$6:$K$505,G186,'05_BAO_CAO_NGAY'!$N$6:$N$505,"PRODUCTION"),0))</x:f>
      </x:c>
      <x:c r="Y186" s="29" t="str">
        <x:f>IF(G186="","",SUMIF('05_BAO_CAO_NGAY'!$K$6:$K$505,G186,'05_BAO_CAO_NGAY'!$S$6:$S$505))</x:f>
      </x:c>
      <x:c r="Z186" s="21"/>
    </x:row>
    <x:row r="187">
      <x:c r="A187" s="21"/>
      <x:c r="B187" s="21"/>
      <x:c r="C187" s="21"/>
      <x:c r="D187" s="21"/>
      <x:c r="E187" s="21"/>
      <x:c r="F187" s="29" t="str">
        <x:f>IF(OR(B187="",C187=""),"",B187&amp;"|"&amp;C187&amp;"|"&amp;IF(D187="","00",D187)&amp;"|"&amp;IF(E187="","01",E187))</x:f>
      </x:c>
      <x:c r="G187" s="29" t="str">
        <x:f>IF(F187="","",F187&amp;"|"&amp;TEXT(A187,"000"))</x:f>
      </x:c>
      <x:c r="H187" s="21"/>
      <x:c r="I187" s="21"/>
      <x:c r="J187" s="25"/>
      <x:c r="K187" s="25"/>
      <x:c r="L187" s="25"/>
      <x:c r="M187" s="39" t="str">
        <x:f>IF(G187="","",K187+L187*J187)</x:f>
      </x:c>
      <x:c r="N187" s="35"/>
      <x:c r="O187" s="35"/>
      <x:c r="P187" s="21"/>
      <x:c r="Q187" s="21"/>
      <x:c r="R187" s="29" t="str">
        <x:f>IF(G187="","",MIN(J187,SUMIF('05_BAO_CAO_NGAY'!$K$6:$K$505,G187,'05_BAO_CAO_NGAY'!$V$6:$V$505)))</x:f>
      </x:c>
      <x:c r="S187" s="37" t="str">
        <x:f>IF(G187="","",IFERROR(R187/J187,0))</x:f>
      </x:c>
      <x:c r="T187" s="41" t="str">
        <x:f>IF(OR(G187="",COUNTIF('05_BAO_CAO_NGAY'!$K$6:$K$505,G187)=0),"",_xlfn.MINIFS('05_BAO_CAO_NGAY'!$B$6:$B$505,'05_BAO_CAO_NGAY'!$K$6:$K$505,G187))</x:f>
      </x:c>
      <x:c r="U187" s="41" t="str">
        <x:f>IF(OR(G187="",S187&lt;1),"",_xlfn.MAXIFS('05_BAO_CAO_NGAY'!$B$6:$B$505,'05_BAO_CAO_NGAY'!$K$6:$K$505,G187))</x:f>
      </x:c>
      <x:c r="V187" s="29" t="str">
        <x:f>IF(G187="","",IF(S187&gt;=1,IF(U187&lt;=O187,"Hoàn thành đúng hạn","Hoàn thành trễ"),IF(TODAY()&gt;O187,"Quá hạn",IF(R187&gt;0,"Đang thực hiện","Chưa bắt đầu"))))</x:f>
      </x:c>
      <x:c r="W187" s="37" t="str">
        <x:f>IF(G187="","",IFERROR(SUMIF('05_BAO_CAO_NGAY'!$K$6:$K$505,G187,'05_BAO_CAO_NGAY'!$AB$6:$AB$505)/SUMIF('05_BAO_CAO_NGAY'!$K$6:$K$505,G187,'05_BAO_CAO_NGAY'!$AC$6:$AC$505),0))</x:f>
      </x:c>
      <x:c r="X187" s="37" t="str">
        <x:f>IF(G187="","",IFERROR(SUMIFS('05_BAO_CAO_NGAY'!$W$6:$W$505,'05_BAO_CAO_NGAY'!$K$6:$K$505,G187,'05_BAO_CAO_NGAY'!$N$6:$N$505,"PRODUCTION")/SUMIFS('05_BAO_CAO_NGAY'!$U$6:$U$505,'05_BAO_CAO_NGAY'!$K$6:$K$505,G187,'05_BAO_CAO_NGAY'!$N$6:$N$505,"PRODUCTION"),0))</x:f>
      </x:c>
      <x:c r="Y187" s="29" t="str">
        <x:f>IF(G187="","",SUMIF('05_BAO_CAO_NGAY'!$K$6:$K$505,G187,'05_BAO_CAO_NGAY'!$S$6:$S$505))</x:f>
      </x:c>
      <x:c r="Z187" s="21"/>
    </x:row>
    <x:row r="188">
      <x:c r="A188" s="21"/>
      <x:c r="B188" s="21"/>
      <x:c r="C188" s="21"/>
      <x:c r="D188" s="21"/>
      <x:c r="E188" s="21"/>
      <x:c r="F188" s="29" t="str">
        <x:f>IF(OR(B188="",C188=""),"",B188&amp;"|"&amp;C188&amp;"|"&amp;IF(D188="","00",D188)&amp;"|"&amp;IF(E188="","01",E188))</x:f>
      </x:c>
      <x:c r="G188" s="29" t="str">
        <x:f>IF(F188="","",F188&amp;"|"&amp;TEXT(A188,"000"))</x:f>
      </x:c>
      <x:c r="H188" s="21"/>
      <x:c r="I188" s="21"/>
      <x:c r="J188" s="25"/>
      <x:c r="K188" s="25"/>
      <x:c r="L188" s="25"/>
      <x:c r="M188" s="39" t="str">
        <x:f>IF(G188="","",K188+L188*J188)</x:f>
      </x:c>
      <x:c r="N188" s="35"/>
      <x:c r="O188" s="35"/>
      <x:c r="P188" s="21"/>
      <x:c r="Q188" s="21"/>
      <x:c r="R188" s="29" t="str">
        <x:f>IF(G188="","",MIN(J188,SUMIF('05_BAO_CAO_NGAY'!$K$6:$K$505,G188,'05_BAO_CAO_NGAY'!$V$6:$V$505)))</x:f>
      </x:c>
      <x:c r="S188" s="37" t="str">
        <x:f>IF(G188="","",IFERROR(R188/J188,0))</x:f>
      </x:c>
      <x:c r="T188" s="41" t="str">
        <x:f>IF(OR(G188="",COUNTIF('05_BAO_CAO_NGAY'!$K$6:$K$505,G188)=0),"",_xlfn.MINIFS('05_BAO_CAO_NGAY'!$B$6:$B$505,'05_BAO_CAO_NGAY'!$K$6:$K$505,G188))</x:f>
      </x:c>
      <x:c r="U188" s="41" t="str">
        <x:f>IF(OR(G188="",S188&lt;1),"",_xlfn.MAXIFS('05_BAO_CAO_NGAY'!$B$6:$B$505,'05_BAO_CAO_NGAY'!$K$6:$K$505,G188))</x:f>
      </x:c>
      <x:c r="V188" s="29" t="str">
        <x:f>IF(G188="","",IF(S188&gt;=1,IF(U188&lt;=O188,"Hoàn thành đúng hạn","Hoàn thành trễ"),IF(TODAY()&gt;O188,"Quá hạn",IF(R188&gt;0,"Đang thực hiện","Chưa bắt đầu"))))</x:f>
      </x:c>
      <x:c r="W188" s="37" t="str">
        <x:f>IF(G188="","",IFERROR(SUMIF('05_BAO_CAO_NGAY'!$K$6:$K$505,G188,'05_BAO_CAO_NGAY'!$AB$6:$AB$505)/SUMIF('05_BAO_CAO_NGAY'!$K$6:$K$505,G188,'05_BAO_CAO_NGAY'!$AC$6:$AC$505),0))</x:f>
      </x:c>
      <x:c r="X188" s="37" t="str">
        <x:f>IF(G188="","",IFERROR(SUMIFS('05_BAO_CAO_NGAY'!$W$6:$W$505,'05_BAO_CAO_NGAY'!$K$6:$K$505,G188,'05_BAO_CAO_NGAY'!$N$6:$N$505,"PRODUCTION")/SUMIFS('05_BAO_CAO_NGAY'!$U$6:$U$505,'05_BAO_CAO_NGAY'!$K$6:$K$505,G188,'05_BAO_CAO_NGAY'!$N$6:$N$505,"PRODUCTION"),0))</x:f>
      </x:c>
      <x:c r="Y188" s="29" t="str">
        <x:f>IF(G188="","",SUMIF('05_BAO_CAO_NGAY'!$K$6:$K$505,G188,'05_BAO_CAO_NGAY'!$S$6:$S$505))</x:f>
      </x:c>
      <x:c r="Z188" s="21"/>
    </x:row>
    <x:row r="189">
      <x:c r="A189" s="21"/>
      <x:c r="B189" s="21"/>
      <x:c r="C189" s="21"/>
      <x:c r="D189" s="21"/>
      <x:c r="E189" s="21"/>
      <x:c r="F189" s="29" t="str">
        <x:f>IF(OR(B189="",C189=""),"",B189&amp;"|"&amp;C189&amp;"|"&amp;IF(D189="","00",D189)&amp;"|"&amp;IF(E189="","01",E189))</x:f>
      </x:c>
      <x:c r="G189" s="29" t="str">
        <x:f>IF(F189="","",F189&amp;"|"&amp;TEXT(A189,"000"))</x:f>
      </x:c>
      <x:c r="H189" s="21"/>
      <x:c r="I189" s="21"/>
      <x:c r="J189" s="25"/>
      <x:c r="K189" s="25"/>
      <x:c r="L189" s="25"/>
      <x:c r="M189" s="39" t="str">
        <x:f>IF(G189="","",K189+L189*J189)</x:f>
      </x:c>
      <x:c r="N189" s="35"/>
      <x:c r="O189" s="35"/>
      <x:c r="P189" s="21"/>
      <x:c r="Q189" s="21"/>
      <x:c r="R189" s="29" t="str">
        <x:f>IF(G189="","",MIN(J189,SUMIF('05_BAO_CAO_NGAY'!$K$6:$K$505,G189,'05_BAO_CAO_NGAY'!$V$6:$V$505)))</x:f>
      </x:c>
      <x:c r="S189" s="37" t="str">
        <x:f>IF(G189="","",IFERROR(R189/J189,0))</x:f>
      </x:c>
      <x:c r="T189" s="41" t="str">
        <x:f>IF(OR(G189="",COUNTIF('05_BAO_CAO_NGAY'!$K$6:$K$505,G189)=0),"",_xlfn.MINIFS('05_BAO_CAO_NGAY'!$B$6:$B$505,'05_BAO_CAO_NGAY'!$K$6:$K$505,G189))</x:f>
      </x:c>
      <x:c r="U189" s="41" t="str">
        <x:f>IF(OR(G189="",S189&lt;1),"",_xlfn.MAXIFS('05_BAO_CAO_NGAY'!$B$6:$B$505,'05_BAO_CAO_NGAY'!$K$6:$K$505,G189))</x:f>
      </x:c>
      <x:c r="V189" s="29" t="str">
        <x:f>IF(G189="","",IF(S189&gt;=1,IF(U189&lt;=O189,"Hoàn thành đúng hạn","Hoàn thành trễ"),IF(TODAY()&gt;O189,"Quá hạn",IF(R189&gt;0,"Đang thực hiện","Chưa bắt đầu"))))</x:f>
      </x:c>
      <x:c r="W189" s="37" t="str">
        <x:f>IF(G189="","",IFERROR(SUMIF('05_BAO_CAO_NGAY'!$K$6:$K$505,G189,'05_BAO_CAO_NGAY'!$AB$6:$AB$505)/SUMIF('05_BAO_CAO_NGAY'!$K$6:$K$505,G189,'05_BAO_CAO_NGAY'!$AC$6:$AC$505),0))</x:f>
      </x:c>
      <x:c r="X189" s="37" t="str">
        <x:f>IF(G189="","",IFERROR(SUMIFS('05_BAO_CAO_NGAY'!$W$6:$W$505,'05_BAO_CAO_NGAY'!$K$6:$K$505,G189,'05_BAO_CAO_NGAY'!$N$6:$N$505,"PRODUCTION")/SUMIFS('05_BAO_CAO_NGAY'!$U$6:$U$505,'05_BAO_CAO_NGAY'!$K$6:$K$505,G189,'05_BAO_CAO_NGAY'!$N$6:$N$505,"PRODUCTION"),0))</x:f>
      </x:c>
      <x:c r="Y189" s="29" t="str">
        <x:f>IF(G189="","",SUMIF('05_BAO_CAO_NGAY'!$K$6:$K$505,G189,'05_BAO_CAO_NGAY'!$S$6:$S$505))</x:f>
      </x:c>
      <x:c r="Z189" s="21"/>
    </x:row>
    <x:row r="190">
      <x:c r="A190" s="21"/>
      <x:c r="B190" s="21"/>
      <x:c r="C190" s="21"/>
      <x:c r="D190" s="21"/>
      <x:c r="E190" s="21"/>
      <x:c r="F190" s="29" t="str">
        <x:f>IF(OR(B190="",C190=""),"",B190&amp;"|"&amp;C190&amp;"|"&amp;IF(D190="","00",D190)&amp;"|"&amp;IF(E190="","01",E190))</x:f>
      </x:c>
      <x:c r="G190" s="29" t="str">
        <x:f>IF(F190="","",F190&amp;"|"&amp;TEXT(A190,"000"))</x:f>
      </x:c>
      <x:c r="H190" s="21"/>
      <x:c r="I190" s="21"/>
      <x:c r="J190" s="25"/>
      <x:c r="K190" s="25"/>
      <x:c r="L190" s="25"/>
      <x:c r="M190" s="39" t="str">
        <x:f>IF(G190="","",K190+L190*J190)</x:f>
      </x:c>
      <x:c r="N190" s="35"/>
      <x:c r="O190" s="35"/>
      <x:c r="P190" s="21"/>
      <x:c r="Q190" s="21"/>
      <x:c r="R190" s="29" t="str">
        <x:f>IF(G190="","",MIN(J190,SUMIF('05_BAO_CAO_NGAY'!$K$6:$K$505,G190,'05_BAO_CAO_NGAY'!$V$6:$V$505)))</x:f>
      </x:c>
      <x:c r="S190" s="37" t="str">
        <x:f>IF(G190="","",IFERROR(R190/J190,0))</x:f>
      </x:c>
      <x:c r="T190" s="41" t="str">
        <x:f>IF(OR(G190="",COUNTIF('05_BAO_CAO_NGAY'!$K$6:$K$505,G190)=0),"",_xlfn.MINIFS('05_BAO_CAO_NGAY'!$B$6:$B$505,'05_BAO_CAO_NGAY'!$K$6:$K$505,G190))</x:f>
      </x:c>
      <x:c r="U190" s="41" t="str">
        <x:f>IF(OR(G190="",S190&lt;1),"",_xlfn.MAXIFS('05_BAO_CAO_NGAY'!$B$6:$B$505,'05_BAO_CAO_NGAY'!$K$6:$K$505,G190))</x:f>
      </x:c>
      <x:c r="V190" s="29" t="str">
        <x:f>IF(G190="","",IF(S190&gt;=1,IF(U190&lt;=O190,"Hoàn thành đúng hạn","Hoàn thành trễ"),IF(TODAY()&gt;O190,"Quá hạn",IF(R190&gt;0,"Đang thực hiện","Chưa bắt đầu"))))</x:f>
      </x:c>
      <x:c r="W190" s="37" t="str">
        <x:f>IF(G190="","",IFERROR(SUMIF('05_BAO_CAO_NGAY'!$K$6:$K$505,G190,'05_BAO_CAO_NGAY'!$AB$6:$AB$505)/SUMIF('05_BAO_CAO_NGAY'!$K$6:$K$505,G190,'05_BAO_CAO_NGAY'!$AC$6:$AC$505),0))</x:f>
      </x:c>
      <x:c r="X190" s="37" t="str">
        <x:f>IF(G190="","",IFERROR(SUMIFS('05_BAO_CAO_NGAY'!$W$6:$W$505,'05_BAO_CAO_NGAY'!$K$6:$K$505,G190,'05_BAO_CAO_NGAY'!$N$6:$N$505,"PRODUCTION")/SUMIFS('05_BAO_CAO_NGAY'!$U$6:$U$505,'05_BAO_CAO_NGAY'!$K$6:$K$505,G190,'05_BAO_CAO_NGAY'!$N$6:$N$505,"PRODUCTION"),0))</x:f>
      </x:c>
      <x:c r="Y190" s="29" t="str">
        <x:f>IF(G190="","",SUMIF('05_BAO_CAO_NGAY'!$K$6:$K$505,G190,'05_BAO_CAO_NGAY'!$S$6:$S$505))</x:f>
      </x:c>
      <x:c r="Z190" s="21"/>
    </x:row>
    <x:row r="191">
      <x:c r="A191" s="21"/>
      <x:c r="B191" s="21"/>
      <x:c r="C191" s="21"/>
      <x:c r="D191" s="21"/>
      <x:c r="E191" s="21"/>
      <x:c r="F191" s="29" t="str">
        <x:f>IF(OR(B191="",C191=""),"",B191&amp;"|"&amp;C191&amp;"|"&amp;IF(D191="","00",D191)&amp;"|"&amp;IF(E191="","01",E191))</x:f>
      </x:c>
      <x:c r="G191" s="29" t="str">
        <x:f>IF(F191="","",F191&amp;"|"&amp;TEXT(A191,"000"))</x:f>
      </x:c>
      <x:c r="H191" s="21"/>
      <x:c r="I191" s="21"/>
      <x:c r="J191" s="25"/>
      <x:c r="K191" s="25"/>
      <x:c r="L191" s="25"/>
      <x:c r="M191" s="39" t="str">
        <x:f>IF(G191="","",K191+L191*J191)</x:f>
      </x:c>
      <x:c r="N191" s="35"/>
      <x:c r="O191" s="35"/>
      <x:c r="P191" s="21"/>
      <x:c r="Q191" s="21"/>
      <x:c r="R191" s="29" t="str">
        <x:f>IF(G191="","",MIN(J191,SUMIF('05_BAO_CAO_NGAY'!$K$6:$K$505,G191,'05_BAO_CAO_NGAY'!$V$6:$V$505)))</x:f>
      </x:c>
      <x:c r="S191" s="37" t="str">
        <x:f>IF(G191="","",IFERROR(R191/J191,0))</x:f>
      </x:c>
      <x:c r="T191" s="41" t="str">
        <x:f>IF(OR(G191="",COUNTIF('05_BAO_CAO_NGAY'!$K$6:$K$505,G191)=0),"",_xlfn.MINIFS('05_BAO_CAO_NGAY'!$B$6:$B$505,'05_BAO_CAO_NGAY'!$K$6:$K$505,G191))</x:f>
      </x:c>
      <x:c r="U191" s="41" t="str">
        <x:f>IF(OR(G191="",S191&lt;1),"",_xlfn.MAXIFS('05_BAO_CAO_NGAY'!$B$6:$B$505,'05_BAO_CAO_NGAY'!$K$6:$K$505,G191))</x:f>
      </x:c>
      <x:c r="V191" s="29" t="str">
        <x:f>IF(G191="","",IF(S191&gt;=1,IF(U191&lt;=O191,"Hoàn thành đúng hạn","Hoàn thành trễ"),IF(TODAY()&gt;O191,"Quá hạn",IF(R191&gt;0,"Đang thực hiện","Chưa bắt đầu"))))</x:f>
      </x:c>
      <x:c r="W191" s="37" t="str">
        <x:f>IF(G191="","",IFERROR(SUMIF('05_BAO_CAO_NGAY'!$K$6:$K$505,G191,'05_BAO_CAO_NGAY'!$AB$6:$AB$505)/SUMIF('05_BAO_CAO_NGAY'!$K$6:$K$505,G191,'05_BAO_CAO_NGAY'!$AC$6:$AC$505),0))</x:f>
      </x:c>
      <x:c r="X191" s="37" t="str">
        <x:f>IF(G191="","",IFERROR(SUMIFS('05_BAO_CAO_NGAY'!$W$6:$W$505,'05_BAO_CAO_NGAY'!$K$6:$K$505,G191,'05_BAO_CAO_NGAY'!$N$6:$N$505,"PRODUCTION")/SUMIFS('05_BAO_CAO_NGAY'!$U$6:$U$505,'05_BAO_CAO_NGAY'!$K$6:$K$505,G191,'05_BAO_CAO_NGAY'!$N$6:$N$505,"PRODUCTION"),0))</x:f>
      </x:c>
      <x:c r="Y191" s="29" t="str">
        <x:f>IF(G191="","",SUMIF('05_BAO_CAO_NGAY'!$K$6:$K$505,G191,'05_BAO_CAO_NGAY'!$S$6:$S$505))</x:f>
      </x:c>
      <x:c r="Z191" s="21"/>
    </x:row>
    <x:row r="192">
      <x:c r="A192" s="21"/>
      <x:c r="B192" s="21"/>
      <x:c r="C192" s="21"/>
      <x:c r="D192" s="21"/>
      <x:c r="E192" s="21"/>
      <x:c r="F192" s="29" t="str">
        <x:f>IF(OR(B192="",C192=""),"",B192&amp;"|"&amp;C192&amp;"|"&amp;IF(D192="","00",D192)&amp;"|"&amp;IF(E192="","01",E192))</x:f>
      </x:c>
      <x:c r="G192" s="29" t="str">
        <x:f>IF(F192="","",F192&amp;"|"&amp;TEXT(A192,"000"))</x:f>
      </x:c>
      <x:c r="H192" s="21"/>
      <x:c r="I192" s="21"/>
      <x:c r="J192" s="25"/>
      <x:c r="K192" s="25"/>
      <x:c r="L192" s="25"/>
      <x:c r="M192" s="39" t="str">
        <x:f>IF(G192="","",K192+L192*J192)</x:f>
      </x:c>
      <x:c r="N192" s="35"/>
      <x:c r="O192" s="35"/>
      <x:c r="P192" s="21"/>
      <x:c r="Q192" s="21"/>
      <x:c r="R192" s="29" t="str">
        <x:f>IF(G192="","",MIN(J192,SUMIF('05_BAO_CAO_NGAY'!$K$6:$K$505,G192,'05_BAO_CAO_NGAY'!$V$6:$V$505)))</x:f>
      </x:c>
      <x:c r="S192" s="37" t="str">
        <x:f>IF(G192="","",IFERROR(R192/J192,0))</x:f>
      </x:c>
      <x:c r="T192" s="41" t="str">
        <x:f>IF(OR(G192="",COUNTIF('05_BAO_CAO_NGAY'!$K$6:$K$505,G192)=0),"",_xlfn.MINIFS('05_BAO_CAO_NGAY'!$B$6:$B$505,'05_BAO_CAO_NGAY'!$K$6:$K$505,G192))</x:f>
      </x:c>
      <x:c r="U192" s="41" t="str">
        <x:f>IF(OR(G192="",S192&lt;1),"",_xlfn.MAXIFS('05_BAO_CAO_NGAY'!$B$6:$B$505,'05_BAO_CAO_NGAY'!$K$6:$K$505,G192))</x:f>
      </x:c>
      <x:c r="V192" s="29" t="str">
        <x:f>IF(G192="","",IF(S192&gt;=1,IF(U192&lt;=O192,"Hoàn thành đúng hạn","Hoàn thành trễ"),IF(TODAY()&gt;O192,"Quá hạn",IF(R192&gt;0,"Đang thực hiện","Chưa bắt đầu"))))</x:f>
      </x:c>
      <x:c r="W192" s="37" t="str">
        <x:f>IF(G192="","",IFERROR(SUMIF('05_BAO_CAO_NGAY'!$K$6:$K$505,G192,'05_BAO_CAO_NGAY'!$AB$6:$AB$505)/SUMIF('05_BAO_CAO_NGAY'!$K$6:$K$505,G192,'05_BAO_CAO_NGAY'!$AC$6:$AC$505),0))</x:f>
      </x:c>
      <x:c r="X192" s="37" t="str">
        <x:f>IF(G192="","",IFERROR(SUMIFS('05_BAO_CAO_NGAY'!$W$6:$W$505,'05_BAO_CAO_NGAY'!$K$6:$K$505,G192,'05_BAO_CAO_NGAY'!$N$6:$N$505,"PRODUCTION")/SUMIFS('05_BAO_CAO_NGAY'!$U$6:$U$505,'05_BAO_CAO_NGAY'!$K$6:$K$505,G192,'05_BAO_CAO_NGAY'!$N$6:$N$505,"PRODUCTION"),0))</x:f>
      </x:c>
      <x:c r="Y192" s="29" t="str">
        <x:f>IF(G192="","",SUMIF('05_BAO_CAO_NGAY'!$K$6:$K$505,G192,'05_BAO_CAO_NGAY'!$S$6:$S$505))</x:f>
      </x:c>
      <x:c r="Z192" s="21"/>
    </x:row>
    <x:row r="193">
      <x:c r="A193" s="21"/>
      <x:c r="B193" s="21"/>
      <x:c r="C193" s="21"/>
      <x:c r="D193" s="21"/>
      <x:c r="E193" s="21"/>
      <x:c r="F193" s="29" t="str">
        <x:f>IF(OR(B193="",C193=""),"",B193&amp;"|"&amp;C193&amp;"|"&amp;IF(D193="","00",D193)&amp;"|"&amp;IF(E193="","01",E193))</x:f>
      </x:c>
      <x:c r="G193" s="29" t="str">
        <x:f>IF(F193="","",F193&amp;"|"&amp;TEXT(A193,"000"))</x:f>
      </x:c>
      <x:c r="H193" s="21"/>
      <x:c r="I193" s="21"/>
      <x:c r="J193" s="25"/>
      <x:c r="K193" s="25"/>
      <x:c r="L193" s="25"/>
      <x:c r="M193" s="39" t="str">
        <x:f>IF(G193="","",K193+L193*J193)</x:f>
      </x:c>
      <x:c r="N193" s="35"/>
      <x:c r="O193" s="35"/>
      <x:c r="P193" s="21"/>
      <x:c r="Q193" s="21"/>
      <x:c r="R193" s="29" t="str">
        <x:f>IF(G193="","",MIN(J193,SUMIF('05_BAO_CAO_NGAY'!$K$6:$K$505,G193,'05_BAO_CAO_NGAY'!$V$6:$V$505)))</x:f>
      </x:c>
      <x:c r="S193" s="37" t="str">
        <x:f>IF(G193="","",IFERROR(R193/J193,0))</x:f>
      </x:c>
      <x:c r="T193" s="41" t="str">
        <x:f>IF(OR(G193="",COUNTIF('05_BAO_CAO_NGAY'!$K$6:$K$505,G193)=0),"",_xlfn.MINIFS('05_BAO_CAO_NGAY'!$B$6:$B$505,'05_BAO_CAO_NGAY'!$K$6:$K$505,G193))</x:f>
      </x:c>
      <x:c r="U193" s="41" t="str">
        <x:f>IF(OR(G193="",S193&lt;1),"",_xlfn.MAXIFS('05_BAO_CAO_NGAY'!$B$6:$B$505,'05_BAO_CAO_NGAY'!$K$6:$K$505,G193))</x:f>
      </x:c>
      <x:c r="V193" s="29" t="str">
        <x:f>IF(G193="","",IF(S193&gt;=1,IF(U193&lt;=O193,"Hoàn thành đúng hạn","Hoàn thành trễ"),IF(TODAY()&gt;O193,"Quá hạn",IF(R193&gt;0,"Đang thực hiện","Chưa bắt đầu"))))</x:f>
      </x:c>
      <x:c r="W193" s="37" t="str">
        <x:f>IF(G193="","",IFERROR(SUMIF('05_BAO_CAO_NGAY'!$K$6:$K$505,G193,'05_BAO_CAO_NGAY'!$AB$6:$AB$505)/SUMIF('05_BAO_CAO_NGAY'!$K$6:$K$505,G193,'05_BAO_CAO_NGAY'!$AC$6:$AC$505),0))</x:f>
      </x:c>
      <x:c r="X193" s="37" t="str">
        <x:f>IF(G193="","",IFERROR(SUMIFS('05_BAO_CAO_NGAY'!$W$6:$W$505,'05_BAO_CAO_NGAY'!$K$6:$K$505,G193,'05_BAO_CAO_NGAY'!$N$6:$N$505,"PRODUCTION")/SUMIFS('05_BAO_CAO_NGAY'!$U$6:$U$505,'05_BAO_CAO_NGAY'!$K$6:$K$505,G193,'05_BAO_CAO_NGAY'!$N$6:$N$505,"PRODUCTION"),0))</x:f>
      </x:c>
      <x:c r="Y193" s="29" t="str">
        <x:f>IF(G193="","",SUMIF('05_BAO_CAO_NGAY'!$K$6:$K$505,G193,'05_BAO_CAO_NGAY'!$S$6:$S$505))</x:f>
      </x:c>
      <x:c r="Z193" s="21"/>
    </x:row>
    <x:row r="194">
      <x:c r="A194" s="21"/>
      <x:c r="B194" s="21"/>
      <x:c r="C194" s="21"/>
      <x:c r="D194" s="21"/>
      <x:c r="E194" s="21"/>
      <x:c r="F194" s="29" t="str">
        <x:f>IF(OR(B194="",C194=""),"",B194&amp;"|"&amp;C194&amp;"|"&amp;IF(D194="","00",D194)&amp;"|"&amp;IF(E194="","01",E194))</x:f>
      </x:c>
      <x:c r="G194" s="29" t="str">
        <x:f>IF(F194="","",F194&amp;"|"&amp;TEXT(A194,"000"))</x:f>
      </x:c>
      <x:c r="H194" s="21"/>
      <x:c r="I194" s="21"/>
      <x:c r="J194" s="25"/>
      <x:c r="K194" s="25"/>
      <x:c r="L194" s="25"/>
      <x:c r="M194" s="39" t="str">
        <x:f>IF(G194="","",K194+L194*J194)</x:f>
      </x:c>
      <x:c r="N194" s="35"/>
      <x:c r="O194" s="35"/>
      <x:c r="P194" s="21"/>
      <x:c r="Q194" s="21"/>
      <x:c r="R194" s="29" t="str">
        <x:f>IF(G194="","",MIN(J194,SUMIF('05_BAO_CAO_NGAY'!$K$6:$K$505,G194,'05_BAO_CAO_NGAY'!$V$6:$V$505)))</x:f>
      </x:c>
      <x:c r="S194" s="37" t="str">
        <x:f>IF(G194="","",IFERROR(R194/J194,0))</x:f>
      </x:c>
      <x:c r="T194" s="41" t="str">
        <x:f>IF(OR(G194="",COUNTIF('05_BAO_CAO_NGAY'!$K$6:$K$505,G194)=0),"",_xlfn.MINIFS('05_BAO_CAO_NGAY'!$B$6:$B$505,'05_BAO_CAO_NGAY'!$K$6:$K$505,G194))</x:f>
      </x:c>
      <x:c r="U194" s="41" t="str">
        <x:f>IF(OR(G194="",S194&lt;1),"",_xlfn.MAXIFS('05_BAO_CAO_NGAY'!$B$6:$B$505,'05_BAO_CAO_NGAY'!$K$6:$K$505,G194))</x:f>
      </x:c>
      <x:c r="V194" s="29" t="str">
        <x:f>IF(G194="","",IF(S194&gt;=1,IF(U194&lt;=O194,"Hoàn thành đúng hạn","Hoàn thành trễ"),IF(TODAY()&gt;O194,"Quá hạn",IF(R194&gt;0,"Đang thực hiện","Chưa bắt đầu"))))</x:f>
      </x:c>
      <x:c r="W194" s="37" t="str">
        <x:f>IF(G194="","",IFERROR(SUMIF('05_BAO_CAO_NGAY'!$K$6:$K$505,G194,'05_BAO_CAO_NGAY'!$AB$6:$AB$505)/SUMIF('05_BAO_CAO_NGAY'!$K$6:$K$505,G194,'05_BAO_CAO_NGAY'!$AC$6:$AC$505),0))</x:f>
      </x:c>
      <x:c r="X194" s="37" t="str">
        <x:f>IF(G194="","",IFERROR(SUMIFS('05_BAO_CAO_NGAY'!$W$6:$W$505,'05_BAO_CAO_NGAY'!$K$6:$K$505,G194,'05_BAO_CAO_NGAY'!$N$6:$N$505,"PRODUCTION")/SUMIFS('05_BAO_CAO_NGAY'!$U$6:$U$505,'05_BAO_CAO_NGAY'!$K$6:$K$505,G194,'05_BAO_CAO_NGAY'!$N$6:$N$505,"PRODUCTION"),0))</x:f>
      </x:c>
      <x:c r="Y194" s="29" t="str">
        <x:f>IF(G194="","",SUMIF('05_BAO_CAO_NGAY'!$K$6:$K$505,G194,'05_BAO_CAO_NGAY'!$S$6:$S$505))</x:f>
      </x:c>
      <x:c r="Z194" s="21"/>
    </x:row>
    <x:row r="195">
      <x:c r="A195" s="21"/>
      <x:c r="B195" s="21"/>
      <x:c r="C195" s="21"/>
      <x:c r="D195" s="21"/>
      <x:c r="E195" s="21"/>
      <x:c r="F195" s="29" t="str">
        <x:f>IF(OR(B195="",C195=""),"",B195&amp;"|"&amp;C195&amp;"|"&amp;IF(D195="","00",D195)&amp;"|"&amp;IF(E195="","01",E195))</x:f>
      </x:c>
      <x:c r="G195" s="29" t="str">
        <x:f>IF(F195="","",F195&amp;"|"&amp;TEXT(A195,"000"))</x:f>
      </x:c>
      <x:c r="H195" s="21"/>
      <x:c r="I195" s="21"/>
      <x:c r="J195" s="25"/>
      <x:c r="K195" s="25"/>
      <x:c r="L195" s="25"/>
      <x:c r="M195" s="39" t="str">
        <x:f>IF(G195="","",K195+L195*J195)</x:f>
      </x:c>
      <x:c r="N195" s="35"/>
      <x:c r="O195" s="35"/>
      <x:c r="P195" s="21"/>
      <x:c r="Q195" s="21"/>
      <x:c r="R195" s="29" t="str">
        <x:f>IF(G195="","",MIN(J195,SUMIF('05_BAO_CAO_NGAY'!$K$6:$K$505,G195,'05_BAO_CAO_NGAY'!$V$6:$V$505)))</x:f>
      </x:c>
      <x:c r="S195" s="37" t="str">
        <x:f>IF(G195="","",IFERROR(R195/J195,0))</x:f>
      </x:c>
      <x:c r="T195" s="41" t="str">
        <x:f>IF(OR(G195="",COUNTIF('05_BAO_CAO_NGAY'!$K$6:$K$505,G195)=0),"",_xlfn.MINIFS('05_BAO_CAO_NGAY'!$B$6:$B$505,'05_BAO_CAO_NGAY'!$K$6:$K$505,G195))</x:f>
      </x:c>
      <x:c r="U195" s="41" t="str">
        <x:f>IF(OR(G195="",S195&lt;1),"",_xlfn.MAXIFS('05_BAO_CAO_NGAY'!$B$6:$B$505,'05_BAO_CAO_NGAY'!$K$6:$K$505,G195))</x:f>
      </x:c>
      <x:c r="V195" s="29" t="str">
        <x:f>IF(G195="","",IF(S195&gt;=1,IF(U195&lt;=O195,"Hoàn thành đúng hạn","Hoàn thành trễ"),IF(TODAY()&gt;O195,"Quá hạn",IF(R195&gt;0,"Đang thực hiện","Chưa bắt đầu"))))</x:f>
      </x:c>
      <x:c r="W195" s="37" t="str">
        <x:f>IF(G195="","",IFERROR(SUMIF('05_BAO_CAO_NGAY'!$K$6:$K$505,G195,'05_BAO_CAO_NGAY'!$AB$6:$AB$505)/SUMIF('05_BAO_CAO_NGAY'!$K$6:$K$505,G195,'05_BAO_CAO_NGAY'!$AC$6:$AC$505),0))</x:f>
      </x:c>
      <x:c r="X195" s="37" t="str">
        <x:f>IF(G195="","",IFERROR(SUMIFS('05_BAO_CAO_NGAY'!$W$6:$W$505,'05_BAO_CAO_NGAY'!$K$6:$K$505,G195,'05_BAO_CAO_NGAY'!$N$6:$N$505,"PRODUCTION")/SUMIFS('05_BAO_CAO_NGAY'!$U$6:$U$505,'05_BAO_CAO_NGAY'!$K$6:$K$505,G195,'05_BAO_CAO_NGAY'!$N$6:$N$505,"PRODUCTION"),0))</x:f>
      </x:c>
      <x:c r="Y195" s="29" t="str">
        <x:f>IF(G195="","",SUMIF('05_BAO_CAO_NGAY'!$K$6:$K$505,G195,'05_BAO_CAO_NGAY'!$S$6:$S$505))</x:f>
      </x:c>
      <x:c r="Z195" s="21"/>
    </x:row>
    <x:row r="196">
      <x:c r="A196" s="21"/>
      <x:c r="B196" s="21"/>
      <x:c r="C196" s="21"/>
      <x:c r="D196" s="21"/>
      <x:c r="E196" s="21"/>
      <x:c r="F196" s="29" t="str">
        <x:f>IF(OR(B196="",C196=""),"",B196&amp;"|"&amp;C196&amp;"|"&amp;IF(D196="","00",D196)&amp;"|"&amp;IF(E196="","01",E196))</x:f>
      </x:c>
      <x:c r="G196" s="29" t="str">
        <x:f>IF(F196="","",F196&amp;"|"&amp;TEXT(A196,"000"))</x:f>
      </x:c>
      <x:c r="H196" s="21"/>
      <x:c r="I196" s="21"/>
      <x:c r="J196" s="25"/>
      <x:c r="K196" s="25"/>
      <x:c r="L196" s="25"/>
      <x:c r="M196" s="39" t="str">
        <x:f>IF(G196="","",K196+L196*J196)</x:f>
      </x:c>
      <x:c r="N196" s="35"/>
      <x:c r="O196" s="35"/>
      <x:c r="P196" s="21"/>
      <x:c r="Q196" s="21"/>
      <x:c r="R196" s="29" t="str">
        <x:f>IF(G196="","",MIN(J196,SUMIF('05_BAO_CAO_NGAY'!$K$6:$K$505,G196,'05_BAO_CAO_NGAY'!$V$6:$V$505)))</x:f>
      </x:c>
      <x:c r="S196" s="37" t="str">
        <x:f>IF(G196="","",IFERROR(R196/J196,0))</x:f>
      </x:c>
      <x:c r="T196" s="41" t="str">
        <x:f>IF(OR(G196="",COUNTIF('05_BAO_CAO_NGAY'!$K$6:$K$505,G196)=0),"",_xlfn.MINIFS('05_BAO_CAO_NGAY'!$B$6:$B$505,'05_BAO_CAO_NGAY'!$K$6:$K$505,G196))</x:f>
      </x:c>
      <x:c r="U196" s="41" t="str">
        <x:f>IF(OR(G196="",S196&lt;1),"",_xlfn.MAXIFS('05_BAO_CAO_NGAY'!$B$6:$B$505,'05_BAO_CAO_NGAY'!$K$6:$K$505,G196))</x:f>
      </x:c>
      <x:c r="V196" s="29" t="str">
        <x:f>IF(G196="","",IF(S196&gt;=1,IF(U196&lt;=O196,"Hoàn thành đúng hạn","Hoàn thành trễ"),IF(TODAY()&gt;O196,"Quá hạn",IF(R196&gt;0,"Đang thực hiện","Chưa bắt đầu"))))</x:f>
      </x:c>
      <x:c r="W196" s="37" t="str">
        <x:f>IF(G196="","",IFERROR(SUMIF('05_BAO_CAO_NGAY'!$K$6:$K$505,G196,'05_BAO_CAO_NGAY'!$AB$6:$AB$505)/SUMIF('05_BAO_CAO_NGAY'!$K$6:$K$505,G196,'05_BAO_CAO_NGAY'!$AC$6:$AC$505),0))</x:f>
      </x:c>
      <x:c r="X196" s="37" t="str">
        <x:f>IF(G196="","",IFERROR(SUMIFS('05_BAO_CAO_NGAY'!$W$6:$W$505,'05_BAO_CAO_NGAY'!$K$6:$K$505,G196,'05_BAO_CAO_NGAY'!$N$6:$N$505,"PRODUCTION")/SUMIFS('05_BAO_CAO_NGAY'!$U$6:$U$505,'05_BAO_CAO_NGAY'!$K$6:$K$505,G196,'05_BAO_CAO_NGAY'!$N$6:$N$505,"PRODUCTION"),0))</x:f>
      </x:c>
      <x:c r="Y196" s="29" t="str">
        <x:f>IF(G196="","",SUMIF('05_BAO_CAO_NGAY'!$K$6:$K$505,G196,'05_BAO_CAO_NGAY'!$S$6:$S$505))</x:f>
      </x:c>
      <x:c r="Z196" s="21"/>
    </x:row>
    <x:row r="197">
      <x:c r="A197" s="21"/>
      <x:c r="B197" s="21"/>
      <x:c r="C197" s="21"/>
      <x:c r="D197" s="21"/>
      <x:c r="E197" s="21"/>
      <x:c r="F197" s="29" t="str">
        <x:f>IF(OR(B197="",C197=""),"",B197&amp;"|"&amp;C197&amp;"|"&amp;IF(D197="","00",D197)&amp;"|"&amp;IF(E197="","01",E197))</x:f>
      </x:c>
      <x:c r="G197" s="29" t="str">
        <x:f>IF(F197="","",F197&amp;"|"&amp;TEXT(A197,"000"))</x:f>
      </x:c>
      <x:c r="H197" s="21"/>
      <x:c r="I197" s="21"/>
      <x:c r="J197" s="25"/>
      <x:c r="K197" s="25"/>
      <x:c r="L197" s="25"/>
      <x:c r="M197" s="39" t="str">
        <x:f>IF(G197="","",K197+L197*J197)</x:f>
      </x:c>
      <x:c r="N197" s="35"/>
      <x:c r="O197" s="35"/>
      <x:c r="P197" s="21"/>
      <x:c r="Q197" s="21"/>
      <x:c r="R197" s="29" t="str">
        <x:f>IF(G197="","",MIN(J197,SUMIF('05_BAO_CAO_NGAY'!$K$6:$K$505,G197,'05_BAO_CAO_NGAY'!$V$6:$V$505)))</x:f>
      </x:c>
      <x:c r="S197" s="37" t="str">
        <x:f>IF(G197="","",IFERROR(R197/J197,0))</x:f>
      </x:c>
      <x:c r="T197" s="41" t="str">
        <x:f>IF(OR(G197="",COUNTIF('05_BAO_CAO_NGAY'!$K$6:$K$505,G197)=0),"",_xlfn.MINIFS('05_BAO_CAO_NGAY'!$B$6:$B$505,'05_BAO_CAO_NGAY'!$K$6:$K$505,G197))</x:f>
      </x:c>
      <x:c r="U197" s="41" t="str">
        <x:f>IF(OR(G197="",S197&lt;1),"",_xlfn.MAXIFS('05_BAO_CAO_NGAY'!$B$6:$B$505,'05_BAO_CAO_NGAY'!$K$6:$K$505,G197))</x:f>
      </x:c>
      <x:c r="V197" s="29" t="str">
        <x:f>IF(G197="","",IF(S197&gt;=1,IF(U197&lt;=O197,"Hoàn thành đúng hạn","Hoàn thành trễ"),IF(TODAY()&gt;O197,"Quá hạn",IF(R197&gt;0,"Đang thực hiện","Chưa bắt đầu"))))</x:f>
      </x:c>
      <x:c r="W197" s="37" t="str">
        <x:f>IF(G197="","",IFERROR(SUMIF('05_BAO_CAO_NGAY'!$K$6:$K$505,G197,'05_BAO_CAO_NGAY'!$AB$6:$AB$505)/SUMIF('05_BAO_CAO_NGAY'!$K$6:$K$505,G197,'05_BAO_CAO_NGAY'!$AC$6:$AC$505),0))</x:f>
      </x:c>
      <x:c r="X197" s="37" t="str">
        <x:f>IF(G197="","",IFERROR(SUMIFS('05_BAO_CAO_NGAY'!$W$6:$W$505,'05_BAO_CAO_NGAY'!$K$6:$K$505,G197,'05_BAO_CAO_NGAY'!$N$6:$N$505,"PRODUCTION")/SUMIFS('05_BAO_CAO_NGAY'!$U$6:$U$505,'05_BAO_CAO_NGAY'!$K$6:$K$505,G197,'05_BAO_CAO_NGAY'!$N$6:$N$505,"PRODUCTION"),0))</x:f>
      </x:c>
      <x:c r="Y197" s="29" t="str">
        <x:f>IF(G197="","",SUMIF('05_BAO_CAO_NGAY'!$K$6:$K$505,G197,'05_BAO_CAO_NGAY'!$S$6:$S$505))</x:f>
      </x:c>
      <x:c r="Z197" s="21"/>
    </x:row>
    <x:row r="198">
      <x:c r="A198" s="21"/>
      <x:c r="B198" s="21"/>
      <x:c r="C198" s="21"/>
      <x:c r="D198" s="21"/>
      <x:c r="E198" s="21"/>
      <x:c r="F198" s="29" t="str">
        <x:f>IF(OR(B198="",C198=""),"",B198&amp;"|"&amp;C198&amp;"|"&amp;IF(D198="","00",D198)&amp;"|"&amp;IF(E198="","01",E198))</x:f>
      </x:c>
      <x:c r="G198" s="29" t="str">
        <x:f>IF(F198="","",F198&amp;"|"&amp;TEXT(A198,"000"))</x:f>
      </x:c>
      <x:c r="H198" s="21"/>
      <x:c r="I198" s="21"/>
      <x:c r="J198" s="25"/>
      <x:c r="K198" s="25"/>
      <x:c r="L198" s="25"/>
      <x:c r="M198" s="39" t="str">
        <x:f>IF(G198="","",K198+L198*J198)</x:f>
      </x:c>
      <x:c r="N198" s="35"/>
      <x:c r="O198" s="35"/>
      <x:c r="P198" s="21"/>
      <x:c r="Q198" s="21"/>
      <x:c r="R198" s="29" t="str">
        <x:f>IF(G198="","",MIN(J198,SUMIF('05_BAO_CAO_NGAY'!$K$6:$K$505,G198,'05_BAO_CAO_NGAY'!$V$6:$V$505)))</x:f>
      </x:c>
      <x:c r="S198" s="37" t="str">
        <x:f>IF(G198="","",IFERROR(R198/J198,0))</x:f>
      </x:c>
      <x:c r="T198" s="41" t="str">
        <x:f>IF(OR(G198="",COUNTIF('05_BAO_CAO_NGAY'!$K$6:$K$505,G198)=0),"",_xlfn.MINIFS('05_BAO_CAO_NGAY'!$B$6:$B$505,'05_BAO_CAO_NGAY'!$K$6:$K$505,G198))</x:f>
      </x:c>
      <x:c r="U198" s="41" t="str">
        <x:f>IF(OR(G198="",S198&lt;1),"",_xlfn.MAXIFS('05_BAO_CAO_NGAY'!$B$6:$B$505,'05_BAO_CAO_NGAY'!$K$6:$K$505,G198))</x:f>
      </x:c>
      <x:c r="V198" s="29" t="str">
        <x:f>IF(G198="","",IF(S198&gt;=1,IF(U198&lt;=O198,"Hoàn thành đúng hạn","Hoàn thành trễ"),IF(TODAY()&gt;O198,"Quá hạn",IF(R198&gt;0,"Đang thực hiện","Chưa bắt đầu"))))</x:f>
      </x:c>
      <x:c r="W198" s="37" t="str">
        <x:f>IF(G198="","",IFERROR(SUMIF('05_BAO_CAO_NGAY'!$K$6:$K$505,G198,'05_BAO_CAO_NGAY'!$AB$6:$AB$505)/SUMIF('05_BAO_CAO_NGAY'!$K$6:$K$505,G198,'05_BAO_CAO_NGAY'!$AC$6:$AC$505),0))</x:f>
      </x:c>
      <x:c r="X198" s="37" t="str">
        <x:f>IF(G198="","",IFERROR(SUMIFS('05_BAO_CAO_NGAY'!$W$6:$W$505,'05_BAO_CAO_NGAY'!$K$6:$K$505,G198,'05_BAO_CAO_NGAY'!$N$6:$N$505,"PRODUCTION")/SUMIFS('05_BAO_CAO_NGAY'!$U$6:$U$505,'05_BAO_CAO_NGAY'!$K$6:$K$505,G198,'05_BAO_CAO_NGAY'!$N$6:$N$505,"PRODUCTION"),0))</x:f>
      </x:c>
      <x:c r="Y198" s="29" t="str">
        <x:f>IF(G198="","",SUMIF('05_BAO_CAO_NGAY'!$K$6:$K$505,G198,'05_BAO_CAO_NGAY'!$S$6:$S$505))</x:f>
      </x:c>
      <x:c r="Z198" s="21"/>
    </x:row>
    <x:row r="199">
      <x:c r="A199" s="21"/>
      <x:c r="B199" s="21"/>
      <x:c r="C199" s="21"/>
      <x:c r="D199" s="21"/>
      <x:c r="E199" s="21"/>
      <x:c r="F199" s="29" t="str">
        <x:f>IF(OR(B199="",C199=""),"",B199&amp;"|"&amp;C199&amp;"|"&amp;IF(D199="","00",D199)&amp;"|"&amp;IF(E199="","01",E199))</x:f>
      </x:c>
      <x:c r="G199" s="29" t="str">
        <x:f>IF(F199="","",F199&amp;"|"&amp;TEXT(A199,"000"))</x:f>
      </x:c>
      <x:c r="H199" s="21"/>
      <x:c r="I199" s="21"/>
      <x:c r="J199" s="25"/>
      <x:c r="K199" s="25"/>
      <x:c r="L199" s="25"/>
      <x:c r="M199" s="39" t="str">
        <x:f>IF(G199="","",K199+L199*J199)</x:f>
      </x:c>
      <x:c r="N199" s="35"/>
      <x:c r="O199" s="35"/>
      <x:c r="P199" s="21"/>
      <x:c r="Q199" s="21"/>
      <x:c r="R199" s="29" t="str">
        <x:f>IF(G199="","",MIN(J199,SUMIF('05_BAO_CAO_NGAY'!$K$6:$K$505,G199,'05_BAO_CAO_NGAY'!$V$6:$V$505)))</x:f>
      </x:c>
      <x:c r="S199" s="37" t="str">
        <x:f>IF(G199="","",IFERROR(R199/J199,0))</x:f>
      </x:c>
      <x:c r="T199" s="41" t="str">
        <x:f>IF(OR(G199="",COUNTIF('05_BAO_CAO_NGAY'!$K$6:$K$505,G199)=0),"",_xlfn.MINIFS('05_BAO_CAO_NGAY'!$B$6:$B$505,'05_BAO_CAO_NGAY'!$K$6:$K$505,G199))</x:f>
      </x:c>
      <x:c r="U199" s="41" t="str">
        <x:f>IF(OR(G199="",S199&lt;1),"",_xlfn.MAXIFS('05_BAO_CAO_NGAY'!$B$6:$B$505,'05_BAO_CAO_NGAY'!$K$6:$K$505,G199))</x:f>
      </x:c>
      <x:c r="V199" s="29" t="str">
        <x:f>IF(G199="","",IF(S199&gt;=1,IF(U199&lt;=O199,"Hoàn thành đúng hạn","Hoàn thành trễ"),IF(TODAY()&gt;O199,"Quá hạn",IF(R199&gt;0,"Đang thực hiện","Chưa bắt đầu"))))</x:f>
      </x:c>
      <x:c r="W199" s="37" t="str">
        <x:f>IF(G199="","",IFERROR(SUMIF('05_BAO_CAO_NGAY'!$K$6:$K$505,G199,'05_BAO_CAO_NGAY'!$AB$6:$AB$505)/SUMIF('05_BAO_CAO_NGAY'!$K$6:$K$505,G199,'05_BAO_CAO_NGAY'!$AC$6:$AC$505),0))</x:f>
      </x:c>
      <x:c r="X199" s="37" t="str">
        <x:f>IF(G199="","",IFERROR(SUMIFS('05_BAO_CAO_NGAY'!$W$6:$W$505,'05_BAO_CAO_NGAY'!$K$6:$K$505,G199,'05_BAO_CAO_NGAY'!$N$6:$N$505,"PRODUCTION")/SUMIFS('05_BAO_CAO_NGAY'!$U$6:$U$505,'05_BAO_CAO_NGAY'!$K$6:$K$505,G199,'05_BAO_CAO_NGAY'!$N$6:$N$505,"PRODUCTION"),0))</x:f>
      </x:c>
      <x:c r="Y199" s="29" t="str">
        <x:f>IF(G199="","",SUMIF('05_BAO_CAO_NGAY'!$K$6:$K$505,G199,'05_BAO_CAO_NGAY'!$S$6:$S$505))</x:f>
      </x:c>
      <x:c r="Z199" s="21"/>
    </x:row>
    <x:row r="200">
      <x:c r="A200" s="21"/>
      <x:c r="B200" s="21"/>
      <x:c r="C200" s="21"/>
      <x:c r="D200" s="21"/>
      <x:c r="E200" s="21"/>
      <x:c r="F200" s="29" t="str">
        <x:f>IF(OR(B200="",C200=""),"",B200&amp;"|"&amp;C200&amp;"|"&amp;IF(D200="","00",D200)&amp;"|"&amp;IF(E200="","01",E200))</x:f>
      </x:c>
      <x:c r="G200" s="29" t="str">
        <x:f>IF(F200="","",F200&amp;"|"&amp;TEXT(A200,"000"))</x:f>
      </x:c>
      <x:c r="H200" s="21"/>
      <x:c r="I200" s="21"/>
      <x:c r="J200" s="25"/>
      <x:c r="K200" s="25"/>
      <x:c r="L200" s="25"/>
      <x:c r="M200" s="39" t="str">
        <x:f>IF(G200="","",K200+L200*J200)</x:f>
      </x:c>
      <x:c r="N200" s="35"/>
      <x:c r="O200" s="35"/>
      <x:c r="P200" s="21"/>
      <x:c r="Q200" s="21"/>
      <x:c r="R200" s="29" t="str">
        <x:f>IF(G200="","",MIN(J200,SUMIF('05_BAO_CAO_NGAY'!$K$6:$K$505,G200,'05_BAO_CAO_NGAY'!$V$6:$V$505)))</x:f>
      </x:c>
      <x:c r="S200" s="37" t="str">
        <x:f>IF(G200="","",IFERROR(R200/J200,0))</x:f>
      </x:c>
      <x:c r="T200" s="41" t="str">
        <x:f>IF(OR(G200="",COUNTIF('05_BAO_CAO_NGAY'!$K$6:$K$505,G200)=0),"",_xlfn.MINIFS('05_BAO_CAO_NGAY'!$B$6:$B$505,'05_BAO_CAO_NGAY'!$K$6:$K$505,G200))</x:f>
      </x:c>
      <x:c r="U200" s="41" t="str">
        <x:f>IF(OR(G200="",S200&lt;1),"",_xlfn.MAXIFS('05_BAO_CAO_NGAY'!$B$6:$B$505,'05_BAO_CAO_NGAY'!$K$6:$K$505,G200))</x:f>
      </x:c>
      <x:c r="V200" s="29" t="str">
        <x:f>IF(G200="","",IF(S200&gt;=1,IF(U200&lt;=O200,"Hoàn thành đúng hạn","Hoàn thành trễ"),IF(TODAY()&gt;O200,"Quá hạn",IF(R200&gt;0,"Đang thực hiện","Chưa bắt đầu"))))</x:f>
      </x:c>
      <x:c r="W200" s="37" t="str">
        <x:f>IF(G200="","",IFERROR(SUMIF('05_BAO_CAO_NGAY'!$K$6:$K$505,G200,'05_BAO_CAO_NGAY'!$AB$6:$AB$505)/SUMIF('05_BAO_CAO_NGAY'!$K$6:$K$505,G200,'05_BAO_CAO_NGAY'!$AC$6:$AC$505),0))</x:f>
      </x:c>
      <x:c r="X200" s="37" t="str">
        <x:f>IF(G200="","",IFERROR(SUMIFS('05_BAO_CAO_NGAY'!$W$6:$W$505,'05_BAO_CAO_NGAY'!$K$6:$K$505,G200,'05_BAO_CAO_NGAY'!$N$6:$N$505,"PRODUCTION")/SUMIFS('05_BAO_CAO_NGAY'!$U$6:$U$505,'05_BAO_CAO_NGAY'!$K$6:$K$505,G200,'05_BAO_CAO_NGAY'!$N$6:$N$505,"PRODUCTION"),0))</x:f>
      </x:c>
      <x:c r="Y200" s="29" t="str">
        <x:f>IF(G200="","",SUMIF('05_BAO_CAO_NGAY'!$K$6:$K$505,G200,'05_BAO_CAO_NGAY'!$S$6:$S$505))</x:f>
      </x:c>
      <x:c r="Z200" s="21"/>
    </x:row>
    <x:row r="201">
      <x:c r="A201" s="21"/>
      <x:c r="B201" s="21"/>
      <x:c r="C201" s="21"/>
      <x:c r="D201" s="21"/>
      <x:c r="E201" s="21"/>
      <x:c r="F201" s="29" t="str">
        <x:f>IF(OR(B201="",C201=""),"",B201&amp;"|"&amp;C201&amp;"|"&amp;IF(D201="","00",D201)&amp;"|"&amp;IF(E201="","01",E201))</x:f>
      </x:c>
      <x:c r="G201" s="29" t="str">
        <x:f>IF(F201="","",F201&amp;"|"&amp;TEXT(A201,"000"))</x:f>
      </x:c>
      <x:c r="H201" s="21"/>
      <x:c r="I201" s="21"/>
      <x:c r="J201" s="25"/>
      <x:c r="K201" s="25"/>
      <x:c r="L201" s="25"/>
      <x:c r="M201" s="39" t="str">
        <x:f>IF(G201="","",K201+L201*J201)</x:f>
      </x:c>
      <x:c r="N201" s="35"/>
      <x:c r="O201" s="35"/>
      <x:c r="P201" s="21"/>
      <x:c r="Q201" s="21"/>
      <x:c r="R201" s="29" t="str">
        <x:f>IF(G201="","",MIN(J201,SUMIF('05_BAO_CAO_NGAY'!$K$6:$K$505,G201,'05_BAO_CAO_NGAY'!$V$6:$V$505)))</x:f>
      </x:c>
      <x:c r="S201" s="37" t="str">
        <x:f>IF(G201="","",IFERROR(R201/J201,0))</x:f>
      </x:c>
      <x:c r="T201" s="41" t="str">
        <x:f>IF(OR(G201="",COUNTIF('05_BAO_CAO_NGAY'!$K$6:$K$505,G201)=0),"",_xlfn.MINIFS('05_BAO_CAO_NGAY'!$B$6:$B$505,'05_BAO_CAO_NGAY'!$K$6:$K$505,G201))</x:f>
      </x:c>
      <x:c r="U201" s="41" t="str">
        <x:f>IF(OR(G201="",S201&lt;1),"",_xlfn.MAXIFS('05_BAO_CAO_NGAY'!$B$6:$B$505,'05_BAO_CAO_NGAY'!$K$6:$K$505,G201))</x:f>
      </x:c>
      <x:c r="V201" s="29" t="str">
        <x:f>IF(G201="","",IF(S201&gt;=1,IF(U201&lt;=O201,"Hoàn thành đúng hạn","Hoàn thành trễ"),IF(TODAY()&gt;O201,"Quá hạn",IF(R201&gt;0,"Đang thực hiện","Chưa bắt đầu"))))</x:f>
      </x:c>
      <x:c r="W201" s="37" t="str">
        <x:f>IF(G201="","",IFERROR(SUMIF('05_BAO_CAO_NGAY'!$K$6:$K$505,G201,'05_BAO_CAO_NGAY'!$AB$6:$AB$505)/SUMIF('05_BAO_CAO_NGAY'!$K$6:$K$505,G201,'05_BAO_CAO_NGAY'!$AC$6:$AC$505),0))</x:f>
      </x:c>
      <x:c r="X201" s="37" t="str">
        <x:f>IF(G201="","",IFERROR(SUMIFS('05_BAO_CAO_NGAY'!$W$6:$W$505,'05_BAO_CAO_NGAY'!$K$6:$K$505,G201,'05_BAO_CAO_NGAY'!$N$6:$N$505,"PRODUCTION")/SUMIFS('05_BAO_CAO_NGAY'!$U$6:$U$505,'05_BAO_CAO_NGAY'!$K$6:$K$505,G201,'05_BAO_CAO_NGAY'!$N$6:$N$505,"PRODUCTION"),0))</x:f>
      </x:c>
      <x:c r="Y201" s="29" t="str">
        <x:f>IF(G201="","",SUMIF('05_BAO_CAO_NGAY'!$K$6:$K$505,G201,'05_BAO_CAO_NGAY'!$S$6:$S$505))</x:f>
      </x:c>
      <x:c r="Z201" s="21"/>
    </x:row>
    <x:row r="202">
      <x:c r="A202" s="21"/>
      <x:c r="B202" s="21"/>
      <x:c r="C202" s="21"/>
      <x:c r="D202" s="21"/>
      <x:c r="E202" s="21"/>
      <x:c r="F202" s="29" t="str">
        <x:f>IF(OR(B202="",C202=""),"",B202&amp;"|"&amp;C202&amp;"|"&amp;IF(D202="","00",D202)&amp;"|"&amp;IF(E202="","01",E202))</x:f>
      </x:c>
      <x:c r="G202" s="29" t="str">
        <x:f>IF(F202="","",F202&amp;"|"&amp;TEXT(A202,"000"))</x:f>
      </x:c>
      <x:c r="H202" s="21"/>
      <x:c r="I202" s="21"/>
      <x:c r="J202" s="25"/>
      <x:c r="K202" s="25"/>
      <x:c r="L202" s="25"/>
      <x:c r="M202" s="39" t="str">
        <x:f>IF(G202="","",K202+L202*J202)</x:f>
      </x:c>
      <x:c r="N202" s="35"/>
      <x:c r="O202" s="35"/>
      <x:c r="P202" s="21"/>
      <x:c r="Q202" s="21"/>
      <x:c r="R202" s="29" t="str">
        <x:f>IF(G202="","",MIN(J202,SUMIF('05_BAO_CAO_NGAY'!$K$6:$K$505,G202,'05_BAO_CAO_NGAY'!$V$6:$V$505)))</x:f>
      </x:c>
      <x:c r="S202" s="37" t="str">
        <x:f>IF(G202="","",IFERROR(R202/J202,0))</x:f>
      </x:c>
      <x:c r="T202" s="41" t="str">
        <x:f>IF(OR(G202="",COUNTIF('05_BAO_CAO_NGAY'!$K$6:$K$505,G202)=0),"",_xlfn.MINIFS('05_BAO_CAO_NGAY'!$B$6:$B$505,'05_BAO_CAO_NGAY'!$K$6:$K$505,G202))</x:f>
      </x:c>
      <x:c r="U202" s="41" t="str">
        <x:f>IF(OR(G202="",S202&lt;1),"",_xlfn.MAXIFS('05_BAO_CAO_NGAY'!$B$6:$B$505,'05_BAO_CAO_NGAY'!$K$6:$K$505,G202))</x:f>
      </x:c>
      <x:c r="V202" s="29" t="str">
        <x:f>IF(G202="","",IF(S202&gt;=1,IF(U202&lt;=O202,"Hoàn thành đúng hạn","Hoàn thành trễ"),IF(TODAY()&gt;O202,"Quá hạn",IF(R202&gt;0,"Đang thực hiện","Chưa bắt đầu"))))</x:f>
      </x:c>
      <x:c r="W202" s="37" t="str">
        <x:f>IF(G202="","",IFERROR(SUMIF('05_BAO_CAO_NGAY'!$K$6:$K$505,G202,'05_BAO_CAO_NGAY'!$AB$6:$AB$505)/SUMIF('05_BAO_CAO_NGAY'!$K$6:$K$505,G202,'05_BAO_CAO_NGAY'!$AC$6:$AC$505),0))</x:f>
      </x:c>
      <x:c r="X202" s="37" t="str">
        <x:f>IF(G202="","",IFERROR(SUMIFS('05_BAO_CAO_NGAY'!$W$6:$W$505,'05_BAO_CAO_NGAY'!$K$6:$K$505,G202,'05_BAO_CAO_NGAY'!$N$6:$N$505,"PRODUCTION")/SUMIFS('05_BAO_CAO_NGAY'!$U$6:$U$505,'05_BAO_CAO_NGAY'!$K$6:$K$505,G202,'05_BAO_CAO_NGAY'!$N$6:$N$505,"PRODUCTION"),0))</x:f>
      </x:c>
      <x:c r="Y202" s="29" t="str">
        <x:f>IF(G202="","",SUMIF('05_BAO_CAO_NGAY'!$K$6:$K$505,G202,'05_BAO_CAO_NGAY'!$S$6:$S$505))</x:f>
      </x:c>
      <x:c r="Z202" s="21"/>
    </x:row>
    <x:row r="203">
      <x:c r="A203" s="21"/>
      <x:c r="B203" s="21"/>
      <x:c r="C203" s="21"/>
      <x:c r="D203" s="21"/>
      <x:c r="E203" s="21"/>
      <x:c r="F203" s="29" t="str">
        <x:f>IF(OR(B203="",C203=""),"",B203&amp;"|"&amp;C203&amp;"|"&amp;IF(D203="","00",D203)&amp;"|"&amp;IF(E203="","01",E203))</x:f>
      </x:c>
      <x:c r="G203" s="29" t="str">
        <x:f>IF(F203="","",F203&amp;"|"&amp;TEXT(A203,"000"))</x:f>
      </x:c>
      <x:c r="H203" s="21"/>
      <x:c r="I203" s="21"/>
      <x:c r="J203" s="25"/>
      <x:c r="K203" s="25"/>
      <x:c r="L203" s="25"/>
      <x:c r="M203" s="39" t="str">
        <x:f>IF(G203="","",K203+L203*J203)</x:f>
      </x:c>
      <x:c r="N203" s="35"/>
      <x:c r="O203" s="35"/>
      <x:c r="P203" s="21"/>
      <x:c r="Q203" s="21"/>
      <x:c r="R203" s="29" t="str">
        <x:f>IF(G203="","",MIN(J203,SUMIF('05_BAO_CAO_NGAY'!$K$6:$K$505,G203,'05_BAO_CAO_NGAY'!$V$6:$V$505)))</x:f>
      </x:c>
      <x:c r="S203" s="37" t="str">
        <x:f>IF(G203="","",IFERROR(R203/J203,0))</x:f>
      </x:c>
      <x:c r="T203" s="41" t="str">
        <x:f>IF(OR(G203="",COUNTIF('05_BAO_CAO_NGAY'!$K$6:$K$505,G203)=0),"",_xlfn.MINIFS('05_BAO_CAO_NGAY'!$B$6:$B$505,'05_BAO_CAO_NGAY'!$K$6:$K$505,G203))</x:f>
      </x:c>
      <x:c r="U203" s="41" t="str">
        <x:f>IF(OR(G203="",S203&lt;1),"",_xlfn.MAXIFS('05_BAO_CAO_NGAY'!$B$6:$B$505,'05_BAO_CAO_NGAY'!$K$6:$K$505,G203))</x:f>
      </x:c>
      <x:c r="V203" s="29" t="str">
        <x:f>IF(G203="","",IF(S203&gt;=1,IF(U203&lt;=O203,"Hoàn thành đúng hạn","Hoàn thành trễ"),IF(TODAY()&gt;O203,"Quá hạn",IF(R203&gt;0,"Đang thực hiện","Chưa bắt đầu"))))</x:f>
      </x:c>
      <x:c r="W203" s="37" t="str">
        <x:f>IF(G203="","",IFERROR(SUMIF('05_BAO_CAO_NGAY'!$K$6:$K$505,G203,'05_BAO_CAO_NGAY'!$AB$6:$AB$505)/SUMIF('05_BAO_CAO_NGAY'!$K$6:$K$505,G203,'05_BAO_CAO_NGAY'!$AC$6:$AC$505),0))</x:f>
      </x:c>
      <x:c r="X203" s="37" t="str">
        <x:f>IF(G203="","",IFERROR(SUMIFS('05_BAO_CAO_NGAY'!$W$6:$W$505,'05_BAO_CAO_NGAY'!$K$6:$K$505,G203,'05_BAO_CAO_NGAY'!$N$6:$N$505,"PRODUCTION")/SUMIFS('05_BAO_CAO_NGAY'!$U$6:$U$505,'05_BAO_CAO_NGAY'!$K$6:$K$505,G203,'05_BAO_CAO_NGAY'!$N$6:$N$505,"PRODUCTION"),0))</x:f>
      </x:c>
      <x:c r="Y203" s="29" t="str">
        <x:f>IF(G203="","",SUMIF('05_BAO_CAO_NGAY'!$K$6:$K$505,G203,'05_BAO_CAO_NGAY'!$S$6:$S$505))</x:f>
      </x:c>
      <x:c r="Z203" s="21"/>
    </x:row>
    <x:row r="204">
      <x:c r="A204" s="21"/>
      <x:c r="B204" s="21"/>
      <x:c r="C204" s="21"/>
      <x:c r="D204" s="21"/>
      <x:c r="E204" s="21"/>
      <x:c r="F204" s="29" t="str">
        <x:f>IF(OR(B204="",C204=""),"",B204&amp;"|"&amp;C204&amp;"|"&amp;IF(D204="","00",D204)&amp;"|"&amp;IF(E204="","01",E204))</x:f>
      </x:c>
      <x:c r="G204" s="29" t="str">
        <x:f>IF(F204="","",F204&amp;"|"&amp;TEXT(A204,"000"))</x:f>
      </x:c>
      <x:c r="H204" s="21"/>
      <x:c r="I204" s="21"/>
      <x:c r="J204" s="25"/>
      <x:c r="K204" s="25"/>
      <x:c r="L204" s="25"/>
      <x:c r="M204" s="39" t="str">
        <x:f>IF(G204="","",K204+L204*J204)</x:f>
      </x:c>
      <x:c r="N204" s="35"/>
      <x:c r="O204" s="35"/>
      <x:c r="P204" s="21"/>
      <x:c r="Q204" s="21"/>
      <x:c r="R204" s="29" t="str">
        <x:f>IF(G204="","",MIN(J204,SUMIF('05_BAO_CAO_NGAY'!$K$6:$K$505,G204,'05_BAO_CAO_NGAY'!$V$6:$V$505)))</x:f>
      </x:c>
      <x:c r="S204" s="37" t="str">
        <x:f>IF(G204="","",IFERROR(R204/J204,0))</x:f>
      </x:c>
      <x:c r="T204" s="41" t="str">
        <x:f>IF(OR(G204="",COUNTIF('05_BAO_CAO_NGAY'!$K$6:$K$505,G204)=0),"",_xlfn.MINIFS('05_BAO_CAO_NGAY'!$B$6:$B$505,'05_BAO_CAO_NGAY'!$K$6:$K$505,G204))</x:f>
      </x:c>
      <x:c r="U204" s="41" t="str">
        <x:f>IF(OR(G204="",S204&lt;1),"",_xlfn.MAXIFS('05_BAO_CAO_NGAY'!$B$6:$B$505,'05_BAO_CAO_NGAY'!$K$6:$K$505,G204))</x:f>
      </x:c>
      <x:c r="V204" s="29" t="str">
        <x:f>IF(G204="","",IF(S204&gt;=1,IF(U204&lt;=O204,"Hoàn thành đúng hạn","Hoàn thành trễ"),IF(TODAY()&gt;O204,"Quá hạn",IF(R204&gt;0,"Đang thực hiện","Chưa bắt đầu"))))</x:f>
      </x:c>
      <x:c r="W204" s="37" t="str">
        <x:f>IF(G204="","",IFERROR(SUMIF('05_BAO_CAO_NGAY'!$K$6:$K$505,G204,'05_BAO_CAO_NGAY'!$AB$6:$AB$505)/SUMIF('05_BAO_CAO_NGAY'!$K$6:$K$505,G204,'05_BAO_CAO_NGAY'!$AC$6:$AC$505),0))</x:f>
      </x:c>
      <x:c r="X204" s="37" t="str">
        <x:f>IF(G204="","",IFERROR(SUMIFS('05_BAO_CAO_NGAY'!$W$6:$W$505,'05_BAO_CAO_NGAY'!$K$6:$K$505,G204,'05_BAO_CAO_NGAY'!$N$6:$N$505,"PRODUCTION")/SUMIFS('05_BAO_CAO_NGAY'!$U$6:$U$505,'05_BAO_CAO_NGAY'!$K$6:$K$505,G204,'05_BAO_CAO_NGAY'!$N$6:$N$505,"PRODUCTION"),0))</x:f>
      </x:c>
      <x:c r="Y204" s="29" t="str">
        <x:f>IF(G204="","",SUMIF('05_BAO_CAO_NGAY'!$K$6:$K$505,G204,'05_BAO_CAO_NGAY'!$S$6:$S$505))</x:f>
      </x:c>
      <x:c r="Z204" s="21"/>
    </x:row>
    <x:row r="205">
      <x:c r="A205" s="21"/>
      <x:c r="B205" s="21"/>
      <x:c r="C205" s="21"/>
      <x:c r="D205" s="21"/>
      <x:c r="E205" s="21"/>
      <x:c r="F205" s="29" t="str">
        <x:f>IF(OR(B205="",C205=""),"",B205&amp;"|"&amp;C205&amp;"|"&amp;IF(D205="","00",D205)&amp;"|"&amp;IF(E205="","01",E205))</x:f>
      </x:c>
      <x:c r="G205" s="29" t="str">
        <x:f>IF(F205="","",F205&amp;"|"&amp;TEXT(A205,"000"))</x:f>
      </x:c>
      <x:c r="H205" s="21"/>
      <x:c r="I205" s="21"/>
      <x:c r="J205" s="25"/>
      <x:c r="K205" s="25"/>
      <x:c r="L205" s="25"/>
      <x:c r="M205" s="39" t="str">
        <x:f>IF(G205="","",K205+L205*J205)</x:f>
      </x:c>
      <x:c r="N205" s="35"/>
      <x:c r="O205" s="35"/>
      <x:c r="P205" s="21"/>
      <x:c r="Q205" s="21"/>
      <x:c r="R205" s="29" t="str">
        <x:f>IF(G205="","",MIN(J205,SUMIF('05_BAO_CAO_NGAY'!$K$6:$K$505,G205,'05_BAO_CAO_NGAY'!$V$6:$V$505)))</x:f>
      </x:c>
      <x:c r="S205" s="37" t="str">
        <x:f>IF(G205="","",IFERROR(R205/J205,0))</x:f>
      </x:c>
      <x:c r="T205" s="41" t="str">
        <x:f>IF(OR(G205="",COUNTIF('05_BAO_CAO_NGAY'!$K$6:$K$505,G205)=0),"",_xlfn.MINIFS('05_BAO_CAO_NGAY'!$B$6:$B$505,'05_BAO_CAO_NGAY'!$K$6:$K$505,G205))</x:f>
      </x:c>
      <x:c r="U205" s="41" t="str">
        <x:f>IF(OR(G205="",S205&lt;1),"",_xlfn.MAXIFS('05_BAO_CAO_NGAY'!$B$6:$B$505,'05_BAO_CAO_NGAY'!$K$6:$K$505,G205))</x:f>
      </x:c>
      <x:c r="V205" s="29" t="str">
        <x:f>IF(G205="","",IF(S205&gt;=1,IF(U205&lt;=O205,"Hoàn thành đúng hạn","Hoàn thành trễ"),IF(TODAY()&gt;O205,"Quá hạn",IF(R205&gt;0,"Đang thực hiện","Chưa bắt đầu"))))</x:f>
      </x:c>
      <x:c r="W205" s="37" t="str">
        <x:f>IF(G205="","",IFERROR(SUMIF('05_BAO_CAO_NGAY'!$K$6:$K$505,G205,'05_BAO_CAO_NGAY'!$AB$6:$AB$505)/SUMIF('05_BAO_CAO_NGAY'!$K$6:$K$505,G205,'05_BAO_CAO_NGAY'!$AC$6:$AC$505),0))</x:f>
      </x:c>
      <x:c r="X205" s="37" t="str">
        <x:f>IF(G205="","",IFERROR(SUMIFS('05_BAO_CAO_NGAY'!$W$6:$W$505,'05_BAO_CAO_NGAY'!$K$6:$K$505,G205,'05_BAO_CAO_NGAY'!$N$6:$N$505,"PRODUCTION")/SUMIFS('05_BAO_CAO_NGAY'!$U$6:$U$505,'05_BAO_CAO_NGAY'!$K$6:$K$505,G205,'05_BAO_CAO_NGAY'!$N$6:$N$505,"PRODUCTION"),0))</x:f>
      </x:c>
      <x:c r="Y205" s="29" t="str">
        <x:f>IF(G205="","",SUMIF('05_BAO_CAO_NGAY'!$K$6:$K$505,G205,'05_BAO_CAO_NGAY'!$S$6:$S$505))</x:f>
      </x:c>
      <x:c r="Z205" s="21"/>
    </x:row>
    <x:row r="206">
      <x:c r="A206" s="21"/>
      <x:c r="B206" s="21"/>
      <x:c r="C206" s="21"/>
      <x:c r="D206" s="21"/>
      <x:c r="E206" s="21"/>
      <x:c r="F206" s="29" t="str">
        <x:f>IF(OR(B206="",C206=""),"",B206&amp;"|"&amp;C206&amp;"|"&amp;IF(D206="","00",D206)&amp;"|"&amp;IF(E206="","01",E206))</x:f>
      </x:c>
      <x:c r="G206" s="29" t="str">
        <x:f>IF(F206="","",F206&amp;"|"&amp;TEXT(A206,"000"))</x:f>
      </x:c>
      <x:c r="H206" s="21"/>
      <x:c r="I206" s="21"/>
      <x:c r="J206" s="25"/>
      <x:c r="K206" s="25"/>
      <x:c r="L206" s="25"/>
      <x:c r="M206" s="39" t="str">
        <x:f>IF(G206="","",K206+L206*J206)</x:f>
      </x:c>
      <x:c r="N206" s="35"/>
      <x:c r="O206" s="35"/>
      <x:c r="P206" s="21"/>
      <x:c r="Q206" s="21"/>
      <x:c r="R206" s="29" t="str">
        <x:f>IF(G206="","",MIN(J206,SUMIF('05_BAO_CAO_NGAY'!$K$6:$K$505,G206,'05_BAO_CAO_NGAY'!$V$6:$V$505)))</x:f>
      </x:c>
      <x:c r="S206" s="37" t="str">
        <x:f>IF(G206="","",IFERROR(R206/J206,0))</x:f>
      </x:c>
      <x:c r="T206" s="41" t="str">
        <x:f>IF(OR(G206="",COUNTIF('05_BAO_CAO_NGAY'!$K$6:$K$505,G206)=0),"",_xlfn.MINIFS('05_BAO_CAO_NGAY'!$B$6:$B$505,'05_BAO_CAO_NGAY'!$K$6:$K$505,G206))</x:f>
      </x:c>
      <x:c r="U206" s="41" t="str">
        <x:f>IF(OR(G206="",S206&lt;1),"",_xlfn.MAXIFS('05_BAO_CAO_NGAY'!$B$6:$B$505,'05_BAO_CAO_NGAY'!$K$6:$K$505,G206))</x:f>
      </x:c>
      <x:c r="V206" s="29" t="str">
        <x:f>IF(G206="","",IF(S206&gt;=1,IF(U206&lt;=O206,"Hoàn thành đúng hạn","Hoàn thành trễ"),IF(TODAY()&gt;O206,"Quá hạn",IF(R206&gt;0,"Đang thực hiện","Chưa bắt đầu"))))</x:f>
      </x:c>
      <x:c r="W206" s="37" t="str">
        <x:f>IF(G206="","",IFERROR(SUMIF('05_BAO_CAO_NGAY'!$K$6:$K$505,G206,'05_BAO_CAO_NGAY'!$AB$6:$AB$505)/SUMIF('05_BAO_CAO_NGAY'!$K$6:$K$505,G206,'05_BAO_CAO_NGAY'!$AC$6:$AC$505),0))</x:f>
      </x:c>
      <x:c r="X206" s="37" t="str">
        <x:f>IF(G206="","",IFERROR(SUMIFS('05_BAO_CAO_NGAY'!$W$6:$W$505,'05_BAO_CAO_NGAY'!$K$6:$K$505,G206,'05_BAO_CAO_NGAY'!$N$6:$N$505,"PRODUCTION")/SUMIFS('05_BAO_CAO_NGAY'!$U$6:$U$505,'05_BAO_CAO_NGAY'!$K$6:$K$505,G206,'05_BAO_CAO_NGAY'!$N$6:$N$505,"PRODUCTION"),0))</x:f>
      </x:c>
      <x:c r="Y206" s="29" t="str">
        <x:f>IF(G206="","",SUMIF('05_BAO_CAO_NGAY'!$K$6:$K$505,G206,'05_BAO_CAO_NGAY'!$S$6:$S$505))</x:f>
      </x:c>
      <x:c r="Z206" s="21"/>
    </x:row>
    <x:row r="207">
      <x:c r="A207" s="21"/>
      <x:c r="B207" s="21"/>
      <x:c r="C207" s="21"/>
      <x:c r="D207" s="21"/>
      <x:c r="E207" s="21"/>
      <x:c r="F207" s="29" t="str">
        <x:f>IF(OR(B207="",C207=""),"",B207&amp;"|"&amp;C207&amp;"|"&amp;IF(D207="","00",D207)&amp;"|"&amp;IF(E207="","01",E207))</x:f>
      </x:c>
      <x:c r="G207" s="29" t="str">
        <x:f>IF(F207="","",F207&amp;"|"&amp;TEXT(A207,"000"))</x:f>
      </x:c>
      <x:c r="H207" s="21"/>
      <x:c r="I207" s="21"/>
      <x:c r="J207" s="25"/>
      <x:c r="K207" s="25"/>
      <x:c r="L207" s="25"/>
      <x:c r="M207" s="39" t="str">
        <x:f>IF(G207="","",K207+L207*J207)</x:f>
      </x:c>
      <x:c r="N207" s="35"/>
      <x:c r="O207" s="35"/>
      <x:c r="P207" s="21"/>
      <x:c r="Q207" s="21"/>
      <x:c r="R207" s="29" t="str">
        <x:f>IF(G207="","",MIN(J207,SUMIF('05_BAO_CAO_NGAY'!$K$6:$K$505,G207,'05_BAO_CAO_NGAY'!$V$6:$V$505)))</x:f>
      </x:c>
      <x:c r="S207" s="37" t="str">
        <x:f>IF(G207="","",IFERROR(R207/J207,0))</x:f>
      </x:c>
      <x:c r="T207" s="41" t="str">
        <x:f>IF(OR(G207="",COUNTIF('05_BAO_CAO_NGAY'!$K$6:$K$505,G207)=0),"",_xlfn.MINIFS('05_BAO_CAO_NGAY'!$B$6:$B$505,'05_BAO_CAO_NGAY'!$K$6:$K$505,G207))</x:f>
      </x:c>
      <x:c r="U207" s="41" t="str">
        <x:f>IF(OR(G207="",S207&lt;1),"",_xlfn.MAXIFS('05_BAO_CAO_NGAY'!$B$6:$B$505,'05_BAO_CAO_NGAY'!$K$6:$K$505,G207))</x:f>
      </x:c>
      <x:c r="V207" s="29" t="str">
        <x:f>IF(G207="","",IF(S207&gt;=1,IF(U207&lt;=O207,"Hoàn thành đúng hạn","Hoàn thành trễ"),IF(TODAY()&gt;O207,"Quá hạn",IF(R207&gt;0,"Đang thực hiện","Chưa bắt đầu"))))</x:f>
      </x:c>
      <x:c r="W207" s="37" t="str">
        <x:f>IF(G207="","",IFERROR(SUMIF('05_BAO_CAO_NGAY'!$K$6:$K$505,G207,'05_BAO_CAO_NGAY'!$AB$6:$AB$505)/SUMIF('05_BAO_CAO_NGAY'!$K$6:$K$505,G207,'05_BAO_CAO_NGAY'!$AC$6:$AC$505),0))</x:f>
      </x:c>
      <x:c r="X207" s="37" t="str">
        <x:f>IF(G207="","",IFERROR(SUMIFS('05_BAO_CAO_NGAY'!$W$6:$W$505,'05_BAO_CAO_NGAY'!$K$6:$K$505,G207,'05_BAO_CAO_NGAY'!$N$6:$N$505,"PRODUCTION")/SUMIFS('05_BAO_CAO_NGAY'!$U$6:$U$505,'05_BAO_CAO_NGAY'!$K$6:$K$505,G207,'05_BAO_CAO_NGAY'!$N$6:$N$505,"PRODUCTION"),0))</x:f>
      </x:c>
      <x:c r="Y207" s="29" t="str">
        <x:f>IF(G207="","",SUMIF('05_BAO_CAO_NGAY'!$K$6:$K$505,G207,'05_BAO_CAO_NGAY'!$S$6:$S$505))</x:f>
      </x:c>
      <x:c r="Z207" s="21"/>
    </x:row>
    <x:row r="208">
      <x:c r="A208" s="21"/>
      <x:c r="B208" s="21"/>
      <x:c r="C208" s="21"/>
      <x:c r="D208" s="21"/>
      <x:c r="E208" s="21"/>
      <x:c r="F208" s="29" t="str">
        <x:f>IF(OR(B208="",C208=""),"",B208&amp;"|"&amp;C208&amp;"|"&amp;IF(D208="","00",D208)&amp;"|"&amp;IF(E208="","01",E208))</x:f>
      </x:c>
      <x:c r="G208" s="29" t="str">
        <x:f>IF(F208="","",F208&amp;"|"&amp;TEXT(A208,"000"))</x:f>
      </x:c>
      <x:c r="H208" s="21"/>
      <x:c r="I208" s="21"/>
      <x:c r="J208" s="25"/>
      <x:c r="K208" s="25"/>
      <x:c r="L208" s="25"/>
      <x:c r="M208" s="39" t="str">
        <x:f>IF(G208="","",K208+L208*J208)</x:f>
      </x:c>
      <x:c r="N208" s="35"/>
      <x:c r="O208" s="35"/>
      <x:c r="P208" s="21"/>
      <x:c r="Q208" s="21"/>
      <x:c r="R208" s="29" t="str">
        <x:f>IF(G208="","",MIN(J208,SUMIF('05_BAO_CAO_NGAY'!$K$6:$K$505,G208,'05_BAO_CAO_NGAY'!$V$6:$V$505)))</x:f>
      </x:c>
      <x:c r="S208" s="37" t="str">
        <x:f>IF(G208="","",IFERROR(R208/J208,0))</x:f>
      </x:c>
      <x:c r="T208" s="41" t="str">
        <x:f>IF(OR(G208="",COUNTIF('05_BAO_CAO_NGAY'!$K$6:$K$505,G208)=0),"",_xlfn.MINIFS('05_BAO_CAO_NGAY'!$B$6:$B$505,'05_BAO_CAO_NGAY'!$K$6:$K$505,G208))</x:f>
      </x:c>
      <x:c r="U208" s="41" t="str">
        <x:f>IF(OR(G208="",S208&lt;1),"",_xlfn.MAXIFS('05_BAO_CAO_NGAY'!$B$6:$B$505,'05_BAO_CAO_NGAY'!$K$6:$K$505,G208))</x:f>
      </x:c>
      <x:c r="V208" s="29" t="str">
        <x:f>IF(G208="","",IF(S208&gt;=1,IF(U208&lt;=O208,"Hoàn thành đúng hạn","Hoàn thành trễ"),IF(TODAY()&gt;O208,"Quá hạn",IF(R208&gt;0,"Đang thực hiện","Chưa bắt đầu"))))</x:f>
      </x:c>
      <x:c r="W208" s="37" t="str">
        <x:f>IF(G208="","",IFERROR(SUMIF('05_BAO_CAO_NGAY'!$K$6:$K$505,G208,'05_BAO_CAO_NGAY'!$AB$6:$AB$505)/SUMIF('05_BAO_CAO_NGAY'!$K$6:$K$505,G208,'05_BAO_CAO_NGAY'!$AC$6:$AC$505),0))</x:f>
      </x:c>
      <x:c r="X208" s="37" t="str">
        <x:f>IF(G208="","",IFERROR(SUMIFS('05_BAO_CAO_NGAY'!$W$6:$W$505,'05_BAO_CAO_NGAY'!$K$6:$K$505,G208,'05_BAO_CAO_NGAY'!$N$6:$N$505,"PRODUCTION")/SUMIFS('05_BAO_CAO_NGAY'!$U$6:$U$505,'05_BAO_CAO_NGAY'!$K$6:$K$505,G208,'05_BAO_CAO_NGAY'!$N$6:$N$505,"PRODUCTION"),0))</x:f>
      </x:c>
      <x:c r="Y208" s="29" t="str">
        <x:f>IF(G208="","",SUMIF('05_BAO_CAO_NGAY'!$K$6:$K$505,G208,'05_BAO_CAO_NGAY'!$S$6:$S$505))</x:f>
      </x:c>
      <x:c r="Z208" s="21"/>
    </x:row>
    <x:row r="209">
      <x:c r="A209" s="21"/>
      <x:c r="B209" s="21"/>
      <x:c r="C209" s="21"/>
      <x:c r="D209" s="21"/>
      <x:c r="E209" s="21"/>
      <x:c r="F209" s="29" t="str">
        <x:f>IF(OR(B209="",C209=""),"",B209&amp;"|"&amp;C209&amp;"|"&amp;IF(D209="","00",D209)&amp;"|"&amp;IF(E209="","01",E209))</x:f>
      </x:c>
      <x:c r="G209" s="29" t="str">
        <x:f>IF(F209="","",F209&amp;"|"&amp;TEXT(A209,"000"))</x:f>
      </x:c>
      <x:c r="H209" s="21"/>
      <x:c r="I209" s="21"/>
      <x:c r="J209" s="25"/>
      <x:c r="K209" s="25"/>
      <x:c r="L209" s="25"/>
      <x:c r="M209" s="39" t="str">
        <x:f>IF(G209="","",K209+L209*J209)</x:f>
      </x:c>
      <x:c r="N209" s="35"/>
      <x:c r="O209" s="35"/>
      <x:c r="P209" s="21"/>
      <x:c r="Q209" s="21"/>
      <x:c r="R209" s="29" t="str">
        <x:f>IF(G209="","",MIN(J209,SUMIF('05_BAO_CAO_NGAY'!$K$6:$K$505,G209,'05_BAO_CAO_NGAY'!$V$6:$V$505)))</x:f>
      </x:c>
      <x:c r="S209" s="37" t="str">
        <x:f>IF(G209="","",IFERROR(R209/J209,0))</x:f>
      </x:c>
      <x:c r="T209" s="41" t="str">
        <x:f>IF(OR(G209="",COUNTIF('05_BAO_CAO_NGAY'!$K$6:$K$505,G209)=0),"",_xlfn.MINIFS('05_BAO_CAO_NGAY'!$B$6:$B$505,'05_BAO_CAO_NGAY'!$K$6:$K$505,G209))</x:f>
      </x:c>
      <x:c r="U209" s="41" t="str">
        <x:f>IF(OR(G209="",S209&lt;1),"",_xlfn.MAXIFS('05_BAO_CAO_NGAY'!$B$6:$B$505,'05_BAO_CAO_NGAY'!$K$6:$K$505,G209))</x:f>
      </x:c>
      <x:c r="V209" s="29" t="str">
        <x:f>IF(G209="","",IF(S209&gt;=1,IF(U209&lt;=O209,"Hoàn thành đúng hạn","Hoàn thành trễ"),IF(TODAY()&gt;O209,"Quá hạn",IF(R209&gt;0,"Đang thực hiện","Chưa bắt đầu"))))</x:f>
      </x:c>
      <x:c r="W209" s="37" t="str">
        <x:f>IF(G209="","",IFERROR(SUMIF('05_BAO_CAO_NGAY'!$K$6:$K$505,G209,'05_BAO_CAO_NGAY'!$AB$6:$AB$505)/SUMIF('05_BAO_CAO_NGAY'!$K$6:$K$505,G209,'05_BAO_CAO_NGAY'!$AC$6:$AC$505),0))</x:f>
      </x:c>
      <x:c r="X209" s="37" t="str">
        <x:f>IF(G209="","",IFERROR(SUMIFS('05_BAO_CAO_NGAY'!$W$6:$W$505,'05_BAO_CAO_NGAY'!$K$6:$K$505,G209,'05_BAO_CAO_NGAY'!$N$6:$N$505,"PRODUCTION")/SUMIFS('05_BAO_CAO_NGAY'!$U$6:$U$505,'05_BAO_CAO_NGAY'!$K$6:$K$505,G209,'05_BAO_CAO_NGAY'!$N$6:$N$505,"PRODUCTION"),0))</x:f>
      </x:c>
      <x:c r="Y209" s="29" t="str">
        <x:f>IF(G209="","",SUMIF('05_BAO_CAO_NGAY'!$K$6:$K$505,G209,'05_BAO_CAO_NGAY'!$S$6:$S$505))</x:f>
      </x:c>
      <x:c r="Z209" s="21"/>
    </x:row>
    <x:row r="210">
      <x:c r="A210" s="21"/>
      <x:c r="B210" s="21"/>
      <x:c r="C210" s="21"/>
      <x:c r="D210" s="21"/>
      <x:c r="E210" s="21"/>
      <x:c r="F210" s="29" t="str">
        <x:f>IF(OR(B210="",C210=""),"",B210&amp;"|"&amp;C210&amp;"|"&amp;IF(D210="","00",D210)&amp;"|"&amp;IF(E210="","01",E210))</x:f>
      </x:c>
      <x:c r="G210" s="29" t="str">
        <x:f>IF(F210="","",F210&amp;"|"&amp;TEXT(A210,"000"))</x:f>
      </x:c>
      <x:c r="H210" s="21"/>
      <x:c r="I210" s="21"/>
      <x:c r="J210" s="25"/>
      <x:c r="K210" s="25"/>
      <x:c r="L210" s="25"/>
      <x:c r="M210" s="39" t="str">
        <x:f>IF(G210="","",K210+L210*J210)</x:f>
      </x:c>
      <x:c r="N210" s="35"/>
      <x:c r="O210" s="35"/>
      <x:c r="P210" s="21"/>
      <x:c r="Q210" s="21"/>
      <x:c r="R210" s="29" t="str">
        <x:f>IF(G210="","",MIN(J210,SUMIF('05_BAO_CAO_NGAY'!$K$6:$K$505,G210,'05_BAO_CAO_NGAY'!$V$6:$V$505)))</x:f>
      </x:c>
      <x:c r="S210" s="37" t="str">
        <x:f>IF(G210="","",IFERROR(R210/J210,0))</x:f>
      </x:c>
      <x:c r="T210" s="41" t="str">
        <x:f>IF(OR(G210="",COUNTIF('05_BAO_CAO_NGAY'!$K$6:$K$505,G210)=0),"",_xlfn.MINIFS('05_BAO_CAO_NGAY'!$B$6:$B$505,'05_BAO_CAO_NGAY'!$K$6:$K$505,G210))</x:f>
      </x:c>
      <x:c r="U210" s="41" t="str">
        <x:f>IF(OR(G210="",S210&lt;1),"",_xlfn.MAXIFS('05_BAO_CAO_NGAY'!$B$6:$B$505,'05_BAO_CAO_NGAY'!$K$6:$K$505,G210))</x:f>
      </x:c>
      <x:c r="V210" s="29" t="str">
        <x:f>IF(G210="","",IF(S210&gt;=1,IF(U210&lt;=O210,"Hoàn thành đúng hạn","Hoàn thành trễ"),IF(TODAY()&gt;O210,"Quá hạn",IF(R210&gt;0,"Đang thực hiện","Chưa bắt đầu"))))</x:f>
      </x:c>
      <x:c r="W210" s="37" t="str">
        <x:f>IF(G210="","",IFERROR(SUMIF('05_BAO_CAO_NGAY'!$K$6:$K$505,G210,'05_BAO_CAO_NGAY'!$AB$6:$AB$505)/SUMIF('05_BAO_CAO_NGAY'!$K$6:$K$505,G210,'05_BAO_CAO_NGAY'!$AC$6:$AC$505),0))</x:f>
      </x:c>
      <x:c r="X210" s="37" t="str">
        <x:f>IF(G210="","",IFERROR(SUMIFS('05_BAO_CAO_NGAY'!$W$6:$W$505,'05_BAO_CAO_NGAY'!$K$6:$K$505,G210,'05_BAO_CAO_NGAY'!$N$6:$N$505,"PRODUCTION")/SUMIFS('05_BAO_CAO_NGAY'!$U$6:$U$505,'05_BAO_CAO_NGAY'!$K$6:$K$505,G210,'05_BAO_CAO_NGAY'!$N$6:$N$505,"PRODUCTION"),0))</x:f>
      </x:c>
      <x:c r="Y210" s="29" t="str">
        <x:f>IF(G210="","",SUMIF('05_BAO_CAO_NGAY'!$K$6:$K$505,G210,'05_BAO_CAO_NGAY'!$S$6:$S$505))</x:f>
      </x:c>
      <x:c r="Z210" s="21"/>
    </x:row>
    <x:row r="211">
      <x:c r="A211" s="21"/>
      <x:c r="B211" s="21"/>
      <x:c r="C211" s="21"/>
      <x:c r="D211" s="21"/>
      <x:c r="E211" s="21"/>
      <x:c r="F211" s="29" t="str">
        <x:f>IF(OR(B211="",C211=""),"",B211&amp;"|"&amp;C211&amp;"|"&amp;IF(D211="","00",D211)&amp;"|"&amp;IF(E211="","01",E211))</x:f>
      </x:c>
      <x:c r="G211" s="29" t="str">
        <x:f>IF(F211="","",F211&amp;"|"&amp;TEXT(A211,"000"))</x:f>
      </x:c>
      <x:c r="H211" s="21"/>
      <x:c r="I211" s="21"/>
      <x:c r="J211" s="25"/>
      <x:c r="K211" s="25"/>
      <x:c r="L211" s="25"/>
      <x:c r="M211" s="39" t="str">
        <x:f>IF(G211="","",K211+L211*J211)</x:f>
      </x:c>
      <x:c r="N211" s="35"/>
      <x:c r="O211" s="35"/>
      <x:c r="P211" s="21"/>
      <x:c r="Q211" s="21"/>
      <x:c r="R211" s="29" t="str">
        <x:f>IF(G211="","",MIN(J211,SUMIF('05_BAO_CAO_NGAY'!$K$6:$K$505,G211,'05_BAO_CAO_NGAY'!$V$6:$V$505)))</x:f>
      </x:c>
      <x:c r="S211" s="37" t="str">
        <x:f>IF(G211="","",IFERROR(R211/J211,0))</x:f>
      </x:c>
      <x:c r="T211" s="41" t="str">
        <x:f>IF(OR(G211="",COUNTIF('05_BAO_CAO_NGAY'!$K$6:$K$505,G211)=0),"",_xlfn.MINIFS('05_BAO_CAO_NGAY'!$B$6:$B$505,'05_BAO_CAO_NGAY'!$K$6:$K$505,G211))</x:f>
      </x:c>
      <x:c r="U211" s="41" t="str">
        <x:f>IF(OR(G211="",S211&lt;1),"",_xlfn.MAXIFS('05_BAO_CAO_NGAY'!$B$6:$B$505,'05_BAO_CAO_NGAY'!$K$6:$K$505,G211))</x:f>
      </x:c>
      <x:c r="V211" s="29" t="str">
        <x:f>IF(G211="","",IF(S211&gt;=1,IF(U211&lt;=O211,"Hoàn thành đúng hạn","Hoàn thành trễ"),IF(TODAY()&gt;O211,"Quá hạn",IF(R211&gt;0,"Đang thực hiện","Chưa bắt đầu"))))</x:f>
      </x:c>
      <x:c r="W211" s="37" t="str">
        <x:f>IF(G211="","",IFERROR(SUMIF('05_BAO_CAO_NGAY'!$K$6:$K$505,G211,'05_BAO_CAO_NGAY'!$AB$6:$AB$505)/SUMIF('05_BAO_CAO_NGAY'!$K$6:$K$505,G211,'05_BAO_CAO_NGAY'!$AC$6:$AC$505),0))</x:f>
      </x:c>
      <x:c r="X211" s="37" t="str">
        <x:f>IF(G211="","",IFERROR(SUMIFS('05_BAO_CAO_NGAY'!$W$6:$W$505,'05_BAO_CAO_NGAY'!$K$6:$K$505,G211,'05_BAO_CAO_NGAY'!$N$6:$N$505,"PRODUCTION")/SUMIFS('05_BAO_CAO_NGAY'!$U$6:$U$505,'05_BAO_CAO_NGAY'!$K$6:$K$505,G211,'05_BAO_CAO_NGAY'!$N$6:$N$505,"PRODUCTION"),0))</x:f>
      </x:c>
      <x:c r="Y211" s="29" t="str">
        <x:f>IF(G211="","",SUMIF('05_BAO_CAO_NGAY'!$K$6:$K$505,G211,'05_BAO_CAO_NGAY'!$S$6:$S$505))</x:f>
      </x:c>
      <x:c r="Z211" s="21"/>
    </x:row>
    <x:row r="212">
      <x:c r="A212" s="21"/>
      <x:c r="B212" s="21"/>
      <x:c r="C212" s="21"/>
      <x:c r="D212" s="21"/>
      <x:c r="E212" s="21"/>
      <x:c r="F212" s="29" t="str">
        <x:f>IF(OR(B212="",C212=""),"",B212&amp;"|"&amp;C212&amp;"|"&amp;IF(D212="","00",D212)&amp;"|"&amp;IF(E212="","01",E212))</x:f>
      </x:c>
      <x:c r="G212" s="29" t="str">
        <x:f>IF(F212="","",F212&amp;"|"&amp;TEXT(A212,"000"))</x:f>
      </x:c>
      <x:c r="H212" s="21"/>
      <x:c r="I212" s="21"/>
      <x:c r="J212" s="25"/>
      <x:c r="K212" s="25"/>
      <x:c r="L212" s="25"/>
      <x:c r="M212" s="39" t="str">
        <x:f>IF(G212="","",K212+L212*J212)</x:f>
      </x:c>
      <x:c r="N212" s="35"/>
      <x:c r="O212" s="35"/>
      <x:c r="P212" s="21"/>
      <x:c r="Q212" s="21"/>
      <x:c r="R212" s="29" t="str">
        <x:f>IF(G212="","",MIN(J212,SUMIF('05_BAO_CAO_NGAY'!$K$6:$K$505,G212,'05_BAO_CAO_NGAY'!$V$6:$V$505)))</x:f>
      </x:c>
      <x:c r="S212" s="37" t="str">
        <x:f>IF(G212="","",IFERROR(R212/J212,0))</x:f>
      </x:c>
      <x:c r="T212" s="41" t="str">
        <x:f>IF(OR(G212="",COUNTIF('05_BAO_CAO_NGAY'!$K$6:$K$505,G212)=0),"",_xlfn.MINIFS('05_BAO_CAO_NGAY'!$B$6:$B$505,'05_BAO_CAO_NGAY'!$K$6:$K$505,G212))</x:f>
      </x:c>
      <x:c r="U212" s="41" t="str">
        <x:f>IF(OR(G212="",S212&lt;1),"",_xlfn.MAXIFS('05_BAO_CAO_NGAY'!$B$6:$B$505,'05_BAO_CAO_NGAY'!$K$6:$K$505,G212))</x:f>
      </x:c>
      <x:c r="V212" s="29" t="str">
        <x:f>IF(G212="","",IF(S212&gt;=1,IF(U212&lt;=O212,"Hoàn thành đúng hạn","Hoàn thành trễ"),IF(TODAY()&gt;O212,"Quá hạn",IF(R212&gt;0,"Đang thực hiện","Chưa bắt đầu"))))</x:f>
      </x:c>
      <x:c r="W212" s="37" t="str">
        <x:f>IF(G212="","",IFERROR(SUMIF('05_BAO_CAO_NGAY'!$K$6:$K$505,G212,'05_BAO_CAO_NGAY'!$AB$6:$AB$505)/SUMIF('05_BAO_CAO_NGAY'!$K$6:$K$505,G212,'05_BAO_CAO_NGAY'!$AC$6:$AC$505),0))</x:f>
      </x:c>
      <x:c r="X212" s="37" t="str">
        <x:f>IF(G212="","",IFERROR(SUMIFS('05_BAO_CAO_NGAY'!$W$6:$W$505,'05_BAO_CAO_NGAY'!$K$6:$K$505,G212,'05_BAO_CAO_NGAY'!$N$6:$N$505,"PRODUCTION")/SUMIFS('05_BAO_CAO_NGAY'!$U$6:$U$505,'05_BAO_CAO_NGAY'!$K$6:$K$505,G212,'05_BAO_CAO_NGAY'!$N$6:$N$505,"PRODUCTION"),0))</x:f>
      </x:c>
      <x:c r="Y212" s="29" t="str">
        <x:f>IF(G212="","",SUMIF('05_BAO_CAO_NGAY'!$K$6:$K$505,G212,'05_BAO_CAO_NGAY'!$S$6:$S$505))</x:f>
      </x:c>
      <x:c r="Z212" s="21"/>
    </x:row>
    <x:row r="213">
      <x:c r="A213" s="21"/>
      <x:c r="B213" s="21"/>
      <x:c r="C213" s="21"/>
      <x:c r="D213" s="21"/>
      <x:c r="E213" s="21"/>
      <x:c r="F213" s="29" t="str">
        <x:f>IF(OR(B213="",C213=""),"",B213&amp;"|"&amp;C213&amp;"|"&amp;IF(D213="","00",D213)&amp;"|"&amp;IF(E213="","01",E213))</x:f>
      </x:c>
      <x:c r="G213" s="29" t="str">
        <x:f>IF(F213="","",F213&amp;"|"&amp;TEXT(A213,"000"))</x:f>
      </x:c>
      <x:c r="H213" s="21"/>
      <x:c r="I213" s="21"/>
      <x:c r="J213" s="25"/>
      <x:c r="K213" s="25"/>
      <x:c r="L213" s="25"/>
      <x:c r="M213" s="39" t="str">
        <x:f>IF(G213="","",K213+L213*J213)</x:f>
      </x:c>
      <x:c r="N213" s="35"/>
      <x:c r="O213" s="35"/>
      <x:c r="P213" s="21"/>
      <x:c r="Q213" s="21"/>
      <x:c r="R213" s="29" t="str">
        <x:f>IF(G213="","",MIN(J213,SUMIF('05_BAO_CAO_NGAY'!$K$6:$K$505,G213,'05_BAO_CAO_NGAY'!$V$6:$V$505)))</x:f>
      </x:c>
      <x:c r="S213" s="37" t="str">
        <x:f>IF(G213="","",IFERROR(R213/J213,0))</x:f>
      </x:c>
      <x:c r="T213" s="41" t="str">
        <x:f>IF(OR(G213="",COUNTIF('05_BAO_CAO_NGAY'!$K$6:$K$505,G213)=0),"",_xlfn.MINIFS('05_BAO_CAO_NGAY'!$B$6:$B$505,'05_BAO_CAO_NGAY'!$K$6:$K$505,G213))</x:f>
      </x:c>
      <x:c r="U213" s="41" t="str">
        <x:f>IF(OR(G213="",S213&lt;1),"",_xlfn.MAXIFS('05_BAO_CAO_NGAY'!$B$6:$B$505,'05_BAO_CAO_NGAY'!$K$6:$K$505,G213))</x:f>
      </x:c>
      <x:c r="V213" s="29" t="str">
        <x:f>IF(G213="","",IF(S213&gt;=1,IF(U213&lt;=O213,"Hoàn thành đúng hạn","Hoàn thành trễ"),IF(TODAY()&gt;O213,"Quá hạn",IF(R213&gt;0,"Đang thực hiện","Chưa bắt đầu"))))</x:f>
      </x:c>
      <x:c r="W213" s="37" t="str">
        <x:f>IF(G213="","",IFERROR(SUMIF('05_BAO_CAO_NGAY'!$K$6:$K$505,G213,'05_BAO_CAO_NGAY'!$AB$6:$AB$505)/SUMIF('05_BAO_CAO_NGAY'!$K$6:$K$505,G213,'05_BAO_CAO_NGAY'!$AC$6:$AC$505),0))</x:f>
      </x:c>
      <x:c r="X213" s="37" t="str">
        <x:f>IF(G213="","",IFERROR(SUMIFS('05_BAO_CAO_NGAY'!$W$6:$W$505,'05_BAO_CAO_NGAY'!$K$6:$K$505,G213,'05_BAO_CAO_NGAY'!$N$6:$N$505,"PRODUCTION")/SUMIFS('05_BAO_CAO_NGAY'!$U$6:$U$505,'05_BAO_CAO_NGAY'!$K$6:$K$505,G213,'05_BAO_CAO_NGAY'!$N$6:$N$505,"PRODUCTION"),0))</x:f>
      </x:c>
      <x:c r="Y213" s="29" t="str">
        <x:f>IF(G213="","",SUMIF('05_BAO_CAO_NGAY'!$K$6:$K$505,G213,'05_BAO_CAO_NGAY'!$S$6:$S$505))</x:f>
      </x:c>
      <x:c r="Z213" s="21"/>
    </x:row>
    <x:row r="214">
      <x:c r="A214" s="21"/>
      <x:c r="B214" s="21"/>
      <x:c r="C214" s="21"/>
      <x:c r="D214" s="21"/>
      <x:c r="E214" s="21"/>
      <x:c r="F214" s="29" t="str">
        <x:f>IF(OR(B214="",C214=""),"",B214&amp;"|"&amp;C214&amp;"|"&amp;IF(D214="","00",D214)&amp;"|"&amp;IF(E214="","01",E214))</x:f>
      </x:c>
      <x:c r="G214" s="29" t="str">
        <x:f>IF(F214="","",F214&amp;"|"&amp;TEXT(A214,"000"))</x:f>
      </x:c>
      <x:c r="H214" s="21"/>
      <x:c r="I214" s="21"/>
      <x:c r="J214" s="25"/>
      <x:c r="K214" s="25"/>
      <x:c r="L214" s="25"/>
      <x:c r="M214" s="39" t="str">
        <x:f>IF(G214="","",K214+L214*J214)</x:f>
      </x:c>
      <x:c r="N214" s="35"/>
      <x:c r="O214" s="35"/>
      <x:c r="P214" s="21"/>
      <x:c r="Q214" s="21"/>
      <x:c r="R214" s="29" t="str">
        <x:f>IF(G214="","",MIN(J214,SUMIF('05_BAO_CAO_NGAY'!$K$6:$K$505,G214,'05_BAO_CAO_NGAY'!$V$6:$V$505)))</x:f>
      </x:c>
      <x:c r="S214" s="37" t="str">
        <x:f>IF(G214="","",IFERROR(R214/J214,0))</x:f>
      </x:c>
      <x:c r="T214" s="41" t="str">
        <x:f>IF(OR(G214="",COUNTIF('05_BAO_CAO_NGAY'!$K$6:$K$505,G214)=0),"",_xlfn.MINIFS('05_BAO_CAO_NGAY'!$B$6:$B$505,'05_BAO_CAO_NGAY'!$K$6:$K$505,G214))</x:f>
      </x:c>
      <x:c r="U214" s="41" t="str">
        <x:f>IF(OR(G214="",S214&lt;1),"",_xlfn.MAXIFS('05_BAO_CAO_NGAY'!$B$6:$B$505,'05_BAO_CAO_NGAY'!$K$6:$K$505,G214))</x:f>
      </x:c>
      <x:c r="V214" s="29" t="str">
        <x:f>IF(G214="","",IF(S214&gt;=1,IF(U214&lt;=O214,"Hoàn thành đúng hạn","Hoàn thành trễ"),IF(TODAY()&gt;O214,"Quá hạn",IF(R214&gt;0,"Đang thực hiện","Chưa bắt đầu"))))</x:f>
      </x:c>
      <x:c r="W214" s="37" t="str">
        <x:f>IF(G214="","",IFERROR(SUMIF('05_BAO_CAO_NGAY'!$K$6:$K$505,G214,'05_BAO_CAO_NGAY'!$AB$6:$AB$505)/SUMIF('05_BAO_CAO_NGAY'!$K$6:$K$505,G214,'05_BAO_CAO_NGAY'!$AC$6:$AC$505),0))</x:f>
      </x:c>
      <x:c r="X214" s="37" t="str">
        <x:f>IF(G214="","",IFERROR(SUMIFS('05_BAO_CAO_NGAY'!$W$6:$W$505,'05_BAO_CAO_NGAY'!$K$6:$K$505,G214,'05_BAO_CAO_NGAY'!$N$6:$N$505,"PRODUCTION")/SUMIFS('05_BAO_CAO_NGAY'!$U$6:$U$505,'05_BAO_CAO_NGAY'!$K$6:$K$505,G214,'05_BAO_CAO_NGAY'!$N$6:$N$505,"PRODUCTION"),0))</x:f>
      </x:c>
      <x:c r="Y214" s="29" t="str">
        <x:f>IF(G214="","",SUMIF('05_BAO_CAO_NGAY'!$K$6:$K$505,G214,'05_BAO_CAO_NGAY'!$S$6:$S$505))</x:f>
      </x:c>
      <x:c r="Z214" s="21"/>
    </x:row>
    <x:row r="215">
      <x:c r="A215" s="21"/>
      <x:c r="B215" s="21"/>
      <x:c r="C215" s="21"/>
      <x:c r="D215" s="21"/>
      <x:c r="E215" s="21"/>
      <x:c r="F215" s="29" t="str">
        <x:f>IF(OR(B215="",C215=""),"",B215&amp;"|"&amp;C215&amp;"|"&amp;IF(D215="","00",D215)&amp;"|"&amp;IF(E215="","01",E215))</x:f>
      </x:c>
      <x:c r="G215" s="29" t="str">
        <x:f>IF(F215="","",F215&amp;"|"&amp;TEXT(A215,"000"))</x:f>
      </x:c>
      <x:c r="H215" s="21"/>
      <x:c r="I215" s="21"/>
      <x:c r="J215" s="25"/>
      <x:c r="K215" s="25"/>
      <x:c r="L215" s="25"/>
      <x:c r="M215" s="39" t="str">
        <x:f>IF(G215="","",K215+L215*J215)</x:f>
      </x:c>
      <x:c r="N215" s="35"/>
      <x:c r="O215" s="35"/>
      <x:c r="P215" s="21"/>
      <x:c r="Q215" s="21"/>
      <x:c r="R215" s="29" t="str">
        <x:f>IF(G215="","",MIN(J215,SUMIF('05_BAO_CAO_NGAY'!$K$6:$K$505,G215,'05_BAO_CAO_NGAY'!$V$6:$V$505)))</x:f>
      </x:c>
      <x:c r="S215" s="37" t="str">
        <x:f>IF(G215="","",IFERROR(R215/J215,0))</x:f>
      </x:c>
      <x:c r="T215" s="41" t="str">
        <x:f>IF(OR(G215="",COUNTIF('05_BAO_CAO_NGAY'!$K$6:$K$505,G215)=0),"",_xlfn.MINIFS('05_BAO_CAO_NGAY'!$B$6:$B$505,'05_BAO_CAO_NGAY'!$K$6:$K$505,G215))</x:f>
      </x:c>
      <x:c r="U215" s="41" t="str">
        <x:f>IF(OR(G215="",S215&lt;1),"",_xlfn.MAXIFS('05_BAO_CAO_NGAY'!$B$6:$B$505,'05_BAO_CAO_NGAY'!$K$6:$K$505,G215))</x:f>
      </x:c>
      <x:c r="V215" s="29" t="str">
        <x:f>IF(G215="","",IF(S215&gt;=1,IF(U215&lt;=O215,"Hoàn thành đúng hạn","Hoàn thành trễ"),IF(TODAY()&gt;O215,"Quá hạn",IF(R215&gt;0,"Đang thực hiện","Chưa bắt đầu"))))</x:f>
      </x:c>
      <x:c r="W215" s="37" t="str">
        <x:f>IF(G215="","",IFERROR(SUMIF('05_BAO_CAO_NGAY'!$K$6:$K$505,G215,'05_BAO_CAO_NGAY'!$AB$6:$AB$505)/SUMIF('05_BAO_CAO_NGAY'!$K$6:$K$505,G215,'05_BAO_CAO_NGAY'!$AC$6:$AC$505),0))</x:f>
      </x:c>
      <x:c r="X215" s="37" t="str">
        <x:f>IF(G215="","",IFERROR(SUMIFS('05_BAO_CAO_NGAY'!$W$6:$W$505,'05_BAO_CAO_NGAY'!$K$6:$K$505,G215,'05_BAO_CAO_NGAY'!$N$6:$N$505,"PRODUCTION")/SUMIFS('05_BAO_CAO_NGAY'!$U$6:$U$505,'05_BAO_CAO_NGAY'!$K$6:$K$505,G215,'05_BAO_CAO_NGAY'!$N$6:$N$505,"PRODUCTION"),0))</x:f>
      </x:c>
      <x:c r="Y215" s="29" t="str">
        <x:f>IF(G215="","",SUMIF('05_BAO_CAO_NGAY'!$K$6:$K$505,G215,'05_BAO_CAO_NGAY'!$S$6:$S$505))</x:f>
      </x:c>
      <x:c r="Z215" s="21"/>
    </x:row>
    <x:row r="216">
      <x:c r="A216" s="21"/>
      <x:c r="B216" s="21"/>
      <x:c r="C216" s="21"/>
      <x:c r="D216" s="21"/>
      <x:c r="E216" s="21"/>
      <x:c r="F216" s="29" t="str">
        <x:f>IF(OR(B216="",C216=""),"",B216&amp;"|"&amp;C216&amp;"|"&amp;IF(D216="","00",D216)&amp;"|"&amp;IF(E216="","01",E216))</x:f>
      </x:c>
      <x:c r="G216" s="29" t="str">
        <x:f>IF(F216="","",F216&amp;"|"&amp;TEXT(A216,"000"))</x:f>
      </x:c>
      <x:c r="H216" s="21"/>
      <x:c r="I216" s="21"/>
      <x:c r="J216" s="25"/>
      <x:c r="K216" s="25"/>
      <x:c r="L216" s="25"/>
      <x:c r="M216" s="39" t="str">
        <x:f>IF(G216="","",K216+L216*J216)</x:f>
      </x:c>
      <x:c r="N216" s="35"/>
      <x:c r="O216" s="35"/>
      <x:c r="P216" s="21"/>
      <x:c r="Q216" s="21"/>
      <x:c r="R216" s="29" t="str">
        <x:f>IF(G216="","",MIN(J216,SUMIF('05_BAO_CAO_NGAY'!$K$6:$K$505,G216,'05_BAO_CAO_NGAY'!$V$6:$V$505)))</x:f>
      </x:c>
      <x:c r="S216" s="37" t="str">
        <x:f>IF(G216="","",IFERROR(R216/J216,0))</x:f>
      </x:c>
      <x:c r="T216" s="41" t="str">
        <x:f>IF(OR(G216="",COUNTIF('05_BAO_CAO_NGAY'!$K$6:$K$505,G216)=0),"",_xlfn.MINIFS('05_BAO_CAO_NGAY'!$B$6:$B$505,'05_BAO_CAO_NGAY'!$K$6:$K$505,G216))</x:f>
      </x:c>
      <x:c r="U216" s="41" t="str">
        <x:f>IF(OR(G216="",S216&lt;1),"",_xlfn.MAXIFS('05_BAO_CAO_NGAY'!$B$6:$B$505,'05_BAO_CAO_NGAY'!$K$6:$K$505,G216))</x:f>
      </x:c>
      <x:c r="V216" s="29" t="str">
        <x:f>IF(G216="","",IF(S216&gt;=1,IF(U216&lt;=O216,"Hoàn thành đúng hạn","Hoàn thành trễ"),IF(TODAY()&gt;O216,"Quá hạn",IF(R216&gt;0,"Đang thực hiện","Chưa bắt đầu"))))</x:f>
      </x:c>
      <x:c r="W216" s="37" t="str">
        <x:f>IF(G216="","",IFERROR(SUMIF('05_BAO_CAO_NGAY'!$K$6:$K$505,G216,'05_BAO_CAO_NGAY'!$AB$6:$AB$505)/SUMIF('05_BAO_CAO_NGAY'!$K$6:$K$505,G216,'05_BAO_CAO_NGAY'!$AC$6:$AC$505),0))</x:f>
      </x:c>
      <x:c r="X216" s="37" t="str">
        <x:f>IF(G216="","",IFERROR(SUMIFS('05_BAO_CAO_NGAY'!$W$6:$W$505,'05_BAO_CAO_NGAY'!$K$6:$K$505,G216,'05_BAO_CAO_NGAY'!$N$6:$N$505,"PRODUCTION")/SUMIFS('05_BAO_CAO_NGAY'!$U$6:$U$505,'05_BAO_CAO_NGAY'!$K$6:$K$505,G216,'05_BAO_CAO_NGAY'!$N$6:$N$505,"PRODUCTION"),0))</x:f>
      </x:c>
      <x:c r="Y216" s="29" t="str">
        <x:f>IF(G216="","",SUMIF('05_BAO_CAO_NGAY'!$K$6:$K$505,G216,'05_BAO_CAO_NGAY'!$S$6:$S$505))</x:f>
      </x:c>
      <x:c r="Z216" s="21"/>
    </x:row>
    <x:row r="217">
      <x:c r="A217" s="21"/>
      <x:c r="B217" s="21"/>
      <x:c r="C217" s="21"/>
      <x:c r="D217" s="21"/>
      <x:c r="E217" s="21"/>
      <x:c r="F217" s="29" t="str">
        <x:f>IF(OR(B217="",C217=""),"",B217&amp;"|"&amp;C217&amp;"|"&amp;IF(D217="","00",D217)&amp;"|"&amp;IF(E217="","01",E217))</x:f>
      </x:c>
      <x:c r="G217" s="29" t="str">
        <x:f>IF(F217="","",F217&amp;"|"&amp;TEXT(A217,"000"))</x:f>
      </x:c>
      <x:c r="H217" s="21"/>
      <x:c r="I217" s="21"/>
      <x:c r="J217" s="25"/>
      <x:c r="K217" s="25"/>
      <x:c r="L217" s="25"/>
      <x:c r="M217" s="39" t="str">
        <x:f>IF(G217="","",K217+L217*J217)</x:f>
      </x:c>
      <x:c r="N217" s="35"/>
      <x:c r="O217" s="35"/>
      <x:c r="P217" s="21"/>
      <x:c r="Q217" s="21"/>
      <x:c r="R217" s="29" t="str">
        <x:f>IF(G217="","",MIN(J217,SUMIF('05_BAO_CAO_NGAY'!$K$6:$K$505,G217,'05_BAO_CAO_NGAY'!$V$6:$V$505)))</x:f>
      </x:c>
      <x:c r="S217" s="37" t="str">
        <x:f>IF(G217="","",IFERROR(R217/J217,0))</x:f>
      </x:c>
      <x:c r="T217" s="41" t="str">
        <x:f>IF(OR(G217="",COUNTIF('05_BAO_CAO_NGAY'!$K$6:$K$505,G217)=0),"",_xlfn.MINIFS('05_BAO_CAO_NGAY'!$B$6:$B$505,'05_BAO_CAO_NGAY'!$K$6:$K$505,G217))</x:f>
      </x:c>
      <x:c r="U217" s="41" t="str">
        <x:f>IF(OR(G217="",S217&lt;1),"",_xlfn.MAXIFS('05_BAO_CAO_NGAY'!$B$6:$B$505,'05_BAO_CAO_NGAY'!$K$6:$K$505,G217))</x:f>
      </x:c>
      <x:c r="V217" s="29" t="str">
        <x:f>IF(G217="","",IF(S217&gt;=1,IF(U217&lt;=O217,"Hoàn thành đúng hạn","Hoàn thành trễ"),IF(TODAY()&gt;O217,"Quá hạn",IF(R217&gt;0,"Đang thực hiện","Chưa bắt đầu"))))</x:f>
      </x:c>
      <x:c r="W217" s="37" t="str">
        <x:f>IF(G217="","",IFERROR(SUMIF('05_BAO_CAO_NGAY'!$K$6:$K$505,G217,'05_BAO_CAO_NGAY'!$AB$6:$AB$505)/SUMIF('05_BAO_CAO_NGAY'!$K$6:$K$505,G217,'05_BAO_CAO_NGAY'!$AC$6:$AC$505),0))</x:f>
      </x:c>
      <x:c r="X217" s="37" t="str">
        <x:f>IF(G217="","",IFERROR(SUMIFS('05_BAO_CAO_NGAY'!$W$6:$W$505,'05_BAO_CAO_NGAY'!$K$6:$K$505,G217,'05_BAO_CAO_NGAY'!$N$6:$N$505,"PRODUCTION")/SUMIFS('05_BAO_CAO_NGAY'!$U$6:$U$505,'05_BAO_CAO_NGAY'!$K$6:$K$505,G217,'05_BAO_CAO_NGAY'!$N$6:$N$505,"PRODUCTION"),0))</x:f>
      </x:c>
      <x:c r="Y217" s="29" t="str">
        <x:f>IF(G217="","",SUMIF('05_BAO_CAO_NGAY'!$K$6:$K$505,G217,'05_BAO_CAO_NGAY'!$S$6:$S$505))</x:f>
      </x:c>
      <x:c r="Z217" s="21"/>
    </x:row>
    <x:row r="218">
      <x:c r="A218" s="21"/>
      <x:c r="B218" s="21"/>
      <x:c r="C218" s="21"/>
      <x:c r="D218" s="21"/>
      <x:c r="E218" s="21"/>
      <x:c r="F218" s="29" t="str">
        <x:f>IF(OR(B218="",C218=""),"",B218&amp;"|"&amp;C218&amp;"|"&amp;IF(D218="","00",D218)&amp;"|"&amp;IF(E218="","01",E218))</x:f>
      </x:c>
      <x:c r="G218" s="29" t="str">
        <x:f>IF(F218="","",F218&amp;"|"&amp;TEXT(A218,"000"))</x:f>
      </x:c>
      <x:c r="H218" s="21"/>
      <x:c r="I218" s="21"/>
      <x:c r="J218" s="25"/>
      <x:c r="K218" s="25"/>
      <x:c r="L218" s="25"/>
      <x:c r="M218" s="39" t="str">
        <x:f>IF(G218="","",K218+L218*J218)</x:f>
      </x:c>
      <x:c r="N218" s="35"/>
      <x:c r="O218" s="35"/>
      <x:c r="P218" s="21"/>
      <x:c r="Q218" s="21"/>
      <x:c r="R218" s="29" t="str">
        <x:f>IF(G218="","",MIN(J218,SUMIF('05_BAO_CAO_NGAY'!$K$6:$K$505,G218,'05_BAO_CAO_NGAY'!$V$6:$V$505)))</x:f>
      </x:c>
      <x:c r="S218" s="37" t="str">
        <x:f>IF(G218="","",IFERROR(R218/J218,0))</x:f>
      </x:c>
      <x:c r="T218" s="41" t="str">
        <x:f>IF(OR(G218="",COUNTIF('05_BAO_CAO_NGAY'!$K$6:$K$505,G218)=0),"",_xlfn.MINIFS('05_BAO_CAO_NGAY'!$B$6:$B$505,'05_BAO_CAO_NGAY'!$K$6:$K$505,G218))</x:f>
      </x:c>
      <x:c r="U218" s="41" t="str">
        <x:f>IF(OR(G218="",S218&lt;1),"",_xlfn.MAXIFS('05_BAO_CAO_NGAY'!$B$6:$B$505,'05_BAO_CAO_NGAY'!$K$6:$K$505,G218))</x:f>
      </x:c>
      <x:c r="V218" s="29" t="str">
        <x:f>IF(G218="","",IF(S218&gt;=1,IF(U218&lt;=O218,"Hoàn thành đúng hạn","Hoàn thành trễ"),IF(TODAY()&gt;O218,"Quá hạn",IF(R218&gt;0,"Đang thực hiện","Chưa bắt đầu"))))</x:f>
      </x:c>
      <x:c r="W218" s="37" t="str">
        <x:f>IF(G218="","",IFERROR(SUMIF('05_BAO_CAO_NGAY'!$K$6:$K$505,G218,'05_BAO_CAO_NGAY'!$AB$6:$AB$505)/SUMIF('05_BAO_CAO_NGAY'!$K$6:$K$505,G218,'05_BAO_CAO_NGAY'!$AC$6:$AC$505),0))</x:f>
      </x:c>
      <x:c r="X218" s="37" t="str">
        <x:f>IF(G218="","",IFERROR(SUMIFS('05_BAO_CAO_NGAY'!$W$6:$W$505,'05_BAO_CAO_NGAY'!$K$6:$K$505,G218,'05_BAO_CAO_NGAY'!$N$6:$N$505,"PRODUCTION")/SUMIFS('05_BAO_CAO_NGAY'!$U$6:$U$505,'05_BAO_CAO_NGAY'!$K$6:$K$505,G218,'05_BAO_CAO_NGAY'!$N$6:$N$505,"PRODUCTION"),0))</x:f>
      </x:c>
      <x:c r="Y218" s="29" t="str">
        <x:f>IF(G218="","",SUMIF('05_BAO_CAO_NGAY'!$K$6:$K$505,G218,'05_BAO_CAO_NGAY'!$S$6:$S$505))</x:f>
      </x:c>
      <x:c r="Z218" s="21"/>
    </x:row>
    <x:row r="219">
      <x:c r="A219" s="21"/>
      <x:c r="B219" s="21"/>
      <x:c r="C219" s="21"/>
      <x:c r="D219" s="21"/>
      <x:c r="E219" s="21"/>
      <x:c r="F219" s="29" t="str">
        <x:f>IF(OR(B219="",C219=""),"",B219&amp;"|"&amp;C219&amp;"|"&amp;IF(D219="","00",D219)&amp;"|"&amp;IF(E219="","01",E219))</x:f>
      </x:c>
      <x:c r="G219" s="29" t="str">
        <x:f>IF(F219="","",F219&amp;"|"&amp;TEXT(A219,"000"))</x:f>
      </x:c>
      <x:c r="H219" s="21"/>
      <x:c r="I219" s="21"/>
      <x:c r="J219" s="25"/>
      <x:c r="K219" s="25"/>
      <x:c r="L219" s="25"/>
      <x:c r="M219" s="39" t="str">
        <x:f>IF(G219="","",K219+L219*J219)</x:f>
      </x:c>
      <x:c r="N219" s="35"/>
      <x:c r="O219" s="35"/>
      <x:c r="P219" s="21"/>
      <x:c r="Q219" s="21"/>
      <x:c r="R219" s="29" t="str">
        <x:f>IF(G219="","",MIN(J219,SUMIF('05_BAO_CAO_NGAY'!$K$6:$K$505,G219,'05_BAO_CAO_NGAY'!$V$6:$V$505)))</x:f>
      </x:c>
      <x:c r="S219" s="37" t="str">
        <x:f>IF(G219="","",IFERROR(R219/J219,0))</x:f>
      </x:c>
      <x:c r="T219" s="41" t="str">
        <x:f>IF(OR(G219="",COUNTIF('05_BAO_CAO_NGAY'!$K$6:$K$505,G219)=0),"",_xlfn.MINIFS('05_BAO_CAO_NGAY'!$B$6:$B$505,'05_BAO_CAO_NGAY'!$K$6:$K$505,G219))</x:f>
      </x:c>
      <x:c r="U219" s="41" t="str">
        <x:f>IF(OR(G219="",S219&lt;1),"",_xlfn.MAXIFS('05_BAO_CAO_NGAY'!$B$6:$B$505,'05_BAO_CAO_NGAY'!$K$6:$K$505,G219))</x:f>
      </x:c>
      <x:c r="V219" s="29" t="str">
        <x:f>IF(G219="","",IF(S219&gt;=1,IF(U219&lt;=O219,"Hoàn thành đúng hạn","Hoàn thành trễ"),IF(TODAY()&gt;O219,"Quá hạn",IF(R219&gt;0,"Đang thực hiện","Chưa bắt đầu"))))</x:f>
      </x:c>
      <x:c r="W219" s="37" t="str">
        <x:f>IF(G219="","",IFERROR(SUMIF('05_BAO_CAO_NGAY'!$K$6:$K$505,G219,'05_BAO_CAO_NGAY'!$AB$6:$AB$505)/SUMIF('05_BAO_CAO_NGAY'!$K$6:$K$505,G219,'05_BAO_CAO_NGAY'!$AC$6:$AC$505),0))</x:f>
      </x:c>
      <x:c r="X219" s="37" t="str">
        <x:f>IF(G219="","",IFERROR(SUMIFS('05_BAO_CAO_NGAY'!$W$6:$W$505,'05_BAO_CAO_NGAY'!$K$6:$K$505,G219,'05_BAO_CAO_NGAY'!$N$6:$N$505,"PRODUCTION")/SUMIFS('05_BAO_CAO_NGAY'!$U$6:$U$505,'05_BAO_CAO_NGAY'!$K$6:$K$505,G219,'05_BAO_CAO_NGAY'!$N$6:$N$505,"PRODUCTION"),0))</x:f>
      </x:c>
      <x:c r="Y219" s="29" t="str">
        <x:f>IF(G219="","",SUMIF('05_BAO_CAO_NGAY'!$K$6:$K$505,G219,'05_BAO_CAO_NGAY'!$S$6:$S$505))</x:f>
      </x:c>
      <x:c r="Z219" s="21"/>
    </x:row>
    <x:row r="220">
      <x:c r="A220" s="21"/>
      <x:c r="B220" s="21"/>
      <x:c r="C220" s="21"/>
      <x:c r="D220" s="21"/>
      <x:c r="E220" s="21"/>
      <x:c r="F220" s="29" t="str">
        <x:f>IF(OR(B220="",C220=""),"",B220&amp;"|"&amp;C220&amp;"|"&amp;IF(D220="","00",D220)&amp;"|"&amp;IF(E220="","01",E220))</x:f>
      </x:c>
      <x:c r="G220" s="29" t="str">
        <x:f>IF(F220="","",F220&amp;"|"&amp;TEXT(A220,"000"))</x:f>
      </x:c>
      <x:c r="H220" s="21"/>
      <x:c r="I220" s="21"/>
      <x:c r="J220" s="25"/>
      <x:c r="K220" s="25"/>
      <x:c r="L220" s="25"/>
      <x:c r="M220" s="39" t="str">
        <x:f>IF(G220="","",K220+L220*J220)</x:f>
      </x:c>
      <x:c r="N220" s="35"/>
      <x:c r="O220" s="35"/>
      <x:c r="P220" s="21"/>
      <x:c r="Q220" s="21"/>
      <x:c r="R220" s="29" t="str">
        <x:f>IF(G220="","",MIN(J220,SUMIF('05_BAO_CAO_NGAY'!$K$6:$K$505,G220,'05_BAO_CAO_NGAY'!$V$6:$V$505)))</x:f>
      </x:c>
      <x:c r="S220" s="37" t="str">
        <x:f>IF(G220="","",IFERROR(R220/J220,0))</x:f>
      </x:c>
      <x:c r="T220" s="41" t="str">
        <x:f>IF(OR(G220="",COUNTIF('05_BAO_CAO_NGAY'!$K$6:$K$505,G220)=0),"",_xlfn.MINIFS('05_BAO_CAO_NGAY'!$B$6:$B$505,'05_BAO_CAO_NGAY'!$K$6:$K$505,G220))</x:f>
      </x:c>
      <x:c r="U220" s="41" t="str">
        <x:f>IF(OR(G220="",S220&lt;1),"",_xlfn.MAXIFS('05_BAO_CAO_NGAY'!$B$6:$B$505,'05_BAO_CAO_NGAY'!$K$6:$K$505,G220))</x:f>
      </x:c>
      <x:c r="V220" s="29" t="str">
        <x:f>IF(G220="","",IF(S220&gt;=1,IF(U220&lt;=O220,"Hoàn thành đúng hạn","Hoàn thành trễ"),IF(TODAY()&gt;O220,"Quá hạn",IF(R220&gt;0,"Đang thực hiện","Chưa bắt đầu"))))</x:f>
      </x:c>
      <x:c r="W220" s="37" t="str">
        <x:f>IF(G220="","",IFERROR(SUMIF('05_BAO_CAO_NGAY'!$K$6:$K$505,G220,'05_BAO_CAO_NGAY'!$AB$6:$AB$505)/SUMIF('05_BAO_CAO_NGAY'!$K$6:$K$505,G220,'05_BAO_CAO_NGAY'!$AC$6:$AC$505),0))</x:f>
      </x:c>
      <x:c r="X220" s="37" t="str">
        <x:f>IF(G220="","",IFERROR(SUMIFS('05_BAO_CAO_NGAY'!$W$6:$W$505,'05_BAO_CAO_NGAY'!$K$6:$K$505,G220,'05_BAO_CAO_NGAY'!$N$6:$N$505,"PRODUCTION")/SUMIFS('05_BAO_CAO_NGAY'!$U$6:$U$505,'05_BAO_CAO_NGAY'!$K$6:$K$505,G220,'05_BAO_CAO_NGAY'!$N$6:$N$505,"PRODUCTION"),0))</x:f>
      </x:c>
      <x:c r="Y220" s="29" t="str">
        <x:f>IF(G220="","",SUMIF('05_BAO_CAO_NGAY'!$K$6:$K$505,G220,'05_BAO_CAO_NGAY'!$S$6:$S$505))</x:f>
      </x:c>
      <x:c r="Z220" s="21"/>
    </x:row>
    <x:row r="221">
      <x:c r="A221" s="21"/>
      <x:c r="B221" s="21"/>
      <x:c r="C221" s="21"/>
      <x:c r="D221" s="21"/>
      <x:c r="E221" s="21"/>
      <x:c r="F221" s="29" t="str">
        <x:f>IF(OR(B221="",C221=""),"",B221&amp;"|"&amp;C221&amp;"|"&amp;IF(D221="","00",D221)&amp;"|"&amp;IF(E221="","01",E221))</x:f>
      </x:c>
      <x:c r="G221" s="29" t="str">
        <x:f>IF(F221="","",F221&amp;"|"&amp;TEXT(A221,"000"))</x:f>
      </x:c>
      <x:c r="H221" s="21"/>
      <x:c r="I221" s="21"/>
      <x:c r="J221" s="25"/>
      <x:c r="K221" s="25"/>
      <x:c r="L221" s="25"/>
      <x:c r="M221" s="39" t="str">
        <x:f>IF(G221="","",K221+L221*J221)</x:f>
      </x:c>
      <x:c r="N221" s="35"/>
      <x:c r="O221" s="35"/>
      <x:c r="P221" s="21"/>
      <x:c r="Q221" s="21"/>
      <x:c r="R221" s="29" t="str">
        <x:f>IF(G221="","",MIN(J221,SUMIF('05_BAO_CAO_NGAY'!$K$6:$K$505,G221,'05_BAO_CAO_NGAY'!$V$6:$V$505)))</x:f>
      </x:c>
      <x:c r="S221" s="37" t="str">
        <x:f>IF(G221="","",IFERROR(R221/J221,0))</x:f>
      </x:c>
      <x:c r="T221" s="41" t="str">
        <x:f>IF(OR(G221="",COUNTIF('05_BAO_CAO_NGAY'!$K$6:$K$505,G221)=0),"",_xlfn.MINIFS('05_BAO_CAO_NGAY'!$B$6:$B$505,'05_BAO_CAO_NGAY'!$K$6:$K$505,G221))</x:f>
      </x:c>
      <x:c r="U221" s="41" t="str">
        <x:f>IF(OR(G221="",S221&lt;1),"",_xlfn.MAXIFS('05_BAO_CAO_NGAY'!$B$6:$B$505,'05_BAO_CAO_NGAY'!$K$6:$K$505,G221))</x:f>
      </x:c>
      <x:c r="V221" s="29" t="str">
        <x:f>IF(G221="","",IF(S221&gt;=1,IF(U221&lt;=O221,"Hoàn thành đúng hạn","Hoàn thành trễ"),IF(TODAY()&gt;O221,"Quá hạn",IF(R221&gt;0,"Đang thực hiện","Chưa bắt đầu"))))</x:f>
      </x:c>
      <x:c r="W221" s="37" t="str">
        <x:f>IF(G221="","",IFERROR(SUMIF('05_BAO_CAO_NGAY'!$K$6:$K$505,G221,'05_BAO_CAO_NGAY'!$AB$6:$AB$505)/SUMIF('05_BAO_CAO_NGAY'!$K$6:$K$505,G221,'05_BAO_CAO_NGAY'!$AC$6:$AC$505),0))</x:f>
      </x:c>
      <x:c r="X221" s="37" t="str">
        <x:f>IF(G221="","",IFERROR(SUMIFS('05_BAO_CAO_NGAY'!$W$6:$W$505,'05_BAO_CAO_NGAY'!$K$6:$K$505,G221,'05_BAO_CAO_NGAY'!$N$6:$N$505,"PRODUCTION")/SUMIFS('05_BAO_CAO_NGAY'!$U$6:$U$505,'05_BAO_CAO_NGAY'!$K$6:$K$505,G221,'05_BAO_CAO_NGAY'!$N$6:$N$505,"PRODUCTION"),0))</x:f>
      </x:c>
      <x:c r="Y221" s="29" t="str">
        <x:f>IF(G221="","",SUMIF('05_BAO_CAO_NGAY'!$K$6:$K$505,G221,'05_BAO_CAO_NGAY'!$S$6:$S$505))</x:f>
      </x:c>
      <x:c r="Z221" s="21"/>
    </x:row>
    <x:row r="222">
      <x:c r="A222" s="21"/>
      <x:c r="B222" s="21"/>
      <x:c r="C222" s="21"/>
      <x:c r="D222" s="21"/>
      <x:c r="E222" s="21"/>
      <x:c r="F222" s="29" t="str">
        <x:f>IF(OR(B222="",C222=""),"",B222&amp;"|"&amp;C222&amp;"|"&amp;IF(D222="","00",D222)&amp;"|"&amp;IF(E222="","01",E222))</x:f>
      </x:c>
      <x:c r="G222" s="29" t="str">
        <x:f>IF(F222="","",F222&amp;"|"&amp;TEXT(A222,"000"))</x:f>
      </x:c>
      <x:c r="H222" s="21"/>
      <x:c r="I222" s="21"/>
      <x:c r="J222" s="25"/>
      <x:c r="K222" s="25"/>
      <x:c r="L222" s="25"/>
      <x:c r="M222" s="39" t="str">
        <x:f>IF(G222="","",K222+L222*J222)</x:f>
      </x:c>
      <x:c r="N222" s="35"/>
      <x:c r="O222" s="35"/>
      <x:c r="P222" s="21"/>
      <x:c r="Q222" s="21"/>
      <x:c r="R222" s="29" t="str">
        <x:f>IF(G222="","",MIN(J222,SUMIF('05_BAO_CAO_NGAY'!$K$6:$K$505,G222,'05_BAO_CAO_NGAY'!$V$6:$V$505)))</x:f>
      </x:c>
      <x:c r="S222" s="37" t="str">
        <x:f>IF(G222="","",IFERROR(R222/J222,0))</x:f>
      </x:c>
      <x:c r="T222" s="41" t="str">
        <x:f>IF(OR(G222="",COUNTIF('05_BAO_CAO_NGAY'!$K$6:$K$505,G222)=0),"",_xlfn.MINIFS('05_BAO_CAO_NGAY'!$B$6:$B$505,'05_BAO_CAO_NGAY'!$K$6:$K$505,G222))</x:f>
      </x:c>
      <x:c r="U222" s="41" t="str">
        <x:f>IF(OR(G222="",S222&lt;1),"",_xlfn.MAXIFS('05_BAO_CAO_NGAY'!$B$6:$B$505,'05_BAO_CAO_NGAY'!$K$6:$K$505,G222))</x:f>
      </x:c>
      <x:c r="V222" s="29" t="str">
        <x:f>IF(G222="","",IF(S222&gt;=1,IF(U222&lt;=O222,"Hoàn thành đúng hạn","Hoàn thành trễ"),IF(TODAY()&gt;O222,"Quá hạn",IF(R222&gt;0,"Đang thực hiện","Chưa bắt đầu"))))</x:f>
      </x:c>
      <x:c r="W222" s="37" t="str">
        <x:f>IF(G222="","",IFERROR(SUMIF('05_BAO_CAO_NGAY'!$K$6:$K$505,G222,'05_BAO_CAO_NGAY'!$AB$6:$AB$505)/SUMIF('05_BAO_CAO_NGAY'!$K$6:$K$505,G222,'05_BAO_CAO_NGAY'!$AC$6:$AC$505),0))</x:f>
      </x:c>
      <x:c r="X222" s="37" t="str">
        <x:f>IF(G222="","",IFERROR(SUMIFS('05_BAO_CAO_NGAY'!$W$6:$W$505,'05_BAO_CAO_NGAY'!$K$6:$K$505,G222,'05_BAO_CAO_NGAY'!$N$6:$N$505,"PRODUCTION")/SUMIFS('05_BAO_CAO_NGAY'!$U$6:$U$505,'05_BAO_CAO_NGAY'!$K$6:$K$505,G222,'05_BAO_CAO_NGAY'!$N$6:$N$505,"PRODUCTION"),0))</x:f>
      </x:c>
      <x:c r="Y222" s="29" t="str">
        <x:f>IF(G222="","",SUMIF('05_BAO_CAO_NGAY'!$K$6:$K$505,G222,'05_BAO_CAO_NGAY'!$S$6:$S$505))</x:f>
      </x:c>
      <x:c r="Z222" s="21"/>
    </x:row>
    <x:row r="223">
      <x:c r="A223" s="21"/>
      <x:c r="B223" s="21"/>
      <x:c r="C223" s="21"/>
      <x:c r="D223" s="21"/>
      <x:c r="E223" s="21"/>
      <x:c r="F223" s="29" t="str">
        <x:f>IF(OR(B223="",C223=""),"",B223&amp;"|"&amp;C223&amp;"|"&amp;IF(D223="","00",D223)&amp;"|"&amp;IF(E223="","01",E223))</x:f>
      </x:c>
      <x:c r="G223" s="29" t="str">
        <x:f>IF(F223="","",F223&amp;"|"&amp;TEXT(A223,"000"))</x:f>
      </x:c>
      <x:c r="H223" s="21"/>
      <x:c r="I223" s="21"/>
      <x:c r="J223" s="25"/>
      <x:c r="K223" s="25"/>
      <x:c r="L223" s="25"/>
      <x:c r="M223" s="39" t="str">
        <x:f>IF(G223="","",K223+L223*J223)</x:f>
      </x:c>
      <x:c r="N223" s="35"/>
      <x:c r="O223" s="35"/>
      <x:c r="P223" s="21"/>
      <x:c r="Q223" s="21"/>
      <x:c r="R223" s="29" t="str">
        <x:f>IF(G223="","",MIN(J223,SUMIF('05_BAO_CAO_NGAY'!$K$6:$K$505,G223,'05_BAO_CAO_NGAY'!$V$6:$V$505)))</x:f>
      </x:c>
      <x:c r="S223" s="37" t="str">
        <x:f>IF(G223="","",IFERROR(R223/J223,0))</x:f>
      </x:c>
      <x:c r="T223" s="41" t="str">
        <x:f>IF(OR(G223="",COUNTIF('05_BAO_CAO_NGAY'!$K$6:$K$505,G223)=0),"",_xlfn.MINIFS('05_BAO_CAO_NGAY'!$B$6:$B$505,'05_BAO_CAO_NGAY'!$K$6:$K$505,G223))</x:f>
      </x:c>
      <x:c r="U223" s="41" t="str">
        <x:f>IF(OR(G223="",S223&lt;1),"",_xlfn.MAXIFS('05_BAO_CAO_NGAY'!$B$6:$B$505,'05_BAO_CAO_NGAY'!$K$6:$K$505,G223))</x:f>
      </x:c>
      <x:c r="V223" s="29" t="str">
        <x:f>IF(G223="","",IF(S223&gt;=1,IF(U223&lt;=O223,"Hoàn thành đúng hạn","Hoàn thành trễ"),IF(TODAY()&gt;O223,"Quá hạn",IF(R223&gt;0,"Đang thực hiện","Chưa bắt đầu"))))</x:f>
      </x:c>
      <x:c r="W223" s="37" t="str">
        <x:f>IF(G223="","",IFERROR(SUMIF('05_BAO_CAO_NGAY'!$K$6:$K$505,G223,'05_BAO_CAO_NGAY'!$AB$6:$AB$505)/SUMIF('05_BAO_CAO_NGAY'!$K$6:$K$505,G223,'05_BAO_CAO_NGAY'!$AC$6:$AC$505),0))</x:f>
      </x:c>
      <x:c r="X223" s="37" t="str">
        <x:f>IF(G223="","",IFERROR(SUMIFS('05_BAO_CAO_NGAY'!$W$6:$W$505,'05_BAO_CAO_NGAY'!$K$6:$K$505,G223,'05_BAO_CAO_NGAY'!$N$6:$N$505,"PRODUCTION")/SUMIFS('05_BAO_CAO_NGAY'!$U$6:$U$505,'05_BAO_CAO_NGAY'!$K$6:$K$505,G223,'05_BAO_CAO_NGAY'!$N$6:$N$505,"PRODUCTION"),0))</x:f>
      </x:c>
      <x:c r="Y223" s="29" t="str">
        <x:f>IF(G223="","",SUMIF('05_BAO_CAO_NGAY'!$K$6:$K$505,G223,'05_BAO_CAO_NGAY'!$S$6:$S$505))</x:f>
      </x:c>
      <x:c r="Z223" s="21"/>
    </x:row>
    <x:row r="224">
      <x:c r="A224" s="21"/>
      <x:c r="B224" s="21"/>
      <x:c r="C224" s="21"/>
      <x:c r="D224" s="21"/>
      <x:c r="E224" s="21"/>
      <x:c r="F224" s="29" t="str">
        <x:f>IF(OR(B224="",C224=""),"",B224&amp;"|"&amp;C224&amp;"|"&amp;IF(D224="","00",D224)&amp;"|"&amp;IF(E224="","01",E224))</x:f>
      </x:c>
      <x:c r="G224" s="29" t="str">
        <x:f>IF(F224="","",F224&amp;"|"&amp;TEXT(A224,"000"))</x:f>
      </x:c>
      <x:c r="H224" s="21"/>
      <x:c r="I224" s="21"/>
      <x:c r="J224" s="25"/>
      <x:c r="K224" s="25"/>
      <x:c r="L224" s="25"/>
      <x:c r="M224" s="39" t="str">
        <x:f>IF(G224="","",K224+L224*J224)</x:f>
      </x:c>
      <x:c r="N224" s="35"/>
      <x:c r="O224" s="35"/>
      <x:c r="P224" s="21"/>
      <x:c r="Q224" s="21"/>
      <x:c r="R224" s="29" t="str">
        <x:f>IF(G224="","",MIN(J224,SUMIF('05_BAO_CAO_NGAY'!$K$6:$K$505,G224,'05_BAO_CAO_NGAY'!$V$6:$V$505)))</x:f>
      </x:c>
      <x:c r="S224" s="37" t="str">
        <x:f>IF(G224="","",IFERROR(R224/J224,0))</x:f>
      </x:c>
      <x:c r="T224" s="41" t="str">
        <x:f>IF(OR(G224="",COUNTIF('05_BAO_CAO_NGAY'!$K$6:$K$505,G224)=0),"",_xlfn.MINIFS('05_BAO_CAO_NGAY'!$B$6:$B$505,'05_BAO_CAO_NGAY'!$K$6:$K$505,G224))</x:f>
      </x:c>
      <x:c r="U224" s="41" t="str">
        <x:f>IF(OR(G224="",S224&lt;1),"",_xlfn.MAXIFS('05_BAO_CAO_NGAY'!$B$6:$B$505,'05_BAO_CAO_NGAY'!$K$6:$K$505,G224))</x:f>
      </x:c>
      <x:c r="V224" s="29" t="str">
        <x:f>IF(G224="","",IF(S224&gt;=1,IF(U224&lt;=O224,"Hoàn thành đúng hạn","Hoàn thành trễ"),IF(TODAY()&gt;O224,"Quá hạn",IF(R224&gt;0,"Đang thực hiện","Chưa bắt đầu"))))</x:f>
      </x:c>
      <x:c r="W224" s="37" t="str">
        <x:f>IF(G224="","",IFERROR(SUMIF('05_BAO_CAO_NGAY'!$K$6:$K$505,G224,'05_BAO_CAO_NGAY'!$AB$6:$AB$505)/SUMIF('05_BAO_CAO_NGAY'!$K$6:$K$505,G224,'05_BAO_CAO_NGAY'!$AC$6:$AC$505),0))</x:f>
      </x:c>
      <x:c r="X224" s="37" t="str">
        <x:f>IF(G224="","",IFERROR(SUMIFS('05_BAO_CAO_NGAY'!$W$6:$W$505,'05_BAO_CAO_NGAY'!$K$6:$K$505,G224,'05_BAO_CAO_NGAY'!$N$6:$N$505,"PRODUCTION")/SUMIFS('05_BAO_CAO_NGAY'!$U$6:$U$505,'05_BAO_CAO_NGAY'!$K$6:$K$505,G224,'05_BAO_CAO_NGAY'!$N$6:$N$505,"PRODUCTION"),0))</x:f>
      </x:c>
      <x:c r="Y224" s="29" t="str">
        <x:f>IF(G224="","",SUMIF('05_BAO_CAO_NGAY'!$K$6:$K$505,G224,'05_BAO_CAO_NGAY'!$S$6:$S$505))</x:f>
      </x:c>
      <x:c r="Z224" s="21"/>
    </x:row>
    <x:row r="225">
      <x:c r="A225" s="21"/>
      <x:c r="B225" s="21"/>
      <x:c r="C225" s="21"/>
      <x:c r="D225" s="21"/>
      <x:c r="E225" s="21"/>
      <x:c r="F225" s="29" t="str">
        <x:f>IF(OR(B225="",C225=""),"",B225&amp;"|"&amp;C225&amp;"|"&amp;IF(D225="","00",D225)&amp;"|"&amp;IF(E225="","01",E225))</x:f>
      </x:c>
      <x:c r="G225" s="29" t="str">
        <x:f>IF(F225="","",F225&amp;"|"&amp;TEXT(A225,"000"))</x:f>
      </x:c>
      <x:c r="H225" s="21"/>
      <x:c r="I225" s="21"/>
      <x:c r="J225" s="25"/>
      <x:c r="K225" s="25"/>
      <x:c r="L225" s="25"/>
      <x:c r="M225" s="39" t="str">
        <x:f>IF(G225="","",K225+L225*J225)</x:f>
      </x:c>
      <x:c r="N225" s="35"/>
      <x:c r="O225" s="35"/>
      <x:c r="P225" s="21"/>
      <x:c r="Q225" s="21"/>
      <x:c r="R225" s="29" t="str">
        <x:f>IF(G225="","",MIN(J225,SUMIF('05_BAO_CAO_NGAY'!$K$6:$K$505,G225,'05_BAO_CAO_NGAY'!$V$6:$V$505)))</x:f>
      </x:c>
      <x:c r="S225" s="37" t="str">
        <x:f>IF(G225="","",IFERROR(R225/J225,0))</x:f>
      </x:c>
      <x:c r="T225" s="41" t="str">
        <x:f>IF(OR(G225="",COUNTIF('05_BAO_CAO_NGAY'!$K$6:$K$505,G225)=0),"",_xlfn.MINIFS('05_BAO_CAO_NGAY'!$B$6:$B$505,'05_BAO_CAO_NGAY'!$K$6:$K$505,G225))</x:f>
      </x:c>
      <x:c r="U225" s="41" t="str">
        <x:f>IF(OR(G225="",S225&lt;1),"",_xlfn.MAXIFS('05_BAO_CAO_NGAY'!$B$6:$B$505,'05_BAO_CAO_NGAY'!$K$6:$K$505,G225))</x:f>
      </x:c>
      <x:c r="V225" s="29" t="str">
        <x:f>IF(G225="","",IF(S225&gt;=1,IF(U225&lt;=O225,"Hoàn thành đúng hạn","Hoàn thành trễ"),IF(TODAY()&gt;O225,"Quá hạn",IF(R225&gt;0,"Đang thực hiện","Chưa bắt đầu"))))</x:f>
      </x:c>
      <x:c r="W225" s="37" t="str">
        <x:f>IF(G225="","",IFERROR(SUMIF('05_BAO_CAO_NGAY'!$K$6:$K$505,G225,'05_BAO_CAO_NGAY'!$AB$6:$AB$505)/SUMIF('05_BAO_CAO_NGAY'!$K$6:$K$505,G225,'05_BAO_CAO_NGAY'!$AC$6:$AC$505),0))</x:f>
      </x:c>
      <x:c r="X225" s="37" t="str">
        <x:f>IF(G225="","",IFERROR(SUMIFS('05_BAO_CAO_NGAY'!$W$6:$W$505,'05_BAO_CAO_NGAY'!$K$6:$K$505,G225,'05_BAO_CAO_NGAY'!$N$6:$N$505,"PRODUCTION")/SUMIFS('05_BAO_CAO_NGAY'!$U$6:$U$505,'05_BAO_CAO_NGAY'!$K$6:$K$505,G225,'05_BAO_CAO_NGAY'!$N$6:$N$505,"PRODUCTION"),0))</x:f>
      </x:c>
      <x:c r="Y225" s="29" t="str">
        <x:f>IF(G225="","",SUMIF('05_BAO_CAO_NGAY'!$K$6:$K$505,G225,'05_BAO_CAO_NGAY'!$S$6:$S$505))</x:f>
      </x:c>
      <x:c r="Z225" s="21"/>
    </x:row>
    <x:row r="226">
      <x:c r="A226" s="21"/>
      <x:c r="B226" s="21"/>
      <x:c r="C226" s="21"/>
      <x:c r="D226" s="21"/>
      <x:c r="E226" s="21"/>
      <x:c r="F226" s="29" t="str">
        <x:f>IF(OR(B226="",C226=""),"",B226&amp;"|"&amp;C226&amp;"|"&amp;IF(D226="","00",D226)&amp;"|"&amp;IF(E226="","01",E226))</x:f>
      </x:c>
      <x:c r="G226" s="29" t="str">
        <x:f>IF(F226="","",F226&amp;"|"&amp;TEXT(A226,"000"))</x:f>
      </x:c>
      <x:c r="H226" s="21"/>
      <x:c r="I226" s="21"/>
      <x:c r="J226" s="25"/>
      <x:c r="K226" s="25"/>
      <x:c r="L226" s="25"/>
      <x:c r="M226" s="39" t="str">
        <x:f>IF(G226="","",K226+L226*J226)</x:f>
      </x:c>
      <x:c r="N226" s="35"/>
      <x:c r="O226" s="35"/>
      <x:c r="P226" s="21"/>
      <x:c r="Q226" s="21"/>
      <x:c r="R226" s="29" t="str">
        <x:f>IF(G226="","",MIN(J226,SUMIF('05_BAO_CAO_NGAY'!$K$6:$K$505,G226,'05_BAO_CAO_NGAY'!$V$6:$V$505)))</x:f>
      </x:c>
      <x:c r="S226" s="37" t="str">
        <x:f>IF(G226="","",IFERROR(R226/J226,0))</x:f>
      </x:c>
      <x:c r="T226" s="41" t="str">
        <x:f>IF(OR(G226="",COUNTIF('05_BAO_CAO_NGAY'!$K$6:$K$505,G226)=0),"",_xlfn.MINIFS('05_BAO_CAO_NGAY'!$B$6:$B$505,'05_BAO_CAO_NGAY'!$K$6:$K$505,G226))</x:f>
      </x:c>
      <x:c r="U226" s="41" t="str">
        <x:f>IF(OR(G226="",S226&lt;1),"",_xlfn.MAXIFS('05_BAO_CAO_NGAY'!$B$6:$B$505,'05_BAO_CAO_NGAY'!$K$6:$K$505,G226))</x:f>
      </x:c>
      <x:c r="V226" s="29" t="str">
        <x:f>IF(G226="","",IF(S226&gt;=1,IF(U226&lt;=O226,"Hoàn thành đúng hạn","Hoàn thành trễ"),IF(TODAY()&gt;O226,"Quá hạn",IF(R226&gt;0,"Đang thực hiện","Chưa bắt đầu"))))</x:f>
      </x:c>
      <x:c r="W226" s="37" t="str">
        <x:f>IF(G226="","",IFERROR(SUMIF('05_BAO_CAO_NGAY'!$K$6:$K$505,G226,'05_BAO_CAO_NGAY'!$AB$6:$AB$505)/SUMIF('05_BAO_CAO_NGAY'!$K$6:$K$505,G226,'05_BAO_CAO_NGAY'!$AC$6:$AC$505),0))</x:f>
      </x:c>
      <x:c r="X226" s="37" t="str">
        <x:f>IF(G226="","",IFERROR(SUMIFS('05_BAO_CAO_NGAY'!$W$6:$W$505,'05_BAO_CAO_NGAY'!$K$6:$K$505,G226,'05_BAO_CAO_NGAY'!$N$6:$N$505,"PRODUCTION")/SUMIFS('05_BAO_CAO_NGAY'!$U$6:$U$505,'05_BAO_CAO_NGAY'!$K$6:$K$505,G226,'05_BAO_CAO_NGAY'!$N$6:$N$505,"PRODUCTION"),0))</x:f>
      </x:c>
      <x:c r="Y226" s="29" t="str">
        <x:f>IF(G226="","",SUMIF('05_BAO_CAO_NGAY'!$K$6:$K$505,G226,'05_BAO_CAO_NGAY'!$S$6:$S$505))</x:f>
      </x:c>
      <x:c r="Z226" s="21"/>
    </x:row>
    <x:row r="227">
      <x:c r="A227" s="21"/>
      <x:c r="B227" s="21"/>
      <x:c r="C227" s="21"/>
      <x:c r="D227" s="21"/>
      <x:c r="E227" s="21"/>
      <x:c r="F227" s="29" t="str">
        <x:f>IF(OR(B227="",C227=""),"",B227&amp;"|"&amp;C227&amp;"|"&amp;IF(D227="","00",D227)&amp;"|"&amp;IF(E227="","01",E227))</x:f>
      </x:c>
      <x:c r="G227" s="29" t="str">
        <x:f>IF(F227="","",F227&amp;"|"&amp;TEXT(A227,"000"))</x:f>
      </x:c>
      <x:c r="H227" s="21"/>
      <x:c r="I227" s="21"/>
      <x:c r="J227" s="25"/>
      <x:c r="K227" s="25"/>
      <x:c r="L227" s="25"/>
      <x:c r="M227" s="39" t="str">
        <x:f>IF(G227="","",K227+L227*J227)</x:f>
      </x:c>
      <x:c r="N227" s="35"/>
      <x:c r="O227" s="35"/>
      <x:c r="P227" s="21"/>
      <x:c r="Q227" s="21"/>
      <x:c r="R227" s="29" t="str">
        <x:f>IF(G227="","",MIN(J227,SUMIF('05_BAO_CAO_NGAY'!$K$6:$K$505,G227,'05_BAO_CAO_NGAY'!$V$6:$V$505)))</x:f>
      </x:c>
      <x:c r="S227" s="37" t="str">
        <x:f>IF(G227="","",IFERROR(R227/J227,0))</x:f>
      </x:c>
      <x:c r="T227" s="41" t="str">
        <x:f>IF(OR(G227="",COUNTIF('05_BAO_CAO_NGAY'!$K$6:$K$505,G227)=0),"",_xlfn.MINIFS('05_BAO_CAO_NGAY'!$B$6:$B$505,'05_BAO_CAO_NGAY'!$K$6:$K$505,G227))</x:f>
      </x:c>
      <x:c r="U227" s="41" t="str">
        <x:f>IF(OR(G227="",S227&lt;1),"",_xlfn.MAXIFS('05_BAO_CAO_NGAY'!$B$6:$B$505,'05_BAO_CAO_NGAY'!$K$6:$K$505,G227))</x:f>
      </x:c>
      <x:c r="V227" s="29" t="str">
        <x:f>IF(G227="","",IF(S227&gt;=1,IF(U227&lt;=O227,"Hoàn thành đúng hạn","Hoàn thành trễ"),IF(TODAY()&gt;O227,"Quá hạn",IF(R227&gt;0,"Đang thực hiện","Chưa bắt đầu"))))</x:f>
      </x:c>
      <x:c r="W227" s="37" t="str">
        <x:f>IF(G227="","",IFERROR(SUMIF('05_BAO_CAO_NGAY'!$K$6:$K$505,G227,'05_BAO_CAO_NGAY'!$AB$6:$AB$505)/SUMIF('05_BAO_CAO_NGAY'!$K$6:$K$505,G227,'05_BAO_CAO_NGAY'!$AC$6:$AC$505),0))</x:f>
      </x:c>
      <x:c r="X227" s="37" t="str">
        <x:f>IF(G227="","",IFERROR(SUMIFS('05_BAO_CAO_NGAY'!$W$6:$W$505,'05_BAO_CAO_NGAY'!$K$6:$K$505,G227,'05_BAO_CAO_NGAY'!$N$6:$N$505,"PRODUCTION")/SUMIFS('05_BAO_CAO_NGAY'!$U$6:$U$505,'05_BAO_CAO_NGAY'!$K$6:$K$505,G227,'05_BAO_CAO_NGAY'!$N$6:$N$505,"PRODUCTION"),0))</x:f>
      </x:c>
      <x:c r="Y227" s="29" t="str">
        <x:f>IF(G227="","",SUMIF('05_BAO_CAO_NGAY'!$K$6:$K$505,G227,'05_BAO_CAO_NGAY'!$S$6:$S$505))</x:f>
      </x:c>
      <x:c r="Z227" s="21"/>
    </x:row>
    <x:row r="228">
      <x:c r="A228" s="21"/>
      <x:c r="B228" s="21"/>
      <x:c r="C228" s="21"/>
      <x:c r="D228" s="21"/>
      <x:c r="E228" s="21"/>
      <x:c r="F228" s="29" t="str">
        <x:f>IF(OR(B228="",C228=""),"",B228&amp;"|"&amp;C228&amp;"|"&amp;IF(D228="","00",D228)&amp;"|"&amp;IF(E228="","01",E228))</x:f>
      </x:c>
      <x:c r="G228" s="29" t="str">
        <x:f>IF(F228="","",F228&amp;"|"&amp;TEXT(A228,"000"))</x:f>
      </x:c>
      <x:c r="H228" s="21"/>
      <x:c r="I228" s="21"/>
      <x:c r="J228" s="25"/>
      <x:c r="K228" s="25"/>
      <x:c r="L228" s="25"/>
      <x:c r="M228" s="39" t="str">
        <x:f>IF(G228="","",K228+L228*J228)</x:f>
      </x:c>
      <x:c r="N228" s="35"/>
      <x:c r="O228" s="35"/>
      <x:c r="P228" s="21"/>
      <x:c r="Q228" s="21"/>
      <x:c r="R228" s="29" t="str">
        <x:f>IF(G228="","",MIN(J228,SUMIF('05_BAO_CAO_NGAY'!$K$6:$K$505,G228,'05_BAO_CAO_NGAY'!$V$6:$V$505)))</x:f>
      </x:c>
      <x:c r="S228" s="37" t="str">
        <x:f>IF(G228="","",IFERROR(R228/J228,0))</x:f>
      </x:c>
      <x:c r="T228" s="41" t="str">
        <x:f>IF(OR(G228="",COUNTIF('05_BAO_CAO_NGAY'!$K$6:$K$505,G228)=0),"",_xlfn.MINIFS('05_BAO_CAO_NGAY'!$B$6:$B$505,'05_BAO_CAO_NGAY'!$K$6:$K$505,G228))</x:f>
      </x:c>
      <x:c r="U228" s="41" t="str">
        <x:f>IF(OR(G228="",S228&lt;1),"",_xlfn.MAXIFS('05_BAO_CAO_NGAY'!$B$6:$B$505,'05_BAO_CAO_NGAY'!$K$6:$K$505,G228))</x:f>
      </x:c>
      <x:c r="V228" s="29" t="str">
        <x:f>IF(G228="","",IF(S228&gt;=1,IF(U228&lt;=O228,"Hoàn thành đúng hạn","Hoàn thành trễ"),IF(TODAY()&gt;O228,"Quá hạn",IF(R228&gt;0,"Đang thực hiện","Chưa bắt đầu"))))</x:f>
      </x:c>
      <x:c r="W228" s="37" t="str">
        <x:f>IF(G228="","",IFERROR(SUMIF('05_BAO_CAO_NGAY'!$K$6:$K$505,G228,'05_BAO_CAO_NGAY'!$AB$6:$AB$505)/SUMIF('05_BAO_CAO_NGAY'!$K$6:$K$505,G228,'05_BAO_CAO_NGAY'!$AC$6:$AC$505),0))</x:f>
      </x:c>
      <x:c r="X228" s="37" t="str">
        <x:f>IF(G228="","",IFERROR(SUMIFS('05_BAO_CAO_NGAY'!$W$6:$W$505,'05_BAO_CAO_NGAY'!$K$6:$K$505,G228,'05_BAO_CAO_NGAY'!$N$6:$N$505,"PRODUCTION")/SUMIFS('05_BAO_CAO_NGAY'!$U$6:$U$505,'05_BAO_CAO_NGAY'!$K$6:$K$505,G228,'05_BAO_CAO_NGAY'!$N$6:$N$505,"PRODUCTION"),0))</x:f>
      </x:c>
      <x:c r="Y228" s="29" t="str">
        <x:f>IF(G228="","",SUMIF('05_BAO_CAO_NGAY'!$K$6:$K$505,G228,'05_BAO_CAO_NGAY'!$S$6:$S$505))</x:f>
      </x:c>
      <x:c r="Z228" s="21"/>
    </x:row>
    <x:row r="229">
      <x:c r="A229" s="21"/>
      <x:c r="B229" s="21"/>
      <x:c r="C229" s="21"/>
      <x:c r="D229" s="21"/>
      <x:c r="E229" s="21"/>
      <x:c r="F229" s="29" t="str">
        <x:f>IF(OR(B229="",C229=""),"",B229&amp;"|"&amp;C229&amp;"|"&amp;IF(D229="","00",D229)&amp;"|"&amp;IF(E229="","01",E229))</x:f>
      </x:c>
      <x:c r="G229" s="29" t="str">
        <x:f>IF(F229="","",F229&amp;"|"&amp;TEXT(A229,"000"))</x:f>
      </x:c>
      <x:c r="H229" s="21"/>
      <x:c r="I229" s="21"/>
      <x:c r="J229" s="25"/>
      <x:c r="K229" s="25"/>
      <x:c r="L229" s="25"/>
      <x:c r="M229" s="39" t="str">
        <x:f>IF(G229="","",K229+L229*J229)</x:f>
      </x:c>
      <x:c r="N229" s="35"/>
      <x:c r="O229" s="35"/>
      <x:c r="P229" s="21"/>
      <x:c r="Q229" s="21"/>
      <x:c r="R229" s="29" t="str">
        <x:f>IF(G229="","",MIN(J229,SUMIF('05_BAO_CAO_NGAY'!$K$6:$K$505,G229,'05_BAO_CAO_NGAY'!$V$6:$V$505)))</x:f>
      </x:c>
      <x:c r="S229" s="37" t="str">
        <x:f>IF(G229="","",IFERROR(R229/J229,0))</x:f>
      </x:c>
      <x:c r="T229" s="41" t="str">
        <x:f>IF(OR(G229="",COUNTIF('05_BAO_CAO_NGAY'!$K$6:$K$505,G229)=0),"",_xlfn.MINIFS('05_BAO_CAO_NGAY'!$B$6:$B$505,'05_BAO_CAO_NGAY'!$K$6:$K$505,G229))</x:f>
      </x:c>
      <x:c r="U229" s="41" t="str">
        <x:f>IF(OR(G229="",S229&lt;1),"",_xlfn.MAXIFS('05_BAO_CAO_NGAY'!$B$6:$B$505,'05_BAO_CAO_NGAY'!$K$6:$K$505,G229))</x:f>
      </x:c>
      <x:c r="V229" s="29" t="str">
        <x:f>IF(G229="","",IF(S229&gt;=1,IF(U229&lt;=O229,"Hoàn thành đúng hạn","Hoàn thành trễ"),IF(TODAY()&gt;O229,"Quá hạn",IF(R229&gt;0,"Đang thực hiện","Chưa bắt đầu"))))</x:f>
      </x:c>
      <x:c r="W229" s="37" t="str">
        <x:f>IF(G229="","",IFERROR(SUMIF('05_BAO_CAO_NGAY'!$K$6:$K$505,G229,'05_BAO_CAO_NGAY'!$AB$6:$AB$505)/SUMIF('05_BAO_CAO_NGAY'!$K$6:$K$505,G229,'05_BAO_CAO_NGAY'!$AC$6:$AC$505),0))</x:f>
      </x:c>
      <x:c r="X229" s="37" t="str">
        <x:f>IF(G229="","",IFERROR(SUMIFS('05_BAO_CAO_NGAY'!$W$6:$W$505,'05_BAO_CAO_NGAY'!$K$6:$K$505,G229,'05_BAO_CAO_NGAY'!$N$6:$N$505,"PRODUCTION")/SUMIFS('05_BAO_CAO_NGAY'!$U$6:$U$505,'05_BAO_CAO_NGAY'!$K$6:$K$505,G229,'05_BAO_CAO_NGAY'!$N$6:$N$505,"PRODUCTION"),0))</x:f>
      </x:c>
      <x:c r="Y229" s="29" t="str">
        <x:f>IF(G229="","",SUMIF('05_BAO_CAO_NGAY'!$K$6:$K$505,G229,'05_BAO_CAO_NGAY'!$S$6:$S$505))</x:f>
      </x:c>
      <x:c r="Z229" s="21"/>
    </x:row>
    <x:row r="230">
      <x:c r="A230" s="21"/>
      <x:c r="B230" s="21"/>
      <x:c r="C230" s="21"/>
      <x:c r="D230" s="21"/>
      <x:c r="E230" s="21"/>
      <x:c r="F230" s="29" t="str">
        <x:f>IF(OR(B230="",C230=""),"",B230&amp;"|"&amp;C230&amp;"|"&amp;IF(D230="","00",D230)&amp;"|"&amp;IF(E230="","01",E230))</x:f>
      </x:c>
      <x:c r="G230" s="29" t="str">
        <x:f>IF(F230="","",F230&amp;"|"&amp;TEXT(A230,"000"))</x:f>
      </x:c>
      <x:c r="H230" s="21"/>
      <x:c r="I230" s="21"/>
      <x:c r="J230" s="25"/>
      <x:c r="K230" s="25"/>
      <x:c r="L230" s="25"/>
      <x:c r="M230" s="39" t="str">
        <x:f>IF(G230="","",K230+L230*J230)</x:f>
      </x:c>
      <x:c r="N230" s="35"/>
      <x:c r="O230" s="35"/>
      <x:c r="P230" s="21"/>
      <x:c r="Q230" s="21"/>
      <x:c r="R230" s="29" t="str">
        <x:f>IF(G230="","",MIN(J230,SUMIF('05_BAO_CAO_NGAY'!$K$6:$K$505,G230,'05_BAO_CAO_NGAY'!$V$6:$V$505)))</x:f>
      </x:c>
      <x:c r="S230" s="37" t="str">
        <x:f>IF(G230="","",IFERROR(R230/J230,0))</x:f>
      </x:c>
      <x:c r="T230" s="41" t="str">
        <x:f>IF(OR(G230="",COUNTIF('05_BAO_CAO_NGAY'!$K$6:$K$505,G230)=0),"",_xlfn.MINIFS('05_BAO_CAO_NGAY'!$B$6:$B$505,'05_BAO_CAO_NGAY'!$K$6:$K$505,G230))</x:f>
      </x:c>
      <x:c r="U230" s="41" t="str">
        <x:f>IF(OR(G230="",S230&lt;1),"",_xlfn.MAXIFS('05_BAO_CAO_NGAY'!$B$6:$B$505,'05_BAO_CAO_NGAY'!$K$6:$K$505,G230))</x:f>
      </x:c>
      <x:c r="V230" s="29" t="str">
        <x:f>IF(G230="","",IF(S230&gt;=1,IF(U230&lt;=O230,"Hoàn thành đúng hạn","Hoàn thành trễ"),IF(TODAY()&gt;O230,"Quá hạn",IF(R230&gt;0,"Đang thực hiện","Chưa bắt đầu"))))</x:f>
      </x:c>
      <x:c r="W230" s="37" t="str">
        <x:f>IF(G230="","",IFERROR(SUMIF('05_BAO_CAO_NGAY'!$K$6:$K$505,G230,'05_BAO_CAO_NGAY'!$AB$6:$AB$505)/SUMIF('05_BAO_CAO_NGAY'!$K$6:$K$505,G230,'05_BAO_CAO_NGAY'!$AC$6:$AC$505),0))</x:f>
      </x:c>
      <x:c r="X230" s="37" t="str">
        <x:f>IF(G230="","",IFERROR(SUMIFS('05_BAO_CAO_NGAY'!$W$6:$W$505,'05_BAO_CAO_NGAY'!$K$6:$K$505,G230,'05_BAO_CAO_NGAY'!$N$6:$N$505,"PRODUCTION")/SUMIFS('05_BAO_CAO_NGAY'!$U$6:$U$505,'05_BAO_CAO_NGAY'!$K$6:$K$505,G230,'05_BAO_CAO_NGAY'!$N$6:$N$505,"PRODUCTION"),0))</x:f>
      </x:c>
      <x:c r="Y230" s="29" t="str">
        <x:f>IF(G230="","",SUMIF('05_BAO_CAO_NGAY'!$K$6:$K$505,G230,'05_BAO_CAO_NGAY'!$S$6:$S$505))</x:f>
      </x:c>
      <x:c r="Z230" s="21"/>
    </x:row>
    <x:row r="231">
      <x:c r="A231" s="21"/>
      <x:c r="B231" s="21"/>
      <x:c r="C231" s="21"/>
      <x:c r="D231" s="21"/>
      <x:c r="E231" s="21"/>
      <x:c r="F231" s="29" t="str">
        <x:f>IF(OR(B231="",C231=""),"",B231&amp;"|"&amp;C231&amp;"|"&amp;IF(D231="","00",D231)&amp;"|"&amp;IF(E231="","01",E231))</x:f>
      </x:c>
      <x:c r="G231" s="29" t="str">
        <x:f>IF(F231="","",F231&amp;"|"&amp;TEXT(A231,"000"))</x:f>
      </x:c>
      <x:c r="H231" s="21"/>
      <x:c r="I231" s="21"/>
      <x:c r="J231" s="25"/>
      <x:c r="K231" s="25"/>
      <x:c r="L231" s="25"/>
      <x:c r="M231" s="39" t="str">
        <x:f>IF(G231="","",K231+L231*J231)</x:f>
      </x:c>
      <x:c r="N231" s="35"/>
      <x:c r="O231" s="35"/>
      <x:c r="P231" s="21"/>
      <x:c r="Q231" s="21"/>
      <x:c r="R231" s="29" t="str">
        <x:f>IF(G231="","",MIN(J231,SUMIF('05_BAO_CAO_NGAY'!$K$6:$K$505,G231,'05_BAO_CAO_NGAY'!$V$6:$V$505)))</x:f>
      </x:c>
      <x:c r="S231" s="37" t="str">
        <x:f>IF(G231="","",IFERROR(R231/J231,0))</x:f>
      </x:c>
      <x:c r="T231" s="41" t="str">
        <x:f>IF(OR(G231="",COUNTIF('05_BAO_CAO_NGAY'!$K$6:$K$505,G231)=0),"",_xlfn.MINIFS('05_BAO_CAO_NGAY'!$B$6:$B$505,'05_BAO_CAO_NGAY'!$K$6:$K$505,G231))</x:f>
      </x:c>
      <x:c r="U231" s="41" t="str">
        <x:f>IF(OR(G231="",S231&lt;1),"",_xlfn.MAXIFS('05_BAO_CAO_NGAY'!$B$6:$B$505,'05_BAO_CAO_NGAY'!$K$6:$K$505,G231))</x:f>
      </x:c>
      <x:c r="V231" s="29" t="str">
        <x:f>IF(G231="","",IF(S231&gt;=1,IF(U231&lt;=O231,"Hoàn thành đúng hạn","Hoàn thành trễ"),IF(TODAY()&gt;O231,"Quá hạn",IF(R231&gt;0,"Đang thực hiện","Chưa bắt đầu"))))</x:f>
      </x:c>
      <x:c r="W231" s="37" t="str">
        <x:f>IF(G231="","",IFERROR(SUMIF('05_BAO_CAO_NGAY'!$K$6:$K$505,G231,'05_BAO_CAO_NGAY'!$AB$6:$AB$505)/SUMIF('05_BAO_CAO_NGAY'!$K$6:$K$505,G231,'05_BAO_CAO_NGAY'!$AC$6:$AC$505),0))</x:f>
      </x:c>
      <x:c r="X231" s="37" t="str">
        <x:f>IF(G231="","",IFERROR(SUMIFS('05_BAO_CAO_NGAY'!$W$6:$W$505,'05_BAO_CAO_NGAY'!$K$6:$K$505,G231,'05_BAO_CAO_NGAY'!$N$6:$N$505,"PRODUCTION")/SUMIFS('05_BAO_CAO_NGAY'!$U$6:$U$505,'05_BAO_CAO_NGAY'!$K$6:$K$505,G231,'05_BAO_CAO_NGAY'!$N$6:$N$505,"PRODUCTION"),0))</x:f>
      </x:c>
      <x:c r="Y231" s="29" t="str">
        <x:f>IF(G231="","",SUMIF('05_BAO_CAO_NGAY'!$K$6:$K$505,G231,'05_BAO_CAO_NGAY'!$S$6:$S$505))</x:f>
      </x:c>
      <x:c r="Z231" s="21"/>
    </x:row>
    <x:row r="232">
      <x:c r="A232" s="21"/>
      <x:c r="B232" s="21"/>
      <x:c r="C232" s="21"/>
      <x:c r="D232" s="21"/>
      <x:c r="E232" s="21"/>
      <x:c r="F232" s="29" t="str">
        <x:f>IF(OR(B232="",C232=""),"",B232&amp;"|"&amp;C232&amp;"|"&amp;IF(D232="","00",D232)&amp;"|"&amp;IF(E232="","01",E232))</x:f>
      </x:c>
      <x:c r="G232" s="29" t="str">
        <x:f>IF(F232="","",F232&amp;"|"&amp;TEXT(A232,"000"))</x:f>
      </x:c>
      <x:c r="H232" s="21"/>
      <x:c r="I232" s="21"/>
      <x:c r="J232" s="25"/>
      <x:c r="K232" s="25"/>
      <x:c r="L232" s="25"/>
      <x:c r="M232" s="39" t="str">
        <x:f>IF(G232="","",K232+L232*J232)</x:f>
      </x:c>
      <x:c r="N232" s="35"/>
      <x:c r="O232" s="35"/>
      <x:c r="P232" s="21"/>
      <x:c r="Q232" s="21"/>
      <x:c r="R232" s="29" t="str">
        <x:f>IF(G232="","",MIN(J232,SUMIF('05_BAO_CAO_NGAY'!$K$6:$K$505,G232,'05_BAO_CAO_NGAY'!$V$6:$V$505)))</x:f>
      </x:c>
      <x:c r="S232" s="37" t="str">
        <x:f>IF(G232="","",IFERROR(R232/J232,0))</x:f>
      </x:c>
      <x:c r="T232" s="41" t="str">
        <x:f>IF(OR(G232="",COUNTIF('05_BAO_CAO_NGAY'!$K$6:$K$505,G232)=0),"",_xlfn.MINIFS('05_BAO_CAO_NGAY'!$B$6:$B$505,'05_BAO_CAO_NGAY'!$K$6:$K$505,G232))</x:f>
      </x:c>
      <x:c r="U232" s="41" t="str">
        <x:f>IF(OR(G232="",S232&lt;1),"",_xlfn.MAXIFS('05_BAO_CAO_NGAY'!$B$6:$B$505,'05_BAO_CAO_NGAY'!$K$6:$K$505,G232))</x:f>
      </x:c>
      <x:c r="V232" s="29" t="str">
        <x:f>IF(G232="","",IF(S232&gt;=1,IF(U232&lt;=O232,"Hoàn thành đúng hạn","Hoàn thành trễ"),IF(TODAY()&gt;O232,"Quá hạn",IF(R232&gt;0,"Đang thực hiện","Chưa bắt đầu"))))</x:f>
      </x:c>
      <x:c r="W232" s="37" t="str">
        <x:f>IF(G232="","",IFERROR(SUMIF('05_BAO_CAO_NGAY'!$K$6:$K$505,G232,'05_BAO_CAO_NGAY'!$AB$6:$AB$505)/SUMIF('05_BAO_CAO_NGAY'!$K$6:$K$505,G232,'05_BAO_CAO_NGAY'!$AC$6:$AC$505),0))</x:f>
      </x:c>
      <x:c r="X232" s="37" t="str">
        <x:f>IF(G232="","",IFERROR(SUMIFS('05_BAO_CAO_NGAY'!$W$6:$W$505,'05_BAO_CAO_NGAY'!$K$6:$K$505,G232,'05_BAO_CAO_NGAY'!$N$6:$N$505,"PRODUCTION")/SUMIFS('05_BAO_CAO_NGAY'!$U$6:$U$505,'05_BAO_CAO_NGAY'!$K$6:$K$505,G232,'05_BAO_CAO_NGAY'!$N$6:$N$505,"PRODUCTION"),0))</x:f>
      </x:c>
      <x:c r="Y232" s="29" t="str">
        <x:f>IF(G232="","",SUMIF('05_BAO_CAO_NGAY'!$K$6:$K$505,G232,'05_BAO_CAO_NGAY'!$S$6:$S$505))</x:f>
      </x:c>
      <x:c r="Z232" s="21"/>
    </x:row>
    <x:row r="233">
      <x:c r="A233" s="21"/>
      <x:c r="B233" s="21"/>
      <x:c r="C233" s="21"/>
      <x:c r="D233" s="21"/>
      <x:c r="E233" s="21"/>
      <x:c r="F233" s="29" t="str">
        <x:f>IF(OR(B233="",C233=""),"",B233&amp;"|"&amp;C233&amp;"|"&amp;IF(D233="","00",D233)&amp;"|"&amp;IF(E233="","01",E233))</x:f>
      </x:c>
      <x:c r="G233" s="29" t="str">
        <x:f>IF(F233="","",F233&amp;"|"&amp;TEXT(A233,"000"))</x:f>
      </x:c>
      <x:c r="H233" s="21"/>
      <x:c r="I233" s="21"/>
      <x:c r="J233" s="25"/>
      <x:c r="K233" s="25"/>
      <x:c r="L233" s="25"/>
      <x:c r="M233" s="39" t="str">
        <x:f>IF(G233="","",K233+L233*J233)</x:f>
      </x:c>
      <x:c r="N233" s="35"/>
      <x:c r="O233" s="35"/>
      <x:c r="P233" s="21"/>
      <x:c r="Q233" s="21"/>
      <x:c r="R233" s="29" t="str">
        <x:f>IF(G233="","",MIN(J233,SUMIF('05_BAO_CAO_NGAY'!$K$6:$K$505,G233,'05_BAO_CAO_NGAY'!$V$6:$V$505)))</x:f>
      </x:c>
      <x:c r="S233" s="37" t="str">
        <x:f>IF(G233="","",IFERROR(R233/J233,0))</x:f>
      </x:c>
      <x:c r="T233" s="41" t="str">
        <x:f>IF(OR(G233="",COUNTIF('05_BAO_CAO_NGAY'!$K$6:$K$505,G233)=0),"",_xlfn.MINIFS('05_BAO_CAO_NGAY'!$B$6:$B$505,'05_BAO_CAO_NGAY'!$K$6:$K$505,G233))</x:f>
      </x:c>
      <x:c r="U233" s="41" t="str">
        <x:f>IF(OR(G233="",S233&lt;1),"",_xlfn.MAXIFS('05_BAO_CAO_NGAY'!$B$6:$B$505,'05_BAO_CAO_NGAY'!$K$6:$K$505,G233))</x:f>
      </x:c>
      <x:c r="V233" s="29" t="str">
        <x:f>IF(G233="","",IF(S233&gt;=1,IF(U233&lt;=O233,"Hoàn thành đúng hạn","Hoàn thành trễ"),IF(TODAY()&gt;O233,"Quá hạn",IF(R233&gt;0,"Đang thực hiện","Chưa bắt đầu"))))</x:f>
      </x:c>
      <x:c r="W233" s="37" t="str">
        <x:f>IF(G233="","",IFERROR(SUMIF('05_BAO_CAO_NGAY'!$K$6:$K$505,G233,'05_BAO_CAO_NGAY'!$AB$6:$AB$505)/SUMIF('05_BAO_CAO_NGAY'!$K$6:$K$505,G233,'05_BAO_CAO_NGAY'!$AC$6:$AC$505),0))</x:f>
      </x:c>
      <x:c r="X233" s="37" t="str">
        <x:f>IF(G233="","",IFERROR(SUMIFS('05_BAO_CAO_NGAY'!$W$6:$W$505,'05_BAO_CAO_NGAY'!$K$6:$K$505,G233,'05_BAO_CAO_NGAY'!$N$6:$N$505,"PRODUCTION")/SUMIFS('05_BAO_CAO_NGAY'!$U$6:$U$505,'05_BAO_CAO_NGAY'!$K$6:$K$505,G233,'05_BAO_CAO_NGAY'!$N$6:$N$505,"PRODUCTION"),0))</x:f>
      </x:c>
      <x:c r="Y233" s="29" t="str">
        <x:f>IF(G233="","",SUMIF('05_BAO_CAO_NGAY'!$K$6:$K$505,G233,'05_BAO_CAO_NGAY'!$S$6:$S$505))</x:f>
      </x:c>
      <x:c r="Z233" s="21"/>
    </x:row>
    <x:row r="234">
      <x:c r="A234" s="21"/>
      <x:c r="B234" s="21"/>
      <x:c r="C234" s="21"/>
      <x:c r="D234" s="21"/>
      <x:c r="E234" s="21"/>
      <x:c r="F234" s="29" t="str">
        <x:f>IF(OR(B234="",C234=""),"",B234&amp;"|"&amp;C234&amp;"|"&amp;IF(D234="","00",D234)&amp;"|"&amp;IF(E234="","01",E234))</x:f>
      </x:c>
      <x:c r="G234" s="29" t="str">
        <x:f>IF(F234="","",F234&amp;"|"&amp;TEXT(A234,"000"))</x:f>
      </x:c>
      <x:c r="H234" s="21"/>
      <x:c r="I234" s="21"/>
      <x:c r="J234" s="25"/>
      <x:c r="K234" s="25"/>
      <x:c r="L234" s="25"/>
      <x:c r="M234" s="39" t="str">
        <x:f>IF(G234="","",K234+L234*J234)</x:f>
      </x:c>
      <x:c r="N234" s="35"/>
      <x:c r="O234" s="35"/>
      <x:c r="P234" s="21"/>
      <x:c r="Q234" s="21"/>
      <x:c r="R234" s="29" t="str">
        <x:f>IF(G234="","",MIN(J234,SUMIF('05_BAO_CAO_NGAY'!$K$6:$K$505,G234,'05_BAO_CAO_NGAY'!$V$6:$V$505)))</x:f>
      </x:c>
      <x:c r="S234" s="37" t="str">
        <x:f>IF(G234="","",IFERROR(R234/J234,0))</x:f>
      </x:c>
      <x:c r="T234" s="41" t="str">
        <x:f>IF(OR(G234="",COUNTIF('05_BAO_CAO_NGAY'!$K$6:$K$505,G234)=0),"",_xlfn.MINIFS('05_BAO_CAO_NGAY'!$B$6:$B$505,'05_BAO_CAO_NGAY'!$K$6:$K$505,G234))</x:f>
      </x:c>
      <x:c r="U234" s="41" t="str">
        <x:f>IF(OR(G234="",S234&lt;1),"",_xlfn.MAXIFS('05_BAO_CAO_NGAY'!$B$6:$B$505,'05_BAO_CAO_NGAY'!$K$6:$K$505,G234))</x:f>
      </x:c>
      <x:c r="V234" s="29" t="str">
        <x:f>IF(G234="","",IF(S234&gt;=1,IF(U234&lt;=O234,"Hoàn thành đúng hạn","Hoàn thành trễ"),IF(TODAY()&gt;O234,"Quá hạn",IF(R234&gt;0,"Đang thực hiện","Chưa bắt đầu"))))</x:f>
      </x:c>
      <x:c r="W234" s="37" t="str">
        <x:f>IF(G234="","",IFERROR(SUMIF('05_BAO_CAO_NGAY'!$K$6:$K$505,G234,'05_BAO_CAO_NGAY'!$AB$6:$AB$505)/SUMIF('05_BAO_CAO_NGAY'!$K$6:$K$505,G234,'05_BAO_CAO_NGAY'!$AC$6:$AC$505),0))</x:f>
      </x:c>
      <x:c r="X234" s="37" t="str">
        <x:f>IF(G234="","",IFERROR(SUMIFS('05_BAO_CAO_NGAY'!$W$6:$W$505,'05_BAO_CAO_NGAY'!$K$6:$K$505,G234,'05_BAO_CAO_NGAY'!$N$6:$N$505,"PRODUCTION")/SUMIFS('05_BAO_CAO_NGAY'!$U$6:$U$505,'05_BAO_CAO_NGAY'!$K$6:$K$505,G234,'05_BAO_CAO_NGAY'!$N$6:$N$505,"PRODUCTION"),0))</x:f>
      </x:c>
      <x:c r="Y234" s="29" t="str">
        <x:f>IF(G234="","",SUMIF('05_BAO_CAO_NGAY'!$K$6:$K$505,G234,'05_BAO_CAO_NGAY'!$S$6:$S$505))</x:f>
      </x:c>
      <x:c r="Z234" s="21"/>
    </x:row>
    <x:row r="235">
      <x:c r="A235" s="21"/>
      <x:c r="B235" s="21"/>
      <x:c r="C235" s="21"/>
      <x:c r="D235" s="21"/>
      <x:c r="E235" s="21"/>
      <x:c r="F235" s="29" t="str">
        <x:f>IF(OR(B235="",C235=""),"",B235&amp;"|"&amp;C235&amp;"|"&amp;IF(D235="","00",D235)&amp;"|"&amp;IF(E235="","01",E235))</x:f>
      </x:c>
      <x:c r="G235" s="29" t="str">
        <x:f>IF(F235="","",F235&amp;"|"&amp;TEXT(A235,"000"))</x:f>
      </x:c>
      <x:c r="H235" s="21"/>
      <x:c r="I235" s="21"/>
      <x:c r="J235" s="25"/>
      <x:c r="K235" s="25"/>
      <x:c r="L235" s="25"/>
      <x:c r="M235" s="39" t="str">
        <x:f>IF(G235="","",K235+L235*J235)</x:f>
      </x:c>
      <x:c r="N235" s="35"/>
      <x:c r="O235" s="35"/>
      <x:c r="P235" s="21"/>
      <x:c r="Q235" s="21"/>
      <x:c r="R235" s="29" t="str">
        <x:f>IF(G235="","",MIN(J235,SUMIF('05_BAO_CAO_NGAY'!$K$6:$K$505,G235,'05_BAO_CAO_NGAY'!$V$6:$V$505)))</x:f>
      </x:c>
      <x:c r="S235" s="37" t="str">
        <x:f>IF(G235="","",IFERROR(R235/J235,0))</x:f>
      </x:c>
      <x:c r="T235" s="41" t="str">
        <x:f>IF(OR(G235="",COUNTIF('05_BAO_CAO_NGAY'!$K$6:$K$505,G235)=0),"",_xlfn.MINIFS('05_BAO_CAO_NGAY'!$B$6:$B$505,'05_BAO_CAO_NGAY'!$K$6:$K$505,G235))</x:f>
      </x:c>
      <x:c r="U235" s="41" t="str">
        <x:f>IF(OR(G235="",S235&lt;1),"",_xlfn.MAXIFS('05_BAO_CAO_NGAY'!$B$6:$B$505,'05_BAO_CAO_NGAY'!$K$6:$K$505,G235))</x:f>
      </x:c>
      <x:c r="V235" s="29" t="str">
        <x:f>IF(G235="","",IF(S235&gt;=1,IF(U235&lt;=O235,"Hoàn thành đúng hạn","Hoàn thành trễ"),IF(TODAY()&gt;O235,"Quá hạn",IF(R235&gt;0,"Đang thực hiện","Chưa bắt đầu"))))</x:f>
      </x:c>
      <x:c r="W235" s="37" t="str">
        <x:f>IF(G235="","",IFERROR(SUMIF('05_BAO_CAO_NGAY'!$K$6:$K$505,G235,'05_BAO_CAO_NGAY'!$AB$6:$AB$505)/SUMIF('05_BAO_CAO_NGAY'!$K$6:$K$505,G235,'05_BAO_CAO_NGAY'!$AC$6:$AC$505),0))</x:f>
      </x:c>
      <x:c r="X235" s="37" t="str">
        <x:f>IF(G235="","",IFERROR(SUMIFS('05_BAO_CAO_NGAY'!$W$6:$W$505,'05_BAO_CAO_NGAY'!$K$6:$K$505,G235,'05_BAO_CAO_NGAY'!$N$6:$N$505,"PRODUCTION")/SUMIFS('05_BAO_CAO_NGAY'!$U$6:$U$505,'05_BAO_CAO_NGAY'!$K$6:$K$505,G235,'05_BAO_CAO_NGAY'!$N$6:$N$505,"PRODUCTION"),0))</x:f>
      </x:c>
      <x:c r="Y235" s="29" t="str">
        <x:f>IF(G235="","",SUMIF('05_BAO_CAO_NGAY'!$K$6:$K$505,G235,'05_BAO_CAO_NGAY'!$S$6:$S$505))</x:f>
      </x:c>
      <x:c r="Z235" s="21"/>
    </x:row>
    <x:row r="236">
      <x:c r="A236" s="21"/>
      <x:c r="B236" s="21"/>
      <x:c r="C236" s="21"/>
      <x:c r="D236" s="21"/>
      <x:c r="E236" s="21"/>
      <x:c r="F236" s="29" t="str">
        <x:f>IF(OR(B236="",C236=""),"",B236&amp;"|"&amp;C236&amp;"|"&amp;IF(D236="","00",D236)&amp;"|"&amp;IF(E236="","01",E236))</x:f>
      </x:c>
      <x:c r="G236" s="29" t="str">
        <x:f>IF(F236="","",F236&amp;"|"&amp;TEXT(A236,"000"))</x:f>
      </x:c>
      <x:c r="H236" s="21"/>
      <x:c r="I236" s="21"/>
      <x:c r="J236" s="25"/>
      <x:c r="K236" s="25"/>
      <x:c r="L236" s="25"/>
      <x:c r="M236" s="39" t="str">
        <x:f>IF(G236="","",K236+L236*J236)</x:f>
      </x:c>
      <x:c r="N236" s="35"/>
      <x:c r="O236" s="35"/>
      <x:c r="P236" s="21"/>
      <x:c r="Q236" s="21"/>
      <x:c r="R236" s="29" t="str">
        <x:f>IF(G236="","",MIN(J236,SUMIF('05_BAO_CAO_NGAY'!$K$6:$K$505,G236,'05_BAO_CAO_NGAY'!$V$6:$V$505)))</x:f>
      </x:c>
      <x:c r="S236" s="37" t="str">
        <x:f>IF(G236="","",IFERROR(R236/J236,0))</x:f>
      </x:c>
      <x:c r="T236" s="41" t="str">
        <x:f>IF(OR(G236="",COUNTIF('05_BAO_CAO_NGAY'!$K$6:$K$505,G236)=0),"",_xlfn.MINIFS('05_BAO_CAO_NGAY'!$B$6:$B$505,'05_BAO_CAO_NGAY'!$K$6:$K$505,G236))</x:f>
      </x:c>
      <x:c r="U236" s="41" t="str">
        <x:f>IF(OR(G236="",S236&lt;1),"",_xlfn.MAXIFS('05_BAO_CAO_NGAY'!$B$6:$B$505,'05_BAO_CAO_NGAY'!$K$6:$K$505,G236))</x:f>
      </x:c>
      <x:c r="V236" s="29" t="str">
        <x:f>IF(G236="","",IF(S236&gt;=1,IF(U236&lt;=O236,"Hoàn thành đúng hạn","Hoàn thành trễ"),IF(TODAY()&gt;O236,"Quá hạn",IF(R236&gt;0,"Đang thực hiện","Chưa bắt đầu"))))</x:f>
      </x:c>
      <x:c r="W236" s="37" t="str">
        <x:f>IF(G236="","",IFERROR(SUMIF('05_BAO_CAO_NGAY'!$K$6:$K$505,G236,'05_BAO_CAO_NGAY'!$AB$6:$AB$505)/SUMIF('05_BAO_CAO_NGAY'!$K$6:$K$505,G236,'05_BAO_CAO_NGAY'!$AC$6:$AC$505),0))</x:f>
      </x:c>
      <x:c r="X236" s="37" t="str">
        <x:f>IF(G236="","",IFERROR(SUMIFS('05_BAO_CAO_NGAY'!$W$6:$W$505,'05_BAO_CAO_NGAY'!$K$6:$K$505,G236,'05_BAO_CAO_NGAY'!$N$6:$N$505,"PRODUCTION")/SUMIFS('05_BAO_CAO_NGAY'!$U$6:$U$505,'05_BAO_CAO_NGAY'!$K$6:$K$505,G236,'05_BAO_CAO_NGAY'!$N$6:$N$505,"PRODUCTION"),0))</x:f>
      </x:c>
      <x:c r="Y236" s="29" t="str">
        <x:f>IF(G236="","",SUMIF('05_BAO_CAO_NGAY'!$K$6:$K$505,G236,'05_BAO_CAO_NGAY'!$S$6:$S$505))</x:f>
      </x:c>
      <x:c r="Z236" s="21"/>
    </x:row>
    <x:row r="237">
      <x:c r="A237" s="21"/>
      <x:c r="B237" s="21"/>
      <x:c r="C237" s="21"/>
      <x:c r="D237" s="21"/>
      <x:c r="E237" s="21"/>
      <x:c r="F237" s="29" t="str">
        <x:f>IF(OR(B237="",C237=""),"",B237&amp;"|"&amp;C237&amp;"|"&amp;IF(D237="","00",D237)&amp;"|"&amp;IF(E237="","01",E237))</x:f>
      </x:c>
      <x:c r="G237" s="29" t="str">
        <x:f>IF(F237="","",F237&amp;"|"&amp;TEXT(A237,"000"))</x:f>
      </x:c>
      <x:c r="H237" s="21"/>
      <x:c r="I237" s="21"/>
      <x:c r="J237" s="25"/>
      <x:c r="K237" s="25"/>
      <x:c r="L237" s="25"/>
      <x:c r="M237" s="39" t="str">
        <x:f>IF(G237="","",K237+L237*J237)</x:f>
      </x:c>
      <x:c r="N237" s="35"/>
      <x:c r="O237" s="35"/>
      <x:c r="P237" s="21"/>
      <x:c r="Q237" s="21"/>
      <x:c r="R237" s="29" t="str">
        <x:f>IF(G237="","",MIN(J237,SUMIF('05_BAO_CAO_NGAY'!$K$6:$K$505,G237,'05_BAO_CAO_NGAY'!$V$6:$V$505)))</x:f>
      </x:c>
      <x:c r="S237" s="37" t="str">
        <x:f>IF(G237="","",IFERROR(R237/J237,0))</x:f>
      </x:c>
      <x:c r="T237" s="41" t="str">
        <x:f>IF(OR(G237="",COUNTIF('05_BAO_CAO_NGAY'!$K$6:$K$505,G237)=0),"",_xlfn.MINIFS('05_BAO_CAO_NGAY'!$B$6:$B$505,'05_BAO_CAO_NGAY'!$K$6:$K$505,G237))</x:f>
      </x:c>
      <x:c r="U237" s="41" t="str">
        <x:f>IF(OR(G237="",S237&lt;1),"",_xlfn.MAXIFS('05_BAO_CAO_NGAY'!$B$6:$B$505,'05_BAO_CAO_NGAY'!$K$6:$K$505,G237))</x:f>
      </x:c>
      <x:c r="V237" s="29" t="str">
        <x:f>IF(G237="","",IF(S237&gt;=1,IF(U237&lt;=O237,"Hoàn thành đúng hạn","Hoàn thành trễ"),IF(TODAY()&gt;O237,"Quá hạn",IF(R237&gt;0,"Đang thực hiện","Chưa bắt đầu"))))</x:f>
      </x:c>
      <x:c r="W237" s="37" t="str">
        <x:f>IF(G237="","",IFERROR(SUMIF('05_BAO_CAO_NGAY'!$K$6:$K$505,G237,'05_BAO_CAO_NGAY'!$AB$6:$AB$505)/SUMIF('05_BAO_CAO_NGAY'!$K$6:$K$505,G237,'05_BAO_CAO_NGAY'!$AC$6:$AC$505),0))</x:f>
      </x:c>
      <x:c r="X237" s="37" t="str">
        <x:f>IF(G237="","",IFERROR(SUMIFS('05_BAO_CAO_NGAY'!$W$6:$W$505,'05_BAO_CAO_NGAY'!$K$6:$K$505,G237,'05_BAO_CAO_NGAY'!$N$6:$N$505,"PRODUCTION")/SUMIFS('05_BAO_CAO_NGAY'!$U$6:$U$505,'05_BAO_CAO_NGAY'!$K$6:$K$505,G237,'05_BAO_CAO_NGAY'!$N$6:$N$505,"PRODUCTION"),0))</x:f>
      </x:c>
      <x:c r="Y237" s="29" t="str">
        <x:f>IF(G237="","",SUMIF('05_BAO_CAO_NGAY'!$K$6:$K$505,G237,'05_BAO_CAO_NGAY'!$S$6:$S$505))</x:f>
      </x:c>
      <x:c r="Z237" s="21"/>
    </x:row>
    <x:row r="238">
      <x:c r="A238" s="21"/>
      <x:c r="B238" s="21"/>
      <x:c r="C238" s="21"/>
      <x:c r="D238" s="21"/>
      <x:c r="E238" s="21"/>
      <x:c r="F238" s="29" t="str">
        <x:f>IF(OR(B238="",C238=""),"",B238&amp;"|"&amp;C238&amp;"|"&amp;IF(D238="","00",D238)&amp;"|"&amp;IF(E238="","01",E238))</x:f>
      </x:c>
      <x:c r="G238" s="29" t="str">
        <x:f>IF(F238="","",F238&amp;"|"&amp;TEXT(A238,"000"))</x:f>
      </x:c>
      <x:c r="H238" s="21"/>
      <x:c r="I238" s="21"/>
      <x:c r="J238" s="25"/>
      <x:c r="K238" s="25"/>
      <x:c r="L238" s="25"/>
      <x:c r="M238" s="39" t="str">
        <x:f>IF(G238="","",K238+L238*J238)</x:f>
      </x:c>
      <x:c r="N238" s="35"/>
      <x:c r="O238" s="35"/>
      <x:c r="P238" s="21"/>
      <x:c r="Q238" s="21"/>
      <x:c r="R238" s="29" t="str">
        <x:f>IF(G238="","",MIN(J238,SUMIF('05_BAO_CAO_NGAY'!$K$6:$K$505,G238,'05_BAO_CAO_NGAY'!$V$6:$V$505)))</x:f>
      </x:c>
      <x:c r="S238" s="37" t="str">
        <x:f>IF(G238="","",IFERROR(R238/J238,0))</x:f>
      </x:c>
      <x:c r="T238" s="41" t="str">
        <x:f>IF(OR(G238="",COUNTIF('05_BAO_CAO_NGAY'!$K$6:$K$505,G238)=0),"",_xlfn.MINIFS('05_BAO_CAO_NGAY'!$B$6:$B$505,'05_BAO_CAO_NGAY'!$K$6:$K$505,G238))</x:f>
      </x:c>
      <x:c r="U238" s="41" t="str">
        <x:f>IF(OR(G238="",S238&lt;1),"",_xlfn.MAXIFS('05_BAO_CAO_NGAY'!$B$6:$B$505,'05_BAO_CAO_NGAY'!$K$6:$K$505,G238))</x:f>
      </x:c>
      <x:c r="V238" s="29" t="str">
        <x:f>IF(G238="","",IF(S238&gt;=1,IF(U238&lt;=O238,"Hoàn thành đúng hạn","Hoàn thành trễ"),IF(TODAY()&gt;O238,"Quá hạn",IF(R238&gt;0,"Đang thực hiện","Chưa bắt đầu"))))</x:f>
      </x:c>
      <x:c r="W238" s="37" t="str">
        <x:f>IF(G238="","",IFERROR(SUMIF('05_BAO_CAO_NGAY'!$K$6:$K$505,G238,'05_BAO_CAO_NGAY'!$AB$6:$AB$505)/SUMIF('05_BAO_CAO_NGAY'!$K$6:$K$505,G238,'05_BAO_CAO_NGAY'!$AC$6:$AC$505),0))</x:f>
      </x:c>
      <x:c r="X238" s="37" t="str">
        <x:f>IF(G238="","",IFERROR(SUMIFS('05_BAO_CAO_NGAY'!$W$6:$W$505,'05_BAO_CAO_NGAY'!$K$6:$K$505,G238,'05_BAO_CAO_NGAY'!$N$6:$N$505,"PRODUCTION")/SUMIFS('05_BAO_CAO_NGAY'!$U$6:$U$505,'05_BAO_CAO_NGAY'!$K$6:$K$505,G238,'05_BAO_CAO_NGAY'!$N$6:$N$505,"PRODUCTION"),0))</x:f>
      </x:c>
      <x:c r="Y238" s="29" t="str">
        <x:f>IF(G238="","",SUMIF('05_BAO_CAO_NGAY'!$K$6:$K$505,G238,'05_BAO_CAO_NGAY'!$S$6:$S$505))</x:f>
      </x:c>
      <x:c r="Z238" s="21"/>
    </x:row>
    <x:row r="239">
      <x:c r="A239" s="21"/>
      <x:c r="B239" s="21"/>
      <x:c r="C239" s="21"/>
      <x:c r="D239" s="21"/>
      <x:c r="E239" s="21"/>
      <x:c r="F239" s="29" t="str">
        <x:f>IF(OR(B239="",C239=""),"",B239&amp;"|"&amp;C239&amp;"|"&amp;IF(D239="","00",D239)&amp;"|"&amp;IF(E239="","01",E239))</x:f>
      </x:c>
      <x:c r="G239" s="29" t="str">
        <x:f>IF(F239="","",F239&amp;"|"&amp;TEXT(A239,"000"))</x:f>
      </x:c>
      <x:c r="H239" s="21"/>
      <x:c r="I239" s="21"/>
      <x:c r="J239" s="25"/>
      <x:c r="K239" s="25"/>
      <x:c r="L239" s="25"/>
      <x:c r="M239" s="39" t="str">
        <x:f>IF(G239="","",K239+L239*J239)</x:f>
      </x:c>
      <x:c r="N239" s="35"/>
      <x:c r="O239" s="35"/>
      <x:c r="P239" s="21"/>
      <x:c r="Q239" s="21"/>
      <x:c r="R239" s="29" t="str">
        <x:f>IF(G239="","",MIN(J239,SUMIF('05_BAO_CAO_NGAY'!$K$6:$K$505,G239,'05_BAO_CAO_NGAY'!$V$6:$V$505)))</x:f>
      </x:c>
      <x:c r="S239" s="37" t="str">
        <x:f>IF(G239="","",IFERROR(R239/J239,0))</x:f>
      </x:c>
      <x:c r="T239" s="41" t="str">
        <x:f>IF(OR(G239="",COUNTIF('05_BAO_CAO_NGAY'!$K$6:$K$505,G239)=0),"",_xlfn.MINIFS('05_BAO_CAO_NGAY'!$B$6:$B$505,'05_BAO_CAO_NGAY'!$K$6:$K$505,G239))</x:f>
      </x:c>
      <x:c r="U239" s="41" t="str">
        <x:f>IF(OR(G239="",S239&lt;1),"",_xlfn.MAXIFS('05_BAO_CAO_NGAY'!$B$6:$B$505,'05_BAO_CAO_NGAY'!$K$6:$K$505,G239))</x:f>
      </x:c>
      <x:c r="V239" s="29" t="str">
        <x:f>IF(G239="","",IF(S239&gt;=1,IF(U239&lt;=O239,"Hoàn thành đúng hạn","Hoàn thành trễ"),IF(TODAY()&gt;O239,"Quá hạn",IF(R239&gt;0,"Đang thực hiện","Chưa bắt đầu"))))</x:f>
      </x:c>
      <x:c r="W239" s="37" t="str">
        <x:f>IF(G239="","",IFERROR(SUMIF('05_BAO_CAO_NGAY'!$K$6:$K$505,G239,'05_BAO_CAO_NGAY'!$AB$6:$AB$505)/SUMIF('05_BAO_CAO_NGAY'!$K$6:$K$505,G239,'05_BAO_CAO_NGAY'!$AC$6:$AC$505),0))</x:f>
      </x:c>
      <x:c r="X239" s="37" t="str">
        <x:f>IF(G239="","",IFERROR(SUMIFS('05_BAO_CAO_NGAY'!$W$6:$W$505,'05_BAO_CAO_NGAY'!$K$6:$K$505,G239,'05_BAO_CAO_NGAY'!$N$6:$N$505,"PRODUCTION")/SUMIFS('05_BAO_CAO_NGAY'!$U$6:$U$505,'05_BAO_CAO_NGAY'!$K$6:$K$505,G239,'05_BAO_CAO_NGAY'!$N$6:$N$505,"PRODUCTION"),0))</x:f>
      </x:c>
      <x:c r="Y239" s="29" t="str">
        <x:f>IF(G239="","",SUMIF('05_BAO_CAO_NGAY'!$K$6:$K$505,G239,'05_BAO_CAO_NGAY'!$S$6:$S$505))</x:f>
      </x:c>
      <x:c r="Z239" s="21"/>
    </x:row>
    <x:row r="240">
      <x:c r="A240" s="21"/>
      <x:c r="B240" s="21"/>
      <x:c r="C240" s="21"/>
      <x:c r="D240" s="21"/>
      <x:c r="E240" s="21"/>
      <x:c r="F240" s="29" t="str">
        <x:f>IF(OR(B240="",C240=""),"",B240&amp;"|"&amp;C240&amp;"|"&amp;IF(D240="","00",D240)&amp;"|"&amp;IF(E240="","01",E240))</x:f>
      </x:c>
      <x:c r="G240" s="29" t="str">
        <x:f>IF(F240="","",F240&amp;"|"&amp;TEXT(A240,"000"))</x:f>
      </x:c>
      <x:c r="H240" s="21"/>
      <x:c r="I240" s="21"/>
      <x:c r="J240" s="25"/>
      <x:c r="K240" s="25"/>
      <x:c r="L240" s="25"/>
      <x:c r="M240" s="39" t="str">
        <x:f>IF(G240="","",K240+L240*J240)</x:f>
      </x:c>
      <x:c r="N240" s="35"/>
      <x:c r="O240" s="35"/>
      <x:c r="P240" s="21"/>
      <x:c r="Q240" s="21"/>
      <x:c r="R240" s="29" t="str">
        <x:f>IF(G240="","",MIN(J240,SUMIF('05_BAO_CAO_NGAY'!$K$6:$K$505,G240,'05_BAO_CAO_NGAY'!$V$6:$V$505)))</x:f>
      </x:c>
      <x:c r="S240" s="37" t="str">
        <x:f>IF(G240="","",IFERROR(R240/J240,0))</x:f>
      </x:c>
      <x:c r="T240" s="41" t="str">
        <x:f>IF(OR(G240="",COUNTIF('05_BAO_CAO_NGAY'!$K$6:$K$505,G240)=0),"",_xlfn.MINIFS('05_BAO_CAO_NGAY'!$B$6:$B$505,'05_BAO_CAO_NGAY'!$K$6:$K$505,G240))</x:f>
      </x:c>
      <x:c r="U240" s="41" t="str">
        <x:f>IF(OR(G240="",S240&lt;1),"",_xlfn.MAXIFS('05_BAO_CAO_NGAY'!$B$6:$B$505,'05_BAO_CAO_NGAY'!$K$6:$K$505,G240))</x:f>
      </x:c>
      <x:c r="V240" s="29" t="str">
        <x:f>IF(G240="","",IF(S240&gt;=1,IF(U240&lt;=O240,"Hoàn thành đúng hạn","Hoàn thành trễ"),IF(TODAY()&gt;O240,"Quá hạn",IF(R240&gt;0,"Đang thực hiện","Chưa bắt đầu"))))</x:f>
      </x:c>
      <x:c r="W240" s="37" t="str">
        <x:f>IF(G240="","",IFERROR(SUMIF('05_BAO_CAO_NGAY'!$K$6:$K$505,G240,'05_BAO_CAO_NGAY'!$AB$6:$AB$505)/SUMIF('05_BAO_CAO_NGAY'!$K$6:$K$505,G240,'05_BAO_CAO_NGAY'!$AC$6:$AC$505),0))</x:f>
      </x:c>
      <x:c r="X240" s="37" t="str">
        <x:f>IF(G240="","",IFERROR(SUMIFS('05_BAO_CAO_NGAY'!$W$6:$W$505,'05_BAO_CAO_NGAY'!$K$6:$K$505,G240,'05_BAO_CAO_NGAY'!$N$6:$N$505,"PRODUCTION")/SUMIFS('05_BAO_CAO_NGAY'!$U$6:$U$505,'05_BAO_CAO_NGAY'!$K$6:$K$505,G240,'05_BAO_CAO_NGAY'!$N$6:$N$505,"PRODUCTION"),0))</x:f>
      </x:c>
      <x:c r="Y240" s="29" t="str">
        <x:f>IF(G240="","",SUMIF('05_BAO_CAO_NGAY'!$K$6:$K$505,G240,'05_BAO_CAO_NGAY'!$S$6:$S$505))</x:f>
      </x:c>
      <x:c r="Z240" s="21"/>
    </x:row>
    <x:row r="241">
      <x:c r="A241" s="21"/>
      <x:c r="B241" s="21"/>
      <x:c r="C241" s="21"/>
      <x:c r="D241" s="21"/>
      <x:c r="E241" s="21"/>
      <x:c r="F241" s="29" t="str">
        <x:f>IF(OR(B241="",C241=""),"",B241&amp;"|"&amp;C241&amp;"|"&amp;IF(D241="","00",D241)&amp;"|"&amp;IF(E241="","01",E241))</x:f>
      </x:c>
      <x:c r="G241" s="29" t="str">
        <x:f>IF(F241="","",F241&amp;"|"&amp;TEXT(A241,"000"))</x:f>
      </x:c>
      <x:c r="H241" s="21"/>
      <x:c r="I241" s="21"/>
      <x:c r="J241" s="25"/>
      <x:c r="K241" s="25"/>
      <x:c r="L241" s="25"/>
      <x:c r="M241" s="39" t="str">
        <x:f>IF(G241="","",K241+L241*J241)</x:f>
      </x:c>
      <x:c r="N241" s="35"/>
      <x:c r="O241" s="35"/>
      <x:c r="P241" s="21"/>
      <x:c r="Q241" s="21"/>
      <x:c r="R241" s="29" t="str">
        <x:f>IF(G241="","",MIN(J241,SUMIF('05_BAO_CAO_NGAY'!$K$6:$K$505,G241,'05_BAO_CAO_NGAY'!$V$6:$V$505)))</x:f>
      </x:c>
      <x:c r="S241" s="37" t="str">
        <x:f>IF(G241="","",IFERROR(R241/J241,0))</x:f>
      </x:c>
      <x:c r="T241" s="41" t="str">
        <x:f>IF(OR(G241="",COUNTIF('05_BAO_CAO_NGAY'!$K$6:$K$505,G241)=0),"",_xlfn.MINIFS('05_BAO_CAO_NGAY'!$B$6:$B$505,'05_BAO_CAO_NGAY'!$K$6:$K$505,G241))</x:f>
      </x:c>
      <x:c r="U241" s="41" t="str">
        <x:f>IF(OR(G241="",S241&lt;1),"",_xlfn.MAXIFS('05_BAO_CAO_NGAY'!$B$6:$B$505,'05_BAO_CAO_NGAY'!$K$6:$K$505,G241))</x:f>
      </x:c>
      <x:c r="V241" s="29" t="str">
        <x:f>IF(G241="","",IF(S241&gt;=1,IF(U241&lt;=O241,"Hoàn thành đúng hạn","Hoàn thành trễ"),IF(TODAY()&gt;O241,"Quá hạn",IF(R241&gt;0,"Đang thực hiện","Chưa bắt đầu"))))</x:f>
      </x:c>
      <x:c r="W241" s="37" t="str">
        <x:f>IF(G241="","",IFERROR(SUMIF('05_BAO_CAO_NGAY'!$K$6:$K$505,G241,'05_BAO_CAO_NGAY'!$AB$6:$AB$505)/SUMIF('05_BAO_CAO_NGAY'!$K$6:$K$505,G241,'05_BAO_CAO_NGAY'!$AC$6:$AC$505),0))</x:f>
      </x:c>
      <x:c r="X241" s="37" t="str">
        <x:f>IF(G241="","",IFERROR(SUMIFS('05_BAO_CAO_NGAY'!$W$6:$W$505,'05_BAO_CAO_NGAY'!$K$6:$K$505,G241,'05_BAO_CAO_NGAY'!$N$6:$N$505,"PRODUCTION")/SUMIFS('05_BAO_CAO_NGAY'!$U$6:$U$505,'05_BAO_CAO_NGAY'!$K$6:$K$505,G241,'05_BAO_CAO_NGAY'!$N$6:$N$505,"PRODUCTION"),0))</x:f>
      </x:c>
      <x:c r="Y241" s="29" t="str">
        <x:f>IF(G241="","",SUMIF('05_BAO_CAO_NGAY'!$K$6:$K$505,G241,'05_BAO_CAO_NGAY'!$S$6:$S$505))</x:f>
      </x:c>
      <x:c r="Z241" s="21"/>
    </x:row>
    <x:row r="242">
      <x:c r="A242" s="21"/>
      <x:c r="B242" s="21"/>
      <x:c r="C242" s="21"/>
      <x:c r="D242" s="21"/>
      <x:c r="E242" s="21"/>
      <x:c r="F242" s="29" t="str">
        <x:f>IF(OR(B242="",C242=""),"",B242&amp;"|"&amp;C242&amp;"|"&amp;IF(D242="","00",D242)&amp;"|"&amp;IF(E242="","01",E242))</x:f>
      </x:c>
      <x:c r="G242" s="29" t="str">
        <x:f>IF(F242="","",F242&amp;"|"&amp;TEXT(A242,"000"))</x:f>
      </x:c>
      <x:c r="H242" s="21"/>
      <x:c r="I242" s="21"/>
      <x:c r="J242" s="25"/>
      <x:c r="K242" s="25"/>
      <x:c r="L242" s="25"/>
      <x:c r="M242" s="39" t="str">
        <x:f>IF(G242="","",K242+L242*J242)</x:f>
      </x:c>
      <x:c r="N242" s="35"/>
      <x:c r="O242" s="35"/>
      <x:c r="P242" s="21"/>
      <x:c r="Q242" s="21"/>
      <x:c r="R242" s="29" t="str">
        <x:f>IF(G242="","",MIN(J242,SUMIF('05_BAO_CAO_NGAY'!$K$6:$K$505,G242,'05_BAO_CAO_NGAY'!$V$6:$V$505)))</x:f>
      </x:c>
      <x:c r="S242" s="37" t="str">
        <x:f>IF(G242="","",IFERROR(R242/J242,0))</x:f>
      </x:c>
      <x:c r="T242" s="41" t="str">
        <x:f>IF(OR(G242="",COUNTIF('05_BAO_CAO_NGAY'!$K$6:$K$505,G242)=0),"",_xlfn.MINIFS('05_BAO_CAO_NGAY'!$B$6:$B$505,'05_BAO_CAO_NGAY'!$K$6:$K$505,G242))</x:f>
      </x:c>
      <x:c r="U242" s="41" t="str">
        <x:f>IF(OR(G242="",S242&lt;1),"",_xlfn.MAXIFS('05_BAO_CAO_NGAY'!$B$6:$B$505,'05_BAO_CAO_NGAY'!$K$6:$K$505,G242))</x:f>
      </x:c>
      <x:c r="V242" s="29" t="str">
        <x:f>IF(G242="","",IF(S242&gt;=1,IF(U242&lt;=O242,"Hoàn thành đúng hạn","Hoàn thành trễ"),IF(TODAY()&gt;O242,"Quá hạn",IF(R242&gt;0,"Đang thực hiện","Chưa bắt đầu"))))</x:f>
      </x:c>
      <x:c r="W242" s="37" t="str">
        <x:f>IF(G242="","",IFERROR(SUMIF('05_BAO_CAO_NGAY'!$K$6:$K$505,G242,'05_BAO_CAO_NGAY'!$AB$6:$AB$505)/SUMIF('05_BAO_CAO_NGAY'!$K$6:$K$505,G242,'05_BAO_CAO_NGAY'!$AC$6:$AC$505),0))</x:f>
      </x:c>
      <x:c r="X242" s="37" t="str">
        <x:f>IF(G242="","",IFERROR(SUMIFS('05_BAO_CAO_NGAY'!$W$6:$W$505,'05_BAO_CAO_NGAY'!$K$6:$K$505,G242,'05_BAO_CAO_NGAY'!$N$6:$N$505,"PRODUCTION")/SUMIFS('05_BAO_CAO_NGAY'!$U$6:$U$505,'05_BAO_CAO_NGAY'!$K$6:$K$505,G242,'05_BAO_CAO_NGAY'!$N$6:$N$505,"PRODUCTION"),0))</x:f>
      </x:c>
      <x:c r="Y242" s="29" t="str">
        <x:f>IF(G242="","",SUMIF('05_BAO_CAO_NGAY'!$K$6:$K$505,G242,'05_BAO_CAO_NGAY'!$S$6:$S$505))</x:f>
      </x:c>
      <x:c r="Z242" s="21"/>
    </x:row>
    <x:row r="243">
      <x:c r="A243" s="21"/>
      <x:c r="B243" s="21"/>
      <x:c r="C243" s="21"/>
      <x:c r="D243" s="21"/>
      <x:c r="E243" s="21"/>
      <x:c r="F243" s="29" t="str">
        <x:f>IF(OR(B243="",C243=""),"",B243&amp;"|"&amp;C243&amp;"|"&amp;IF(D243="","00",D243)&amp;"|"&amp;IF(E243="","01",E243))</x:f>
      </x:c>
      <x:c r="G243" s="29" t="str">
        <x:f>IF(F243="","",F243&amp;"|"&amp;TEXT(A243,"000"))</x:f>
      </x:c>
      <x:c r="H243" s="21"/>
      <x:c r="I243" s="21"/>
      <x:c r="J243" s="25"/>
      <x:c r="K243" s="25"/>
      <x:c r="L243" s="25"/>
      <x:c r="M243" s="39" t="str">
        <x:f>IF(G243="","",K243+L243*J243)</x:f>
      </x:c>
      <x:c r="N243" s="35"/>
      <x:c r="O243" s="35"/>
      <x:c r="P243" s="21"/>
      <x:c r="Q243" s="21"/>
      <x:c r="R243" s="29" t="str">
        <x:f>IF(G243="","",MIN(J243,SUMIF('05_BAO_CAO_NGAY'!$K$6:$K$505,G243,'05_BAO_CAO_NGAY'!$V$6:$V$505)))</x:f>
      </x:c>
      <x:c r="S243" s="37" t="str">
        <x:f>IF(G243="","",IFERROR(R243/J243,0))</x:f>
      </x:c>
      <x:c r="T243" s="41" t="str">
        <x:f>IF(OR(G243="",COUNTIF('05_BAO_CAO_NGAY'!$K$6:$K$505,G243)=0),"",_xlfn.MINIFS('05_BAO_CAO_NGAY'!$B$6:$B$505,'05_BAO_CAO_NGAY'!$K$6:$K$505,G243))</x:f>
      </x:c>
      <x:c r="U243" s="41" t="str">
        <x:f>IF(OR(G243="",S243&lt;1),"",_xlfn.MAXIFS('05_BAO_CAO_NGAY'!$B$6:$B$505,'05_BAO_CAO_NGAY'!$K$6:$K$505,G243))</x:f>
      </x:c>
      <x:c r="V243" s="29" t="str">
        <x:f>IF(G243="","",IF(S243&gt;=1,IF(U243&lt;=O243,"Hoàn thành đúng hạn","Hoàn thành trễ"),IF(TODAY()&gt;O243,"Quá hạn",IF(R243&gt;0,"Đang thực hiện","Chưa bắt đầu"))))</x:f>
      </x:c>
      <x:c r="W243" s="37" t="str">
        <x:f>IF(G243="","",IFERROR(SUMIF('05_BAO_CAO_NGAY'!$K$6:$K$505,G243,'05_BAO_CAO_NGAY'!$AB$6:$AB$505)/SUMIF('05_BAO_CAO_NGAY'!$K$6:$K$505,G243,'05_BAO_CAO_NGAY'!$AC$6:$AC$505),0))</x:f>
      </x:c>
      <x:c r="X243" s="37" t="str">
        <x:f>IF(G243="","",IFERROR(SUMIFS('05_BAO_CAO_NGAY'!$W$6:$W$505,'05_BAO_CAO_NGAY'!$K$6:$K$505,G243,'05_BAO_CAO_NGAY'!$N$6:$N$505,"PRODUCTION")/SUMIFS('05_BAO_CAO_NGAY'!$U$6:$U$505,'05_BAO_CAO_NGAY'!$K$6:$K$505,G243,'05_BAO_CAO_NGAY'!$N$6:$N$505,"PRODUCTION"),0))</x:f>
      </x:c>
      <x:c r="Y243" s="29" t="str">
        <x:f>IF(G243="","",SUMIF('05_BAO_CAO_NGAY'!$K$6:$K$505,G243,'05_BAO_CAO_NGAY'!$S$6:$S$505))</x:f>
      </x:c>
      <x:c r="Z243" s="21"/>
    </x:row>
    <x:row r="244">
      <x:c r="A244" s="21"/>
      <x:c r="B244" s="21"/>
      <x:c r="C244" s="21"/>
      <x:c r="D244" s="21"/>
      <x:c r="E244" s="21"/>
      <x:c r="F244" s="29" t="str">
        <x:f>IF(OR(B244="",C244=""),"",B244&amp;"|"&amp;C244&amp;"|"&amp;IF(D244="","00",D244)&amp;"|"&amp;IF(E244="","01",E244))</x:f>
      </x:c>
      <x:c r="G244" s="29" t="str">
        <x:f>IF(F244="","",F244&amp;"|"&amp;TEXT(A244,"000"))</x:f>
      </x:c>
      <x:c r="H244" s="21"/>
      <x:c r="I244" s="21"/>
      <x:c r="J244" s="25"/>
      <x:c r="K244" s="25"/>
      <x:c r="L244" s="25"/>
      <x:c r="M244" s="39" t="str">
        <x:f>IF(G244="","",K244+L244*J244)</x:f>
      </x:c>
      <x:c r="N244" s="35"/>
      <x:c r="O244" s="35"/>
      <x:c r="P244" s="21"/>
      <x:c r="Q244" s="21"/>
      <x:c r="R244" s="29" t="str">
        <x:f>IF(G244="","",MIN(J244,SUMIF('05_BAO_CAO_NGAY'!$K$6:$K$505,G244,'05_BAO_CAO_NGAY'!$V$6:$V$505)))</x:f>
      </x:c>
      <x:c r="S244" s="37" t="str">
        <x:f>IF(G244="","",IFERROR(R244/J244,0))</x:f>
      </x:c>
      <x:c r="T244" s="41" t="str">
        <x:f>IF(OR(G244="",COUNTIF('05_BAO_CAO_NGAY'!$K$6:$K$505,G244)=0),"",_xlfn.MINIFS('05_BAO_CAO_NGAY'!$B$6:$B$505,'05_BAO_CAO_NGAY'!$K$6:$K$505,G244))</x:f>
      </x:c>
      <x:c r="U244" s="41" t="str">
        <x:f>IF(OR(G244="",S244&lt;1),"",_xlfn.MAXIFS('05_BAO_CAO_NGAY'!$B$6:$B$505,'05_BAO_CAO_NGAY'!$K$6:$K$505,G244))</x:f>
      </x:c>
      <x:c r="V244" s="29" t="str">
        <x:f>IF(G244="","",IF(S244&gt;=1,IF(U244&lt;=O244,"Hoàn thành đúng hạn","Hoàn thành trễ"),IF(TODAY()&gt;O244,"Quá hạn",IF(R244&gt;0,"Đang thực hiện","Chưa bắt đầu"))))</x:f>
      </x:c>
      <x:c r="W244" s="37" t="str">
        <x:f>IF(G244="","",IFERROR(SUMIF('05_BAO_CAO_NGAY'!$K$6:$K$505,G244,'05_BAO_CAO_NGAY'!$AB$6:$AB$505)/SUMIF('05_BAO_CAO_NGAY'!$K$6:$K$505,G244,'05_BAO_CAO_NGAY'!$AC$6:$AC$505),0))</x:f>
      </x:c>
      <x:c r="X244" s="37" t="str">
        <x:f>IF(G244="","",IFERROR(SUMIFS('05_BAO_CAO_NGAY'!$W$6:$W$505,'05_BAO_CAO_NGAY'!$K$6:$K$505,G244,'05_BAO_CAO_NGAY'!$N$6:$N$505,"PRODUCTION")/SUMIFS('05_BAO_CAO_NGAY'!$U$6:$U$505,'05_BAO_CAO_NGAY'!$K$6:$K$505,G244,'05_BAO_CAO_NGAY'!$N$6:$N$505,"PRODUCTION"),0))</x:f>
      </x:c>
      <x:c r="Y244" s="29" t="str">
        <x:f>IF(G244="","",SUMIF('05_BAO_CAO_NGAY'!$K$6:$K$505,G244,'05_BAO_CAO_NGAY'!$S$6:$S$505))</x:f>
      </x:c>
      <x:c r="Z244" s="21"/>
    </x:row>
    <x:row r="245">
      <x:c r="A245" s="21"/>
      <x:c r="B245" s="21"/>
      <x:c r="C245" s="21"/>
      <x:c r="D245" s="21"/>
      <x:c r="E245" s="21"/>
      <x:c r="F245" s="29" t="str">
        <x:f>IF(OR(B245="",C245=""),"",B245&amp;"|"&amp;C245&amp;"|"&amp;IF(D245="","00",D245)&amp;"|"&amp;IF(E245="","01",E245))</x:f>
      </x:c>
      <x:c r="G245" s="29" t="str">
        <x:f>IF(F245="","",F245&amp;"|"&amp;TEXT(A245,"000"))</x:f>
      </x:c>
      <x:c r="H245" s="21"/>
      <x:c r="I245" s="21"/>
      <x:c r="J245" s="25"/>
      <x:c r="K245" s="25"/>
      <x:c r="L245" s="25"/>
      <x:c r="M245" s="39" t="str">
        <x:f>IF(G245="","",K245+L245*J245)</x:f>
      </x:c>
      <x:c r="N245" s="35"/>
      <x:c r="O245" s="35"/>
      <x:c r="P245" s="21"/>
      <x:c r="Q245" s="21"/>
      <x:c r="R245" s="29" t="str">
        <x:f>IF(G245="","",MIN(J245,SUMIF('05_BAO_CAO_NGAY'!$K$6:$K$505,G245,'05_BAO_CAO_NGAY'!$V$6:$V$505)))</x:f>
      </x:c>
      <x:c r="S245" s="37" t="str">
        <x:f>IF(G245="","",IFERROR(R245/J245,0))</x:f>
      </x:c>
      <x:c r="T245" s="41" t="str">
        <x:f>IF(OR(G245="",COUNTIF('05_BAO_CAO_NGAY'!$K$6:$K$505,G245)=0),"",_xlfn.MINIFS('05_BAO_CAO_NGAY'!$B$6:$B$505,'05_BAO_CAO_NGAY'!$K$6:$K$505,G245))</x:f>
      </x:c>
      <x:c r="U245" s="41" t="str">
        <x:f>IF(OR(G245="",S245&lt;1),"",_xlfn.MAXIFS('05_BAO_CAO_NGAY'!$B$6:$B$505,'05_BAO_CAO_NGAY'!$K$6:$K$505,G245))</x:f>
      </x:c>
      <x:c r="V245" s="29" t="str">
        <x:f>IF(G245="","",IF(S245&gt;=1,IF(U245&lt;=O245,"Hoàn thành đúng hạn","Hoàn thành trễ"),IF(TODAY()&gt;O245,"Quá hạn",IF(R245&gt;0,"Đang thực hiện","Chưa bắt đầu"))))</x:f>
      </x:c>
      <x:c r="W245" s="37" t="str">
        <x:f>IF(G245="","",IFERROR(SUMIF('05_BAO_CAO_NGAY'!$K$6:$K$505,G245,'05_BAO_CAO_NGAY'!$AB$6:$AB$505)/SUMIF('05_BAO_CAO_NGAY'!$K$6:$K$505,G245,'05_BAO_CAO_NGAY'!$AC$6:$AC$505),0))</x:f>
      </x:c>
      <x:c r="X245" s="37" t="str">
        <x:f>IF(G245="","",IFERROR(SUMIFS('05_BAO_CAO_NGAY'!$W$6:$W$505,'05_BAO_CAO_NGAY'!$K$6:$K$505,G245,'05_BAO_CAO_NGAY'!$N$6:$N$505,"PRODUCTION")/SUMIFS('05_BAO_CAO_NGAY'!$U$6:$U$505,'05_BAO_CAO_NGAY'!$K$6:$K$505,G245,'05_BAO_CAO_NGAY'!$N$6:$N$505,"PRODUCTION"),0))</x:f>
      </x:c>
      <x:c r="Y245" s="29" t="str">
        <x:f>IF(G245="","",SUMIF('05_BAO_CAO_NGAY'!$K$6:$K$505,G245,'05_BAO_CAO_NGAY'!$S$6:$S$505))</x:f>
      </x:c>
      <x:c r="Z245" s="21"/>
    </x:row>
    <x:row r="246">
      <x:c r="A246" s="21"/>
      <x:c r="B246" s="21"/>
      <x:c r="C246" s="21"/>
      <x:c r="D246" s="21"/>
      <x:c r="E246" s="21"/>
      <x:c r="F246" s="29" t="str">
        <x:f>IF(OR(B246="",C246=""),"",B246&amp;"|"&amp;C246&amp;"|"&amp;IF(D246="","00",D246)&amp;"|"&amp;IF(E246="","01",E246))</x:f>
      </x:c>
      <x:c r="G246" s="29" t="str">
        <x:f>IF(F246="","",F246&amp;"|"&amp;TEXT(A246,"000"))</x:f>
      </x:c>
      <x:c r="H246" s="21"/>
      <x:c r="I246" s="21"/>
      <x:c r="J246" s="25"/>
      <x:c r="K246" s="25"/>
      <x:c r="L246" s="25"/>
      <x:c r="M246" s="39" t="str">
        <x:f>IF(G246="","",K246+L246*J246)</x:f>
      </x:c>
      <x:c r="N246" s="35"/>
      <x:c r="O246" s="35"/>
      <x:c r="P246" s="21"/>
      <x:c r="Q246" s="21"/>
      <x:c r="R246" s="29" t="str">
        <x:f>IF(G246="","",MIN(J246,SUMIF('05_BAO_CAO_NGAY'!$K$6:$K$505,G246,'05_BAO_CAO_NGAY'!$V$6:$V$505)))</x:f>
      </x:c>
      <x:c r="S246" s="37" t="str">
        <x:f>IF(G246="","",IFERROR(R246/J246,0))</x:f>
      </x:c>
      <x:c r="T246" s="41" t="str">
        <x:f>IF(OR(G246="",COUNTIF('05_BAO_CAO_NGAY'!$K$6:$K$505,G246)=0),"",_xlfn.MINIFS('05_BAO_CAO_NGAY'!$B$6:$B$505,'05_BAO_CAO_NGAY'!$K$6:$K$505,G246))</x:f>
      </x:c>
      <x:c r="U246" s="41" t="str">
        <x:f>IF(OR(G246="",S246&lt;1),"",_xlfn.MAXIFS('05_BAO_CAO_NGAY'!$B$6:$B$505,'05_BAO_CAO_NGAY'!$K$6:$K$505,G246))</x:f>
      </x:c>
      <x:c r="V246" s="29" t="str">
        <x:f>IF(G246="","",IF(S246&gt;=1,IF(U246&lt;=O246,"Hoàn thành đúng hạn","Hoàn thành trễ"),IF(TODAY()&gt;O246,"Quá hạn",IF(R246&gt;0,"Đang thực hiện","Chưa bắt đầu"))))</x:f>
      </x:c>
      <x:c r="W246" s="37" t="str">
        <x:f>IF(G246="","",IFERROR(SUMIF('05_BAO_CAO_NGAY'!$K$6:$K$505,G246,'05_BAO_CAO_NGAY'!$AB$6:$AB$505)/SUMIF('05_BAO_CAO_NGAY'!$K$6:$K$505,G246,'05_BAO_CAO_NGAY'!$AC$6:$AC$505),0))</x:f>
      </x:c>
      <x:c r="X246" s="37" t="str">
        <x:f>IF(G246="","",IFERROR(SUMIFS('05_BAO_CAO_NGAY'!$W$6:$W$505,'05_BAO_CAO_NGAY'!$K$6:$K$505,G246,'05_BAO_CAO_NGAY'!$N$6:$N$505,"PRODUCTION")/SUMIFS('05_BAO_CAO_NGAY'!$U$6:$U$505,'05_BAO_CAO_NGAY'!$K$6:$K$505,G246,'05_BAO_CAO_NGAY'!$N$6:$N$505,"PRODUCTION"),0))</x:f>
      </x:c>
      <x:c r="Y246" s="29" t="str">
        <x:f>IF(G246="","",SUMIF('05_BAO_CAO_NGAY'!$K$6:$K$505,G246,'05_BAO_CAO_NGAY'!$S$6:$S$505))</x:f>
      </x:c>
      <x:c r="Z246" s="21"/>
    </x:row>
    <x:row r="247">
      <x:c r="A247" s="21"/>
      <x:c r="B247" s="21"/>
      <x:c r="C247" s="21"/>
      <x:c r="D247" s="21"/>
      <x:c r="E247" s="21"/>
      <x:c r="F247" s="29" t="str">
        <x:f>IF(OR(B247="",C247=""),"",B247&amp;"|"&amp;C247&amp;"|"&amp;IF(D247="","00",D247)&amp;"|"&amp;IF(E247="","01",E247))</x:f>
      </x:c>
      <x:c r="G247" s="29" t="str">
        <x:f>IF(F247="","",F247&amp;"|"&amp;TEXT(A247,"000"))</x:f>
      </x:c>
      <x:c r="H247" s="21"/>
      <x:c r="I247" s="21"/>
      <x:c r="J247" s="25"/>
      <x:c r="K247" s="25"/>
      <x:c r="L247" s="25"/>
      <x:c r="M247" s="39" t="str">
        <x:f>IF(G247="","",K247+L247*J247)</x:f>
      </x:c>
      <x:c r="N247" s="35"/>
      <x:c r="O247" s="35"/>
      <x:c r="P247" s="21"/>
      <x:c r="Q247" s="21"/>
      <x:c r="R247" s="29" t="str">
        <x:f>IF(G247="","",MIN(J247,SUMIF('05_BAO_CAO_NGAY'!$K$6:$K$505,G247,'05_BAO_CAO_NGAY'!$V$6:$V$505)))</x:f>
      </x:c>
      <x:c r="S247" s="37" t="str">
        <x:f>IF(G247="","",IFERROR(R247/J247,0))</x:f>
      </x:c>
      <x:c r="T247" s="41" t="str">
        <x:f>IF(OR(G247="",COUNTIF('05_BAO_CAO_NGAY'!$K$6:$K$505,G247)=0),"",_xlfn.MINIFS('05_BAO_CAO_NGAY'!$B$6:$B$505,'05_BAO_CAO_NGAY'!$K$6:$K$505,G247))</x:f>
      </x:c>
      <x:c r="U247" s="41" t="str">
        <x:f>IF(OR(G247="",S247&lt;1),"",_xlfn.MAXIFS('05_BAO_CAO_NGAY'!$B$6:$B$505,'05_BAO_CAO_NGAY'!$K$6:$K$505,G247))</x:f>
      </x:c>
      <x:c r="V247" s="29" t="str">
        <x:f>IF(G247="","",IF(S247&gt;=1,IF(U247&lt;=O247,"Hoàn thành đúng hạn","Hoàn thành trễ"),IF(TODAY()&gt;O247,"Quá hạn",IF(R247&gt;0,"Đang thực hiện","Chưa bắt đầu"))))</x:f>
      </x:c>
      <x:c r="W247" s="37" t="str">
        <x:f>IF(G247="","",IFERROR(SUMIF('05_BAO_CAO_NGAY'!$K$6:$K$505,G247,'05_BAO_CAO_NGAY'!$AB$6:$AB$505)/SUMIF('05_BAO_CAO_NGAY'!$K$6:$K$505,G247,'05_BAO_CAO_NGAY'!$AC$6:$AC$505),0))</x:f>
      </x:c>
      <x:c r="X247" s="37" t="str">
        <x:f>IF(G247="","",IFERROR(SUMIFS('05_BAO_CAO_NGAY'!$W$6:$W$505,'05_BAO_CAO_NGAY'!$K$6:$K$505,G247,'05_BAO_CAO_NGAY'!$N$6:$N$505,"PRODUCTION")/SUMIFS('05_BAO_CAO_NGAY'!$U$6:$U$505,'05_BAO_CAO_NGAY'!$K$6:$K$505,G247,'05_BAO_CAO_NGAY'!$N$6:$N$505,"PRODUCTION"),0))</x:f>
      </x:c>
      <x:c r="Y247" s="29" t="str">
        <x:f>IF(G247="","",SUMIF('05_BAO_CAO_NGAY'!$K$6:$K$505,G247,'05_BAO_CAO_NGAY'!$S$6:$S$505))</x:f>
      </x:c>
      <x:c r="Z247" s="21"/>
    </x:row>
    <x:row r="248">
      <x:c r="A248" s="21"/>
      <x:c r="B248" s="21"/>
      <x:c r="C248" s="21"/>
      <x:c r="D248" s="21"/>
      <x:c r="E248" s="21"/>
      <x:c r="F248" s="29" t="str">
        <x:f>IF(OR(B248="",C248=""),"",B248&amp;"|"&amp;C248&amp;"|"&amp;IF(D248="","00",D248)&amp;"|"&amp;IF(E248="","01",E248))</x:f>
      </x:c>
      <x:c r="G248" s="29" t="str">
        <x:f>IF(F248="","",F248&amp;"|"&amp;TEXT(A248,"000"))</x:f>
      </x:c>
      <x:c r="H248" s="21"/>
      <x:c r="I248" s="21"/>
      <x:c r="J248" s="25"/>
      <x:c r="K248" s="25"/>
      <x:c r="L248" s="25"/>
      <x:c r="M248" s="39" t="str">
        <x:f>IF(G248="","",K248+L248*J248)</x:f>
      </x:c>
      <x:c r="N248" s="35"/>
      <x:c r="O248" s="35"/>
      <x:c r="P248" s="21"/>
      <x:c r="Q248" s="21"/>
      <x:c r="R248" s="29" t="str">
        <x:f>IF(G248="","",MIN(J248,SUMIF('05_BAO_CAO_NGAY'!$K$6:$K$505,G248,'05_BAO_CAO_NGAY'!$V$6:$V$505)))</x:f>
      </x:c>
      <x:c r="S248" s="37" t="str">
        <x:f>IF(G248="","",IFERROR(R248/J248,0))</x:f>
      </x:c>
      <x:c r="T248" s="41" t="str">
        <x:f>IF(OR(G248="",COUNTIF('05_BAO_CAO_NGAY'!$K$6:$K$505,G248)=0),"",_xlfn.MINIFS('05_BAO_CAO_NGAY'!$B$6:$B$505,'05_BAO_CAO_NGAY'!$K$6:$K$505,G248))</x:f>
      </x:c>
      <x:c r="U248" s="41" t="str">
        <x:f>IF(OR(G248="",S248&lt;1),"",_xlfn.MAXIFS('05_BAO_CAO_NGAY'!$B$6:$B$505,'05_BAO_CAO_NGAY'!$K$6:$K$505,G248))</x:f>
      </x:c>
      <x:c r="V248" s="29" t="str">
        <x:f>IF(G248="","",IF(S248&gt;=1,IF(U248&lt;=O248,"Hoàn thành đúng hạn","Hoàn thành trễ"),IF(TODAY()&gt;O248,"Quá hạn",IF(R248&gt;0,"Đang thực hiện","Chưa bắt đầu"))))</x:f>
      </x:c>
      <x:c r="W248" s="37" t="str">
        <x:f>IF(G248="","",IFERROR(SUMIF('05_BAO_CAO_NGAY'!$K$6:$K$505,G248,'05_BAO_CAO_NGAY'!$AB$6:$AB$505)/SUMIF('05_BAO_CAO_NGAY'!$K$6:$K$505,G248,'05_BAO_CAO_NGAY'!$AC$6:$AC$505),0))</x:f>
      </x:c>
      <x:c r="X248" s="37" t="str">
        <x:f>IF(G248="","",IFERROR(SUMIFS('05_BAO_CAO_NGAY'!$W$6:$W$505,'05_BAO_CAO_NGAY'!$K$6:$K$505,G248,'05_BAO_CAO_NGAY'!$N$6:$N$505,"PRODUCTION")/SUMIFS('05_BAO_CAO_NGAY'!$U$6:$U$505,'05_BAO_CAO_NGAY'!$K$6:$K$505,G248,'05_BAO_CAO_NGAY'!$N$6:$N$505,"PRODUCTION"),0))</x:f>
      </x:c>
      <x:c r="Y248" s="29" t="str">
        <x:f>IF(G248="","",SUMIF('05_BAO_CAO_NGAY'!$K$6:$K$505,G248,'05_BAO_CAO_NGAY'!$S$6:$S$505))</x:f>
      </x:c>
      <x:c r="Z248" s="21"/>
    </x:row>
    <x:row r="249">
      <x:c r="A249" s="21"/>
      <x:c r="B249" s="21"/>
      <x:c r="C249" s="21"/>
      <x:c r="D249" s="21"/>
      <x:c r="E249" s="21"/>
      <x:c r="F249" s="29" t="str">
        <x:f>IF(OR(B249="",C249=""),"",B249&amp;"|"&amp;C249&amp;"|"&amp;IF(D249="","00",D249)&amp;"|"&amp;IF(E249="","01",E249))</x:f>
      </x:c>
      <x:c r="G249" s="29" t="str">
        <x:f>IF(F249="","",F249&amp;"|"&amp;TEXT(A249,"000"))</x:f>
      </x:c>
      <x:c r="H249" s="21"/>
      <x:c r="I249" s="21"/>
      <x:c r="J249" s="25"/>
      <x:c r="K249" s="25"/>
      <x:c r="L249" s="25"/>
      <x:c r="M249" s="39" t="str">
        <x:f>IF(G249="","",K249+L249*J249)</x:f>
      </x:c>
      <x:c r="N249" s="35"/>
      <x:c r="O249" s="35"/>
      <x:c r="P249" s="21"/>
      <x:c r="Q249" s="21"/>
      <x:c r="R249" s="29" t="str">
        <x:f>IF(G249="","",MIN(J249,SUMIF('05_BAO_CAO_NGAY'!$K$6:$K$505,G249,'05_BAO_CAO_NGAY'!$V$6:$V$505)))</x:f>
      </x:c>
      <x:c r="S249" s="37" t="str">
        <x:f>IF(G249="","",IFERROR(R249/J249,0))</x:f>
      </x:c>
      <x:c r="T249" s="41" t="str">
        <x:f>IF(OR(G249="",COUNTIF('05_BAO_CAO_NGAY'!$K$6:$K$505,G249)=0),"",_xlfn.MINIFS('05_BAO_CAO_NGAY'!$B$6:$B$505,'05_BAO_CAO_NGAY'!$K$6:$K$505,G249))</x:f>
      </x:c>
      <x:c r="U249" s="41" t="str">
        <x:f>IF(OR(G249="",S249&lt;1),"",_xlfn.MAXIFS('05_BAO_CAO_NGAY'!$B$6:$B$505,'05_BAO_CAO_NGAY'!$K$6:$K$505,G249))</x:f>
      </x:c>
      <x:c r="V249" s="29" t="str">
        <x:f>IF(G249="","",IF(S249&gt;=1,IF(U249&lt;=O249,"Hoàn thành đúng hạn","Hoàn thành trễ"),IF(TODAY()&gt;O249,"Quá hạn",IF(R249&gt;0,"Đang thực hiện","Chưa bắt đầu"))))</x:f>
      </x:c>
      <x:c r="W249" s="37" t="str">
        <x:f>IF(G249="","",IFERROR(SUMIF('05_BAO_CAO_NGAY'!$K$6:$K$505,G249,'05_BAO_CAO_NGAY'!$AB$6:$AB$505)/SUMIF('05_BAO_CAO_NGAY'!$K$6:$K$505,G249,'05_BAO_CAO_NGAY'!$AC$6:$AC$505),0))</x:f>
      </x:c>
      <x:c r="X249" s="37" t="str">
        <x:f>IF(G249="","",IFERROR(SUMIFS('05_BAO_CAO_NGAY'!$W$6:$W$505,'05_BAO_CAO_NGAY'!$K$6:$K$505,G249,'05_BAO_CAO_NGAY'!$N$6:$N$505,"PRODUCTION")/SUMIFS('05_BAO_CAO_NGAY'!$U$6:$U$505,'05_BAO_CAO_NGAY'!$K$6:$K$505,G249,'05_BAO_CAO_NGAY'!$N$6:$N$505,"PRODUCTION"),0))</x:f>
      </x:c>
      <x:c r="Y249" s="29" t="str">
        <x:f>IF(G249="","",SUMIF('05_BAO_CAO_NGAY'!$K$6:$K$505,G249,'05_BAO_CAO_NGAY'!$S$6:$S$505))</x:f>
      </x:c>
      <x:c r="Z249" s="21"/>
    </x:row>
    <x:row r="250">
      <x:c r="A250" s="21"/>
      <x:c r="B250" s="21"/>
      <x:c r="C250" s="21"/>
      <x:c r="D250" s="21"/>
      <x:c r="E250" s="21"/>
      <x:c r="F250" s="29" t="str">
        <x:f>IF(OR(B250="",C250=""),"",B250&amp;"|"&amp;C250&amp;"|"&amp;IF(D250="","00",D250)&amp;"|"&amp;IF(E250="","01",E250))</x:f>
      </x:c>
      <x:c r="G250" s="29" t="str">
        <x:f>IF(F250="","",F250&amp;"|"&amp;TEXT(A250,"000"))</x:f>
      </x:c>
      <x:c r="H250" s="21"/>
      <x:c r="I250" s="21"/>
      <x:c r="J250" s="25"/>
      <x:c r="K250" s="25"/>
      <x:c r="L250" s="25"/>
      <x:c r="M250" s="39" t="str">
        <x:f>IF(G250="","",K250+L250*J250)</x:f>
      </x:c>
      <x:c r="N250" s="35"/>
      <x:c r="O250" s="35"/>
      <x:c r="P250" s="21"/>
      <x:c r="Q250" s="21"/>
      <x:c r="R250" s="29" t="str">
        <x:f>IF(G250="","",MIN(J250,SUMIF('05_BAO_CAO_NGAY'!$K$6:$K$505,G250,'05_BAO_CAO_NGAY'!$V$6:$V$505)))</x:f>
      </x:c>
      <x:c r="S250" s="37" t="str">
        <x:f>IF(G250="","",IFERROR(R250/J250,0))</x:f>
      </x:c>
      <x:c r="T250" s="41" t="str">
        <x:f>IF(OR(G250="",COUNTIF('05_BAO_CAO_NGAY'!$K$6:$K$505,G250)=0),"",_xlfn.MINIFS('05_BAO_CAO_NGAY'!$B$6:$B$505,'05_BAO_CAO_NGAY'!$K$6:$K$505,G250))</x:f>
      </x:c>
      <x:c r="U250" s="41" t="str">
        <x:f>IF(OR(G250="",S250&lt;1),"",_xlfn.MAXIFS('05_BAO_CAO_NGAY'!$B$6:$B$505,'05_BAO_CAO_NGAY'!$K$6:$K$505,G250))</x:f>
      </x:c>
      <x:c r="V250" s="29" t="str">
        <x:f>IF(G250="","",IF(S250&gt;=1,IF(U250&lt;=O250,"Hoàn thành đúng hạn","Hoàn thành trễ"),IF(TODAY()&gt;O250,"Quá hạn",IF(R250&gt;0,"Đang thực hiện","Chưa bắt đầu"))))</x:f>
      </x:c>
      <x:c r="W250" s="37" t="str">
        <x:f>IF(G250="","",IFERROR(SUMIF('05_BAO_CAO_NGAY'!$K$6:$K$505,G250,'05_BAO_CAO_NGAY'!$AB$6:$AB$505)/SUMIF('05_BAO_CAO_NGAY'!$K$6:$K$505,G250,'05_BAO_CAO_NGAY'!$AC$6:$AC$505),0))</x:f>
      </x:c>
      <x:c r="X250" s="37" t="str">
        <x:f>IF(G250="","",IFERROR(SUMIFS('05_BAO_CAO_NGAY'!$W$6:$W$505,'05_BAO_CAO_NGAY'!$K$6:$K$505,G250,'05_BAO_CAO_NGAY'!$N$6:$N$505,"PRODUCTION")/SUMIFS('05_BAO_CAO_NGAY'!$U$6:$U$505,'05_BAO_CAO_NGAY'!$K$6:$K$505,G250,'05_BAO_CAO_NGAY'!$N$6:$N$505,"PRODUCTION"),0))</x:f>
      </x:c>
      <x:c r="Y250" s="29" t="str">
        <x:f>IF(G250="","",SUMIF('05_BAO_CAO_NGAY'!$K$6:$K$505,G250,'05_BAO_CAO_NGAY'!$S$6:$S$505))</x:f>
      </x:c>
      <x:c r="Z250" s="21"/>
    </x:row>
    <x:row r="251">
      <x:c r="A251" s="21"/>
      <x:c r="B251" s="21"/>
      <x:c r="C251" s="21"/>
      <x:c r="D251" s="21"/>
      <x:c r="E251" s="21"/>
      <x:c r="F251" s="29" t="str">
        <x:f>IF(OR(B251="",C251=""),"",B251&amp;"|"&amp;C251&amp;"|"&amp;IF(D251="","00",D251)&amp;"|"&amp;IF(E251="","01",E251))</x:f>
      </x:c>
      <x:c r="G251" s="29" t="str">
        <x:f>IF(F251="","",F251&amp;"|"&amp;TEXT(A251,"000"))</x:f>
      </x:c>
      <x:c r="H251" s="21"/>
      <x:c r="I251" s="21"/>
      <x:c r="J251" s="25"/>
      <x:c r="K251" s="25"/>
      <x:c r="L251" s="25"/>
      <x:c r="M251" s="39" t="str">
        <x:f>IF(G251="","",K251+L251*J251)</x:f>
      </x:c>
      <x:c r="N251" s="35"/>
      <x:c r="O251" s="35"/>
      <x:c r="P251" s="21"/>
      <x:c r="Q251" s="21"/>
      <x:c r="R251" s="29" t="str">
        <x:f>IF(G251="","",MIN(J251,SUMIF('05_BAO_CAO_NGAY'!$K$6:$K$505,G251,'05_BAO_CAO_NGAY'!$V$6:$V$505)))</x:f>
      </x:c>
      <x:c r="S251" s="37" t="str">
        <x:f>IF(G251="","",IFERROR(R251/J251,0))</x:f>
      </x:c>
      <x:c r="T251" s="41" t="str">
        <x:f>IF(OR(G251="",COUNTIF('05_BAO_CAO_NGAY'!$K$6:$K$505,G251)=0),"",_xlfn.MINIFS('05_BAO_CAO_NGAY'!$B$6:$B$505,'05_BAO_CAO_NGAY'!$K$6:$K$505,G251))</x:f>
      </x:c>
      <x:c r="U251" s="41" t="str">
        <x:f>IF(OR(G251="",S251&lt;1),"",_xlfn.MAXIFS('05_BAO_CAO_NGAY'!$B$6:$B$505,'05_BAO_CAO_NGAY'!$K$6:$K$505,G251))</x:f>
      </x:c>
      <x:c r="V251" s="29" t="str">
        <x:f>IF(G251="","",IF(S251&gt;=1,IF(U251&lt;=O251,"Hoàn thành đúng hạn","Hoàn thành trễ"),IF(TODAY()&gt;O251,"Quá hạn",IF(R251&gt;0,"Đang thực hiện","Chưa bắt đầu"))))</x:f>
      </x:c>
      <x:c r="W251" s="37" t="str">
        <x:f>IF(G251="","",IFERROR(SUMIF('05_BAO_CAO_NGAY'!$K$6:$K$505,G251,'05_BAO_CAO_NGAY'!$AB$6:$AB$505)/SUMIF('05_BAO_CAO_NGAY'!$K$6:$K$505,G251,'05_BAO_CAO_NGAY'!$AC$6:$AC$505),0))</x:f>
      </x:c>
      <x:c r="X251" s="37" t="str">
        <x:f>IF(G251="","",IFERROR(SUMIFS('05_BAO_CAO_NGAY'!$W$6:$W$505,'05_BAO_CAO_NGAY'!$K$6:$K$505,G251,'05_BAO_CAO_NGAY'!$N$6:$N$505,"PRODUCTION")/SUMIFS('05_BAO_CAO_NGAY'!$U$6:$U$505,'05_BAO_CAO_NGAY'!$K$6:$K$505,G251,'05_BAO_CAO_NGAY'!$N$6:$N$505,"PRODUCTION"),0))</x:f>
      </x:c>
      <x:c r="Y251" s="29" t="str">
        <x:f>IF(G251="","",SUMIF('05_BAO_CAO_NGAY'!$K$6:$K$505,G251,'05_BAO_CAO_NGAY'!$S$6:$S$505))</x:f>
      </x:c>
      <x:c r="Z251" s="21"/>
    </x:row>
    <x:row r="252">
      <x:c r="A252" s="21"/>
      <x:c r="B252" s="21"/>
      <x:c r="C252" s="21"/>
      <x:c r="D252" s="21"/>
      <x:c r="E252" s="21"/>
      <x:c r="F252" s="29" t="str">
        <x:f>IF(OR(B252="",C252=""),"",B252&amp;"|"&amp;C252&amp;"|"&amp;IF(D252="","00",D252)&amp;"|"&amp;IF(E252="","01",E252))</x:f>
      </x:c>
      <x:c r="G252" s="29" t="str">
        <x:f>IF(F252="","",F252&amp;"|"&amp;TEXT(A252,"000"))</x:f>
      </x:c>
      <x:c r="H252" s="21"/>
      <x:c r="I252" s="21"/>
      <x:c r="J252" s="25"/>
      <x:c r="K252" s="25"/>
      <x:c r="L252" s="25"/>
      <x:c r="M252" s="39" t="str">
        <x:f>IF(G252="","",K252+L252*J252)</x:f>
      </x:c>
      <x:c r="N252" s="35"/>
      <x:c r="O252" s="35"/>
      <x:c r="P252" s="21"/>
      <x:c r="Q252" s="21"/>
      <x:c r="R252" s="29" t="str">
        <x:f>IF(G252="","",MIN(J252,SUMIF('05_BAO_CAO_NGAY'!$K$6:$K$505,G252,'05_BAO_CAO_NGAY'!$V$6:$V$505)))</x:f>
      </x:c>
      <x:c r="S252" s="37" t="str">
        <x:f>IF(G252="","",IFERROR(R252/J252,0))</x:f>
      </x:c>
      <x:c r="T252" s="41" t="str">
        <x:f>IF(OR(G252="",COUNTIF('05_BAO_CAO_NGAY'!$K$6:$K$505,G252)=0),"",_xlfn.MINIFS('05_BAO_CAO_NGAY'!$B$6:$B$505,'05_BAO_CAO_NGAY'!$K$6:$K$505,G252))</x:f>
      </x:c>
      <x:c r="U252" s="41" t="str">
        <x:f>IF(OR(G252="",S252&lt;1),"",_xlfn.MAXIFS('05_BAO_CAO_NGAY'!$B$6:$B$505,'05_BAO_CAO_NGAY'!$K$6:$K$505,G252))</x:f>
      </x:c>
      <x:c r="V252" s="29" t="str">
        <x:f>IF(G252="","",IF(S252&gt;=1,IF(U252&lt;=O252,"Hoàn thành đúng hạn","Hoàn thành trễ"),IF(TODAY()&gt;O252,"Quá hạn",IF(R252&gt;0,"Đang thực hiện","Chưa bắt đầu"))))</x:f>
      </x:c>
      <x:c r="W252" s="37" t="str">
        <x:f>IF(G252="","",IFERROR(SUMIF('05_BAO_CAO_NGAY'!$K$6:$K$505,G252,'05_BAO_CAO_NGAY'!$AB$6:$AB$505)/SUMIF('05_BAO_CAO_NGAY'!$K$6:$K$505,G252,'05_BAO_CAO_NGAY'!$AC$6:$AC$505),0))</x:f>
      </x:c>
      <x:c r="X252" s="37" t="str">
        <x:f>IF(G252="","",IFERROR(SUMIFS('05_BAO_CAO_NGAY'!$W$6:$W$505,'05_BAO_CAO_NGAY'!$K$6:$K$505,G252,'05_BAO_CAO_NGAY'!$N$6:$N$505,"PRODUCTION")/SUMIFS('05_BAO_CAO_NGAY'!$U$6:$U$505,'05_BAO_CAO_NGAY'!$K$6:$K$505,G252,'05_BAO_CAO_NGAY'!$N$6:$N$505,"PRODUCTION"),0))</x:f>
      </x:c>
      <x:c r="Y252" s="29" t="str">
        <x:f>IF(G252="","",SUMIF('05_BAO_CAO_NGAY'!$K$6:$K$505,G252,'05_BAO_CAO_NGAY'!$S$6:$S$505))</x:f>
      </x:c>
      <x:c r="Z252" s="21"/>
    </x:row>
    <x:row r="253">
      <x:c r="A253" s="21"/>
      <x:c r="B253" s="21"/>
      <x:c r="C253" s="21"/>
      <x:c r="D253" s="21"/>
      <x:c r="E253" s="21"/>
      <x:c r="F253" s="29" t="str">
        <x:f>IF(OR(B253="",C253=""),"",B253&amp;"|"&amp;C253&amp;"|"&amp;IF(D253="","00",D253)&amp;"|"&amp;IF(E253="","01",E253))</x:f>
      </x:c>
      <x:c r="G253" s="29" t="str">
        <x:f>IF(F253="","",F253&amp;"|"&amp;TEXT(A253,"000"))</x:f>
      </x:c>
      <x:c r="H253" s="21"/>
      <x:c r="I253" s="21"/>
      <x:c r="J253" s="25"/>
      <x:c r="K253" s="25"/>
      <x:c r="L253" s="25"/>
      <x:c r="M253" s="39" t="str">
        <x:f>IF(G253="","",K253+L253*J253)</x:f>
      </x:c>
      <x:c r="N253" s="35"/>
      <x:c r="O253" s="35"/>
      <x:c r="P253" s="21"/>
      <x:c r="Q253" s="21"/>
      <x:c r="R253" s="29" t="str">
        <x:f>IF(G253="","",MIN(J253,SUMIF('05_BAO_CAO_NGAY'!$K$6:$K$505,G253,'05_BAO_CAO_NGAY'!$V$6:$V$505)))</x:f>
      </x:c>
      <x:c r="S253" s="37" t="str">
        <x:f>IF(G253="","",IFERROR(R253/J253,0))</x:f>
      </x:c>
      <x:c r="T253" s="41" t="str">
        <x:f>IF(OR(G253="",COUNTIF('05_BAO_CAO_NGAY'!$K$6:$K$505,G253)=0),"",_xlfn.MINIFS('05_BAO_CAO_NGAY'!$B$6:$B$505,'05_BAO_CAO_NGAY'!$K$6:$K$505,G253))</x:f>
      </x:c>
      <x:c r="U253" s="41" t="str">
        <x:f>IF(OR(G253="",S253&lt;1),"",_xlfn.MAXIFS('05_BAO_CAO_NGAY'!$B$6:$B$505,'05_BAO_CAO_NGAY'!$K$6:$K$505,G253))</x:f>
      </x:c>
      <x:c r="V253" s="29" t="str">
        <x:f>IF(G253="","",IF(S253&gt;=1,IF(U253&lt;=O253,"Hoàn thành đúng hạn","Hoàn thành trễ"),IF(TODAY()&gt;O253,"Quá hạn",IF(R253&gt;0,"Đang thực hiện","Chưa bắt đầu"))))</x:f>
      </x:c>
      <x:c r="W253" s="37" t="str">
        <x:f>IF(G253="","",IFERROR(SUMIF('05_BAO_CAO_NGAY'!$K$6:$K$505,G253,'05_BAO_CAO_NGAY'!$AB$6:$AB$505)/SUMIF('05_BAO_CAO_NGAY'!$K$6:$K$505,G253,'05_BAO_CAO_NGAY'!$AC$6:$AC$505),0))</x:f>
      </x:c>
      <x:c r="X253" s="37" t="str">
        <x:f>IF(G253="","",IFERROR(SUMIFS('05_BAO_CAO_NGAY'!$W$6:$W$505,'05_BAO_CAO_NGAY'!$K$6:$K$505,G253,'05_BAO_CAO_NGAY'!$N$6:$N$505,"PRODUCTION")/SUMIFS('05_BAO_CAO_NGAY'!$U$6:$U$505,'05_BAO_CAO_NGAY'!$K$6:$K$505,G253,'05_BAO_CAO_NGAY'!$N$6:$N$505,"PRODUCTION"),0))</x:f>
      </x:c>
      <x:c r="Y253" s="29" t="str">
        <x:f>IF(G253="","",SUMIF('05_BAO_CAO_NGAY'!$K$6:$K$505,G253,'05_BAO_CAO_NGAY'!$S$6:$S$505))</x:f>
      </x:c>
      <x:c r="Z253" s="21"/>
    </x:row>
    <x:row r="254">
      <x:c r="A254" s="21"/>
      <x:c r="B254" s="21"/>
      <x:c r="C254" s="21"/>
      <x:c r="D254" s="21"/>
      <x:c r="E254" s="21"/>
      <x:c r="F254" s="29" t="str">
        <x:f>IF(OR(B254="",C254=""),"",B254&amp;"|"&amp;C254&amp;"|"&amp;IF(D254="","00",D254)&amp;"|"&amp;IF(E254="","01",E254))</x:f>
      </x:c>
      <x:c r="G254" s="29" t="str">
        <x:f>IF(F254="","",F254&amp;"|"&amp;TEXT(A254,"000"))</x:f>
      </x:c>
      <x:c r="H254" s="21"/>
      <x:c r="I254" s="21"/>
      <x:c r="J254" s="25"/>
      <x:c r="K254" s="25"/>
      <x:c r="L254" s="25"/>
      <x:c r="M254" s="39" t="str">
        <x:f>IF(G254="","",K254+L254*J254)</x:f>
      </x:c>
      <x:c r="N254" s="35"/>
      <x:c r="O254" s="35"/>
      <x:c r="P254" s="21"/>
      <x:c r="Q254" s="21"/>
      <x:c r="R254" s="29" t="str">
        <x:f>IF(G254="","",MIN(J254,SUMIF('05_BAO_CAO_NGAY'!$K$6:$K$505,G254,'05_BAO_CAO_NGAY'!$V$6:$V$505)))</x:f>
      </x:c>
      <x:c r="S254" s="37" t="str">
        <x:f>IF(G254="","",IFERROR(R254/J254,0))</x:f>
      </x:c>
      <x:c r="T254" s="41" t="str">
        <x:f>IF(OR(G254="",COUNTIF('05_BAO_CAO_NGAY'!$K$6:$K$505,G254)=0),"",_xlfn.MINIFS('05_BAO_CAO_NGAY'!$B$6:$B$505,'05_BAO_CAO_NGAY'!$K$6:$K$505,G254))</x:f>
      </x:c>
      <x:c r="U254" s="41" t="str">
        <x:f>IF(OR(G254="",S254&lt;1),"",_xlfn.MAXIFS('05_BAO_CAO_NGAY'!$B$6:$B$505,'05_BAO_CAO_NGAY'!$K$6:$K$505,G254))</x:f>
      </x:c>
      <x:c r="V254" s="29" t="str">
        <x:f>IF(G254="","",IF(S254&gt;=1,IF(U254&lt;=O254,"Hoàn thành đúng hạn","Hoàn thành trễ"),IF(TODAY()&gt;O254,"Quá hạn",IF(R254&gt;0,"Đang thực hiện","Chưa bắt đầu"))))</x:f>
      </x:c>
      <x:c r="W254" s="37" t="str">
        <x:f>IF(G254="","",IFERROR(SUMIF('05_BAO_CAO_NGAY'!$K$6:$K$505,G254,'05_BAO_CAO_NGAY'!$AB$6:$AB$505)/SUMIF('05_BAO_CAO_NGAY'!$K$6:$K$505,G254,'05_BAO_CAO_NGAY'!$AC$6:$AC$505),0))</x:f>
      </x:c>
      <x:c r="X254" s="37" t="str">
        <x:f>IF(G254="","",IFERROR(SUMIFS('05_BAO_CAO_NGAY'!$W$6:$W$505,'05_BAO_CAO_NGAY'!$K$6:$K$505,G254,'05_BAO_CAO_NGAY'!$N$6:$N$505,"PRODUCTION")/SUMIFS('05_BAO_CAO_NGAY'!$U$6:$U$505,'05_BAO_CAO_NGAY'!$K$6:$K$505,G254,'05_BAO_CAO_NGAY'!$N$6:$N$505,"PRODUCTION"),0))</x:f>
      </x:c>
      <x:c r="Y254" s="29" t="str">
        <x:f>IF(G254="","",SUMIF('05_BAO_CAO_NGAY'!$K$6:$K$505,G254,'05_BAO_CAO_NGAY'!$S$6:$S$505))</x:f>
      </x:c>
      <x:c r="Z254" s="21"/>
    </x:row>
    <x:row r="255">
      <x:c r="A255" s="21"/>
      <x:c r="B255" s="21"/>
      <x:c r="C255" s="21"/>
      <x:c r="D255" s="21"/>
      <x:c r="E255" s="21"/>
      <x:c r="F255" s="29" t="str">
        <x:f>IF(OR(B255="",C255=""),"",B255&amp;"|"&amp;C255&amp;"|"&amp;IF(D255="","00",D255)&amp;"|"&amp;IF(E255="","01",E255))</x:f>
      </x:c>
      <x:c r="G255" s="29" t="str">
        <x:f>IF(F255="","",F255&amp;"|"&amp;TEXT(A255,"000"))</x:f>
      </x:c>
      <x:c r="H255" s="21"/>
      <x:c r="I255" s="21"/>
      <x:c r="J255" s="25"/>
      <x:c r="K255" s="25"/>
      <x:c r="L255" s="25"/>
      <x:c r="M255" s="39" t="str">
        <x:f>IF(G255="","",K255+L255*J255)</x:f>
      </x:c>
      <x:c r="N255" s="35"/>
      <x:c r="O255" s="35"/>
      <x:c r="P255" s="21"/>
      <x:c r="Q255" s="21"/>
      <x:c r="R255" s="29" t="str">
        <x:f>IF(G255="","",MIN(J255,SUMIF('05_BAO_CAO_NGAY'!$K$6:$K$505,G255,'05_BAO_CAO_NGAY'!$V$6:$V$505)))</x:f>
      </x:c>
      <x:c r="S255" s="37" t="str">
        <x:f>IF(G255="","",IFERROR(R255/J255,0))</x:f>
      </x:c>
      <x:c r="T255" s="41" t="str">
        <x:f>IF(OR(G255="",COUNTIF('05_BAO_CAO_NGAY'!$K$6:$K$505,G255)=0),"",_xlfn.MINIFS('05_BAO_CAO_NGAY'!$B$6:$B$505,'05_BAO_CAO_NGAY'!$K$6:$K$505,G255))</x:f>
      </x:c>
      <x:c r="U255" s="41" t="str">
        <x:f>IF(OR(G255="",S255&lt;1),"",_xlfn.MAXIFS('05_BAO_CAO_NGAY'!$B$6:$B$505,'05_BAO_CAO_NGAY'!$K$6:$K$505,G255))</x:f>
      </x:c>
      <x:c r="V255" s="29" t="str">
        <x:f>IF(G255="","",IF(S255&gt;=1,IF(U255&lt;=O255,"Hoàn thành đúng hạn","Hoàn thành trễ"),IF(TODAY()&gt;O255,"Quá hạn",IF(R255&gt;0,"Đang thực hiện","Chưa bắt đầu"))))</x:f>
      </x:c>
      <x:c r="W255" s="37" t="str">
        <x:f>IF(G255="","",IFERROR(SUMIF('05_BAO_CAO_NGAY'!$K$6:$K$505,G255,'05_BAO_CAO_NGAY'!$AB$6:$AB$505)/SUMIF('05_BAO_CAO_NGAY'!$K$6:$K$505,G255,'05_BAO_CAO_NGAY'!$AC$6:$AC$505),0))</x:f>
      </x:c>
      <x:c r="X255" s="37" t="str">
        <x:f>IF(G255="","",IFERROR(SUMIFS('05_BAO_CAO_NGAY'!$W$6:$W$505,'05_BAO_CAO_NGAY'!$K$6:$K$505,G255,'05_BAO_CAO_NGAY'!$N$6:$N$505,"PRODUCTION")/SUMIFS('05_BAO_CAO_NGAY'!$U$6:$U$505,'05_BAO_CAO_NGAY'!$K$6:$K$505,G255,'05_BAO_CAO_NGAY'!$N$6:$N$505,"PRODUCTION"),0))</x:f>
      </x:c>
      <x:c r="Y255" s="29" t="str">
        <x:f>IF(G255="","",SUMIF('05_BAO_CAO_NGAY'!$K$6:$K$505,G255,'05_BAO_CAO_NGAY'!$S$6:$S$505))</x:f>
      </x:c>
      <x:c r="Z255" s="21"/>
    </x:row>
    <x:row r="256">
      <x:c r="A256" s="21"/>
      <x:c r="B256" s="21"/>
      <x:c r="C256" s="21"/>
      <x:c r="D256" s="21"/>
      <x:c r="E256" s="21"/>
      <x:c r="F256" s="29" t="str">
        <x:f>IF(OR(B256="",C256=""),"",B256&amp;"|"&amp;C256&amp;"|"&amp;IF(D256="","00",D256)&amp;"|"&amp;IF(E256="","01",E256))</x:f>
      </x:c>
      <x:c r="G256" s="29" t="str">
        <x:f>IF(F256="","",F256&amp;"|"&amp;TEXT(A256,"000"))</x:f>
      </x:c>
      <x:c r="H256" s="21"/>
      <x:c r="I256" s="21"/>
      <x:c r="J256" s="25"/>
      <x:c r="K256" s="25"/>
      <x:c r="L256" s="25"/>
      <x:c r="M256" s="39" t="str">
        <x:f>IF(G256="","",K256+L256*J256)</x:f>
      </x:c>
      <x:c r="N256" s="35"/>
      <x:c r="O256" s="35"/>
      <x:c r="P256" s="21"/>
      <x:c r="Q256" s="21"/>
      <x:c r="R256" s="29" t="str">
        <x:f>IF(G256="","",MIN(J256,SUMIF('05_BAO_CAO_NGAY'!$K$6:$K$505,G256,'05_BAO_CAO_NGAY'!$V$6:$V$505)))</x:f>
      </x:c>
      <x:c r="S256" s="37" t="str">
        <x:f>IF(G256="","",IFERROR(R256/J256,0))</x:f>
      </x:c>
      <x:c r="T256" s="41" t="str">
        <x:f>IF(OR(G256="",COUNTIF('05_BAO_CAO_NGAY'!$K$6:$K$505,G256)=0),"",_xlfn.MINIFS('05_BAO_CAO_NGAY'!$B$6:$B$505,'05_BAO_CAO_NGAY'!$K$6:$K$505,G256))</x:f>
      </x:c>
      <x:c r="U256" s="41" t="str">
        <x:f>IF(OR(G256="",S256&lt;1),"",_xlfn.MAXIFS('05_BAO_CAO_NGAY'!$B$6:$B$505,'05_BAO_CAO_NGAY'!$K$6:$K$505,G256))</x:f>
      </x:c>
      <x:c r="V256" s="29" t="str">
        <x:f>IF(G256="","",IF(S256&gt;=1,IF(U256&lt;=O256,"Hoàn thành đúng hạn","Hoàn thành trễ"),IF(TODAY()&gt;O256,"Quá hạn",IF(R256&gt;0,"Đang thực hiện","Chưa bắt đầu"))))</x:f>
      </x:c>
      <x:c r="W256" s="37" t="str">
        <x:f>IF(G256="","",IFERROR(SUMIF('05_BAO_CAO_NGAY'!$K$6:$K$505,G256,'05_BAO_CAO_NGAY'!$AB$6:$AB$505)/SUMIF('05_BAO_CAO_NGAY'!$K$6:$K$505,G256,'05_BAO_CAO_NGAY'!$AC$6:$AC$505),0))</x:f>
      </x:c>
      <x:c r="X256" s="37" t="str">
        <x:f>IF(G256="","",IFERROR(SUMIFS('05_BAO_CAO_NGAY'!$W$6:$W$505,'05_BAO_CAO_NGAY'!$K$6:$K$505,G256,'05_BAO_CAO_NGAY'!$N$6:$N$505,"PRODUCTION")/SUMIFS('05_BAO_CAO_NGAY'!$U$6:$U$505,'05_BAO_CAO_NGAY'!$K$6:$K$505,G256,'05_BAO_CAO_NGAY'!$N$6:$N$505,"PRODUCTION"),0))</x:f>
      </x:c>
      <x:c r="Y256" s="29" t="str">
        <x:f>IF(G256="","",SUMIF('05_BAO_CAO_NGAY'!$K$6:$K$505,G256,'05_BAO_CAO_NGAY'!$S$6:$S$505))</x:f>
      </x:c>
      <x:c r="Z256" s="21"/>
    </x:row>
    <x:row r="257">
      <x:c r="A257" s="21"/>
      <x:c r="B257" s="21"/>
      <x:c r="C257" s="21"/>
      <x:c r="D257" s="21"/>
      <x:c r="E257" s="21"/>
      <x:c r="F257" s="29" t="str">
        <x:f>IF(OR(B257="",C257=""),"",B257&amp;"|"&amp;C257&amp;"|"&amp;IF(D257="","00",D257)&amp;"|"&amp;IF(E257="","01",E257))</x:f>
      </x:c>
      <x:c r="G257" s="29" t="str">
        <x:f>IF(F257="","",F257&amp;"|"&amp;TEXT(A257,"000"))</x:f>
      </x:c>
      <x:c r="H257" s="21"/>
      <x:c r="I257" s="21"/>
      <x:c r="J257" s="25"/>
      <x:c r="K257" s="25"/>
      <x:c r="L257" s="25"/>
      <x:c r="M257" s="39" t="str">
        <x:f>IF(G257="","",K257+L257*J257)</x:f>
      </x:c>
      <x:c r="N257" s="35"/>
      <x:c r="O257" s="35"/>
      <x:c r="P257" s="21"/>
      <x:c r="Q257" s="21"/>
      <x:c r="R257" s="29" t="str">
        <x:f>IF(G257="","",MIN(J257,SUMIF('05_BAO_CAO_NGAY'!$K$6:$K$505,G257,'05_BAO_CAO_NGAY'!$V$6:$V$505)))</x:f>
      </x:c>
      <x:c r="S257" s="37" t="str">
        <x:f>IF(G257="","",IFERROR(R257/J257,0))</x:f>
      </x:c>
      <x:c r="T257" s="41" t="str">
        <x:f>IF(OR(G257="",COUNTIF('05_BAO_CAO_NGAY'!$K$6:$K$505,G257)=0),"",_xlfn.MINIFS('05_BAO_CAO_NGAY'!$B$6:$B$505,'05_BAO_CAO_NGAY'!$K$6:$K$505,G257))</x:f>
      </x:c>
      <x:c r="U257" s="41" t="str">
        <x:f>IF(OR(G257="",S257&lt;1),"",_xlfn.MAXIFS('05_BAO_CAO_NGAY'!$B$6:$B$505,'05_BAO_CAO_NGAY'!$K$6:$K$505,G257))</x:f>
      </x:c>
      <x:c r="V257" s="29" t="str">
        <x:f>IF(G257="","",IF(S257&gt;=1,IF(U257&lt;=O257,"Hoàn thành đúng hạn","Hoàn thành trễ"),IF(TODAY()&gt;O257,"Quá hạn",IF(R257&gt;0,"Đang thực hiện","Chưa bắt đầu"))))</x:f>
      </x:c>
      <x:c r="W257" s="37" t="str">
        <x:f>IF(G257="","",IFERROR(SUMIF('05_BAO_CAO_NGAY'!$K$6:$K$505,G257,'05_BAO_CAO_NGAY'!$AB$6:$AB$505)/SUMIF('05_BAO_CAO_NGAY'!$K$6:$K$505,G257,'05_BAO_CAO_NGAY'!$AC$6:$AC$505),0))</x:f>
      </x:c>
      <x:c r="X257" s="37" t="str">
        <x:f>IF(G257="","",IFERROR(SUMIFS('05_BAO_CAO_NGAY'!$W$6:$W$505,'05_BAO_CAO_NGAY'!$K$6:$K$505,G257,'05_BAO_CAO_NGAY'!$N$6:$N$505,"PRODUCTION")/SUMIFS('05_BAO_CAO_NGAY'!$U$6:$U$505,'05_BAO_CAO_NGAY'!$K$6:$K$505,G257,'05_BAO_CAO_NGAY'!$N$6:$N$505,"PRODUCTION"),0))</x:f>
      </x:c>
      <x:c r="Y257" s="29" t="str">
        <x:f>IF(G257="","",SUMIF('05_BAO_CAO_NGAY'!$K$6:$K$505,G257,'05_BAO_CAO_NGAY'!$S$6:$S$505))</x:f>
      </x:c>
      <x:c r="Z257" s="21"/>
    </x:row>
    <x:row r="258">
      <x:c r="A258" s="21"/>
      <x:c r="B258" s="21"/>
      <x:c r="C258" s="21"/>
      <x:c r="D258" s="21"/>
      <x:c r="E258" s="21"/>
      <x:c r="F258" s="29" t="str">
        <x:f>IF(OR(B258="",C258=""),"",B258&amp;"|"&amp;C258&amp;"|"&amp;IF(D258="","00",D258)&amp;"|"&amp;IF(E258="","01",E258))</x:f>
      </x:c>
      <x:c r="G258" s="29" t="str">
        <x:f>IF(F258="","",F258&amp;"|"&amp;TEXT(A258,"000"))</x:f>
      </x:c>
      <x:c r="H258" s="21"/>
      <x:c r="I258" s="21"/>
      <x:c r="J258" s="25"/>
      <x:c r="K258" s="25"/>
      <x:c r="L258" s="25"/>
      <x:c r="M258" s="39" t="str">
        <x:f>IF(G258="","",K258+L258*J258)</x:f>
      </x:c>
      <x:c r="N258" s="35"/>
      <x:c r="O258" s="35"/>
      <x:c r="P258" s="21"/>
      <x:c r="Q258" s="21"/>
      <x:c r="R258" s="29" t="str">
        <x:f>IF(G258="","",MIN(J258,SUMIF('05_BAO_CAO_NGAY'!$K$6:$K$505,G258,'05_BAO_CAO_NGAY'!$V$6:$V$505)))</x:f>
      </x:c>
      <x:c r="S258" s="37" t="str">
        <x:f>IF(G258="","",IFERROR(R258/J258,0))</x:f>
      </x:c>
      <x:c r="T258" s="41" t="str">
        <x:f>IF(OR(G258="",COUNTIF('05_BAO_CAO_NGAY'!$K$6:$K$505,G258)=0),"",_xlfn.MINIFS('05_BAO_CAO_NGAY'!$B$6:$B$505,'05_BAO_CAO_NGAY'!$K$6:$K$505,G258))</x:f>
      </x:c>
      <x:c r="U258" s="41" t="str">
        <x:f>IF(OR(G258="",S258&lt;1),"",_xlfn.MAXIFS('05_BAO_CAO_NGAY'!$B$6:$B$505,'05_BAO_CAO_NGAY'!$K$6:$K$505,G258))</x:f>
      </x:c>
      <x:c r="V258" s="29" t="str">
        <x:f>IF(G258="","",IF(S258&gt;=1,IF(U258&lt;=O258,"Hoàn thành đúng hạn","Hoàn thành trễ"),IF(TODAY()&gt;O258,"Quá hạn",IF(R258&gt;0,"Đang thực hiện","Chưa bắt đầu"))))</x:f>
      </x:c>
      <x:c r="W258" s="37" t="str">
        <x:f>IF(G258="","",IFERROR(SUMIF('05_BAO_CAO_NGAY'!$K$6:$K$505,G258,'05_BAO_CAO_NGAY'!$AB$6:$AB$505)/SUMIF('05_BAO_CAO_NGAY'!$K$6:$K$505,G258,'05_BAO_CAO_NGAY'!$AC$6:$AC$505),0))</x:f>
      </x:c>
      <x:c r="X258" s="37" t="str">
        <x:f>IF(G258="","",IFERROR(SUMIFS('05_BAO_CAO_NGAY'!$W$6:$W$505,'05_BAO_CAO_NGAY'!$K$6:$K$505,G258,'05_BAO_CAO_NGAY'!$N$6:$N$505,"PRODUCTION")/SUMIFS('05_BAO_CAO_NGAY'!$U$6:$U$505,'05_BAO_CAO_NGAY'!$K$6:$K$505,G258,'05_BAO_CAO_NGAY'!$N$6:$N$505,"PRODUCTION"),0))</x:f>
      </x:c>
      <x:c r="Y258" s="29" t="str">
        <x:f>IF(G258="","",SUMIF('05_BAO_CAO_NGAY'!$K$6:$K$505,G258,'05_BAO_CAO_NGAY'!$S$6:$S$505))</x:f>
      </x:c>
      <x:c r="Z258" s="21"/>
    </x:row>
    <x:row r="259">
      <x:c r="A259" s="21"/>
      <x:c r="B259" s="21"/>
      <x:c r="C259" s="21"/>
      <x:c r="D259" s="21"/>
      <x:c r="E259" s="21"/>
      <x:c r="F259" s="29" t="str">
        <x:f>IF(OR(B259="",C259=""),"",B259&amp;"|"&amp;C259&amp;"|"&amp;IF(D259="","00",D259)&amp;"|"&amp;IF(E259="","01",E259))</x:f>
      </x:c>
      <x:c r="G259" s="29" t="str">
        <x:f>IF(F259="","",F259&amp;"|"&amp;TEXT(A259,"000"))</x:f>
      </x:c>
      <x:c r="H259" s="21"/>
      <x:c r="I259" s="21"/>
      <x:c r="J259" s="25"/>
      <x:c r="K259" s="25"/>
      <x:c r="L259" s="25"/>
      <x:c r="M259" s="39" t="str">
        <x:f>IF(G259="","",K259+L259*J259)</x:f>
      </x:c>
      <x:c r="N259" s="35"/>
      <x:c r="O259" s="35"/>
      <x:c r="P259" s="21"/>
      <x:c r="Q259" s="21"/>
      <x:c r="R259" s="29" t="str">
        <x:f>IF(G259="","",MIN(J259,SUMIF('05_BAO_CAO_NGAY'!$K$6:$K$505,G259,'05_BAO_CAO_NGAY'!$V$6:$V$505)))</x:f>
      </x:c>
      <x:c r="S259" s="37" t="str">
        <x:f>IF(G259="","",IFERROR(R259/J259,0))</x:f>
      </x:c>
      <x:c r="T259" s="41" t="str">
        <x:f>IF(OR(G259="",COUNTIF('05_BAO_CAO_NGAY'!$K$6:$K$505,G259)=0),"",_xlfn.MINIFS('05_BAO_CAO_NGAY'!$B$6:$B$505,'05_BAO_CAO_NGAY'!$K$6:$K$505,G259))</x:f>
      </x:c>
      <x:c r="U259" s="41" t="str">
        <x:f>IF(OR(G259="",S259&lt;1),"",_xlfn.MAXIFS('05_BAO_CAO_NGAY'!$B$6:$B$505,'05_BAO_CAO_NGAY'!$K$6:$K$505,G259))</x:f>
      </x:c>
      <x:c r="V259" s="29" t="str">
        <x:f>IF(G259="","",IF(S259&gt;=1,IF(U259&lt;=O259,"Hoàn thành đúng hạn","Hoàn thành trễ"),IF(TODAY()&gt;O259,"Quá hạn",IF(R259&gt;0,"Đang thực hiện","Chưa bắt đầu"))))</x:f>
      </x:c>
      <x:c r="W259" s="37" t="str">
        <x:f>IF(G259="","",IFERROR(SUMIF('05_BAO_CAO_NGAY'!$K$6:$K$505,G259,'05_BAO_CAO_NGAY'!$AB$6:$AB$505)/SUMIF('05_BAO_CAO_NGAY'!$K$6:$K$505,G259,'05_BAO_CAO_NGAY'!$AC$6:$AC$505),0))</x:f>
      </x:c>
      <x:c r="X259" s="37" t="str">
        <x:f>IF(G259="","",IFERROR(SUMIFS('05_BAO_CAO_NGAY'!$W$6:$W$505,'05_BAO_CAO_NGAY'!$K$6:$K$505,G259,'05_BAO_CAO_NGAY'!$N$6:$N$505,"PRODUCTION")/SUMIFS('05_BAO_CAO_NGAY'!$U$6:$U$505,'05_BAO_CAO_NGAY'!$K$6:$K$505,G259,'05_BAO_CAO_NGAY'!$N$6:$N$505,"PRODUCTION"),0))</x:f>
      </x:c>
      <x:c r="Y259" s="29" t="str">
        <x:f>IF(G259="","",SUMIF('05_BAO_CAO_NGAY'!$K$6:$K$505,G259,'05_BAO_CAO_NGAY'!$S$6:$S$505))</x:f>
      </x:c>
      <x:c r="Z259" s="21"/>
    </x:row>
    <x:row r="260">
      <x:c r="A260" s="21"/>
      <x:c r="B260" s="21"/>
      <x:c r="C260" s="21"/>
      <x:c r="D260" s="21"/>
      <x:c r="E260" s="21"/>
      <x:c r="F260" s="29" t="str">
        <x:f>IF(OR(B260="",C260=""),"",B260&amp;"|"&amp;C260&amp;"|"&amp;IF(D260="","00",D260)&amp;"|"&amp;IF(E260="","01",E260))</x:f>
      </x:c>
      <x:c r="G260" s="29" t="str">
        <x:f>IF(F260="","",F260&amp;"|"&amp;TEXT(A260,"000"))</x:f>
      </x:c>
      <x:c r="H260" s="21"/>
      <x:c r="I260" s="21"/>
      <x:c r="J260" s="25"/>
      <x:c r="K260" s="25"/>
      <x:c r="L260" s="25"/>
      <x:c r="M260" s="39" t="str">
        <x:f>IF(G260="","",K260+L260*J260)</x:f>
      </x:c>
      <x:c r="N260" s="35"/>
      <x:c r="O260" s="35"/>
      <x:c r="P260" s="21"/>
      <x:c r="Q260" s="21"/>
      <x:c r="R260" s="29" t="str">
        <x:f>IF(G260="","",MIN(J260,SUMIF('05_BAO_CAO_NGAY'!$K$6:$K$505,G260,'05_BAO_CAO_NGAY'!$V$6:$V$505)))</x:f>
      </x:c>
      <x:c r="S260" s="37" t="str">
        <x:f>IF(G260="","",IFERROR(R260/J260,0))</x:f>
      </x:c>
      <x:c r="T260" s="41" t="str">
        <x:f>IF(OR(G260="",COUNTIF('05_BAO_CAO_NGAY'!$K$6:$K$505,G260)=0),"",_xlfn.MINIFS('05_BAO_CAO_NGAY'!$B$6:$B$505,'05_BAO_CAO_NGAY'!$K$6:$K$505,G260))</x:f>
      </x:c>
      <x:c r="U260" s="41" t="str">
        <x:f>IF(OR(G260="",S260&lt;1),"",_xlfn.MAXIFS('05_BAO_CAO_NGAY'!$B$6:$B$505,'05_BAO_CAO_NGAY'!$K$6:$K$505,G260))</x:f>
      </x:c>
      <x:c r="V260" s="29" t="str">
        <x:f>IF(G260="","",IF(S260&gt;=1,IF(U260&lt;=O260,"Hoàn thành đúng hạn","Hoàn thành trễ"),IF(TODAY()&gt;O260,"Quá hạn",IF(R260&gt;0,"Đang thực hiện","Chưa bắt đầu"))))</x:f>
      </x:c>
      <x:c r="W260" s="37" t="str">
        <x:f>IF(G260="","",IFERROR(SUMIF('05_BAO_CAO_NGAY'!$K$6:$K$505,G260,'05_BAO_CAO_NGAY'!$AB$6:$AB$505)/SUMIF('05_BAO_CAO_NGAY'!$K$6:$K$505,G260,'05_BAO_CAO_NGAY'!$AC$6:$AC$505),0))</x:f>
      </x:c>
      <x:c r="X260" s="37" t="str">
        <x:f>IF(G260="","",IFERROR(SUMIFS('05_BAO_CAO_NGAY'!$W$6:$W$505,'05_BAO_CAO_NGAY'!$K$6:$K$505,G260,'05_BAO_CAO_NGAY'!$N$6:$N$505,"PRODUCTION")/SUMIFS('05_BAO_CAO_NGAY'!$U$6:$U$505,'05_BAO_CAO_NGAY'!$K$6:$K$505,G260,'05_BAO_CAO_NGAY'!$N$6:$N$505,"PRODUCTION"),0))</x:f>
      </x:c>
      <x:c r="Y260" s="29" t="str">
        <x:f>IF(G260="","",SUMIF('05_BAO_CAO_NGAY'!$K$6:$K$505,G260,'05_BAO_CAO_NGAY'!$S$6:$S$505))</x:f>
      </x:c>
      <x:c r="Z260" s="21"/>
    </x:row>
    <x:row r="261">
      <x:c r="A261" s="21"/>
      <x:c r="B261" s="21"/>
      <x:c r="C261" s="21"/>
      <x:c r="D261" s="21"/>
      <x:c r="E261" s="21"/>
      <x:c r="F261" s="29" t="str">
        <x:f>IF(OR(B261="",C261=""),"",B261&amp;"|"&amp;C261&amp;"|"&amp;IF(D261="","00",D261)&amp;"|"&amp;IF(E261="","01",E261))</x:f>
      </x:c>
      <x:c r="G261" s="29" t="str">
        <x:f>IF(F261="","",F261&amp;"|"&amp;TEXT(A261,"000"))</x:f>
      </x:c>
      <x:c r="H261" s="21"/>
      <x:c r="I261" s="21"/>
      <x:c r="J261" s="25"/>
      <x:c r="K261" s="25"/>
      <x:c r="L261" s="25"/>
      <x:c r="M261" s="39" t="str">
        <x:f>IF(G261="","",K261+L261*J261)</x:f>
      </x:c>
      <x:c r="N261" s="35"/>
      <x:c r="O261" s="35"/>
      <x:c r="P261" s="21"/>
      <x:c r="Q261" s="21"/>
      <x:c r="R261" s="29" t="str">
        <x:f>IF(G261="","",MIN(J261,SUMIF('05_BAO_CAO_NGAY'!$K$6:$K$505,G261,'05_BAO_CAO_NGAY'!$V$6:$V$505)))</x:f>
      </x:c>
      <x:c r="S261" s="37" t="str">
        <x:f>IF(G261="","",IFERROR(R261/J261,0))</x:f>
      </x:c>
      <x:c r="T261" s="41" t="str">
        <x:f>IF(OR(G261="",COUNTIF('05_BAO_CAO_NGAY'!$K$6:$K$505,G261)=0),"",_xlfn.MINIFS('05_BAO_CAO_NGAY'!$B$6:$B$505,'05_BAO_CAO_NGAY'!$K$6:$K$505,G261))</x:f>
      </x:c>
      <x:c r="U261" s="41" t="str">
        <x:f>IF(OR(G261="",S261&lt;1),"",_xlfn.MAXIFS('05_BAO_CAO_NGAY'!$B$6:$B$505,'05_BAO_CAO_NGAY'!$K$6:$K$505,G261))</x:f>
      </x:c>
      <x:c r="V261" s="29" t="str">
        <x:f>IF(G261="","",IF(S261&gt;=1,IF(U261&lt;=O261,"Hoàn thành đúng hạn","Hoàn thành trễ"),IF(TODAY()&gt;O261,"Quá hạn",IF(R261&gt;0,"Đang thực hiện","Chưa bắt đầu"))))</x:f>
      </x:c>
      <x:c r="W261" s="37" t="str">
        <x:f>IF(G261="","",IFERROR(SUMIF('05_BAO_CAO_NGAY'!$K$6:$K$505,G261,'05_BAO_CAO_NGAY'!$AB$6:$AB$505)/SUMIF('05_BAO_CAO_NGAY'!$K$6:$K$505,G261,'05_BAO_CAO_NGAY'!$AC$6:$AC$505),0))</x:f>
      </x:c>
      <x:c r="X261" s="37" t="str">
        <x:f>IF(G261="","",IFERROR(SUMIFS('05_BAO_CAO_NGAY'!$W$6:$W$505,'05_BAO_CAO_NGAY'!$K$6:$K$505,G261,'05_BAO_CAO_NGAY'!$N$6:$N$505,"PRODUCTION")/SUMIFS('05_BAO_CAO_NGAY'!$U$6:$U$505,'05_BAO_CAO_NGAY'!$K$6:$K$505,G261,'05_BAO_CAO_NGAY'!$N$6:$N$505,"PRODUCTION"),0))</x:f>
      </x:c>
      <x:c r="Y261" s="29" t="str">
        <x:f>IF(G261="","",SUMIF('05_BAO_CAO_NGAY'!$K$6:$K$505,G261,'05_BAO_CAO_NGAY'!$S$6:$S$505))</x:f>
      </x:c>
      <x:c r="Z261" s="21"/>
    </x:row>
    <x:row r="262">
      <x:c r="A262" s="21"/>
      <x:c r="B262" s="21"/>
      <x:c r="C262" s="21"/>
      <x:c r="D262" s="21"/>
      <x:c r="E262" s="21"/>
      <x:c r="F262" s="29" t="str">
        <x:f>IF(OR(B262="",C262=""),"",B262&amp;"|"&amp;C262&amp;"|"&amp;IF(D262="","00",D262)&amp;"|"&amp;IF(E262="","01",E262))</x:f>
      </x:c>
      <x:c r="G262" s="29" t="str">
        <x:f>IF(F262="","",F262&amp;"|"&amp;TEXT(A262,"000"))</x:f>
      </x:c>
      <x:c r="H262" s="21"/>
      <x:c r="I262" s="21"/>
      <x:c r="J262" s="25"/>
      <x:c r="K262" s="25"/>
      <x:c r="L262" s="25"/>
      <x:c r="M262" s="39" t="str">
        <x:f>IF(G262="","",K262+L262*J262)</x:f>
      </x:c>
      <x:c r="N262" s="35"/>
      <x:c r="O262" s="35"/>
      <x:c r="P262" s="21"/>
      <x:c r="Q262" s="21"/>
      <x:c r="R262" s="29" t="str">
        <x:f>IF(G262="","",MIN(J262,SUMIF('05_BAO_CAO_NGAY'!$K$6:$K$505,G262,'05_BAO_CAO_NGAY'!$V$6:$V$505)))</x:f>
      </x:c>
      <x:c r="S262" s="37" t="str">
        <x:f>IF(G262="","",IFERROR(R262/J262,0))</x:f>
      </x:c>
      <x:c r="T262" s="41" t="str">
        <x:f>IF(OR(G262="",COUNTIF('05_BAO_CAO_NGAY'!$K$6:$K$505,G262)=0),"",_xlfn.MINIFS('05_BAO_CAO_NGAY'!$B$6:$B$505,'05_BAO_CAO_NGAY'!$K$6:$K$505,G262))</x:f>
      </x:c>
      <x:c r="U262" s="41" t="str">
        <x:f>IF(OR(G262="",S262&lt;1),"",_xlfn.MAXIFS('05_BAO_CAO_NGAY'!$B$6:$B$505,'05_BAO_CAO_NGAY'!$K$6:$K$505,G262))</x:f>
      </x:c>
      <x:c r="V262" s="29" t="str">
        <x:f>IF(G262="","",IF(S262&gt;=1,IF(U262&lt;=O262,"Hoàn thành đúng hạn","Hoàn thành trễ"),IF(TODAY()&gt;O262,"Quá hạn",IF(R262&gt;0,"Đang thực hiện","Chưa bắt đầu"))))</x:f>
      </x:c>
      <x:c r="W262" s="37" t="str">
        <x:f>IF(G262="","",IFERROR(SUMIF('05_BAO_CAO_NGAY'!$K$6:$K$505,G262,'05_BAO_CAO_NGAY'!$AB$6:$AB$505)/SUMIF('05_BAO_CAO_NGAY'!$K$6:$K$505,G262,'05_BAO_CAO_NGAY'!$AC$6:$AC$505),0))</x:f>
      </x:c>
      <x:c r="X262" s="37" t="str">
        <x:f>IF(G262="","",IFERROR(SUMIFS('05_BAO_CAO_NGAY'!$W$6:$W$505,'05_BAO_CAO_NGAY'!$K$6:$K$505,G262,'05_BAO_CAO_NGAY'!$N$6:$N$505,"PRODUCTION")/SUMIFS('05_BAO_CAO_NGAY'!$U$6:$U$505,'05_BAO_CAO_NGAY'!$K$6:$K$505,G262,'05_BAO_CAO_NGAY'!$N$6:$N$505,"PRODUCTION"),0))</x:f>
      </x:c>
      <x:c r="Y262" s="29" t="str">
        <x:f>IF(G262="","",SUMIF('05_BAO_CAO_NGAY'!$K$6:$K$505,G262,'05_BAO_CAO_NGAY'!$S$6:$S$505))</x:f>
      </x:c>
      <x:c r="Z262" s="21"/>
    </x:row>
    <x:row r="263">
      <x:c r="A263" s="21"/>
      <x:c r="B263" s="21"/>
      <x:c r="C263" s="21"/>
      <x:c r="D263" s="21"/>
      <x:c r="E263" s="21"/>
      <x:c r="F263" s="29" t="str">
        <x:f>IF(OR(B263="",C263=""),"",B263&amp;"|"&amp;C263&amp;"|"&amp;IF(D263="","00",D263)&amp;"|"&amp;IF(E263="","01",E263))</x:f>
      </x:c>
      <x:c r="G263" s="29" t="str">
        <x:f>IF(F263="","",F263&amp;"|"&amp;TEXT(A263,"000"))</x:f>
      </x:c>
      <x:c r="H263" s="21"/>
      <x:c r="I263" s="21"/>
      <x:c r="J263" s="25"/>
      <x:c r="K263" s="25"/>
      <x:c r="L263" s="25"/>
      <x:c r="M263" s="39" t="str">
        <x:f>IF(G263="","",K263+L263*J263)</x:f>
      </x:c>
      <x:c r="N263" s="35"/>
      <x:c r="O263" s="35"/>
      <x:c r="P263" s="21"/>
      <x:c r="Q263" s="21"/>
      <x:c r="R263" s="29" t="str">
        <x:f>IF(G263="","",MIN(J263,SUMIF('05_BAO_CAO_NGAY'!$K$6:$K$505,G263,'05_BAO_CAO_NGAY'!$V$6:$V$505)))</x:f>
      </x:c>
      <x:c r="S263" s="37" t="str">
        <x:f>IF(G263="","",IFERROR(R263/J263,0))</x:f>
      </x:c>
      <x:c r="T263" s="41" t="str">
        <x:f>IF(OR(G263="",COUNTIF('05_BAO_CAO_NGAY'!$K$6:$K$505,G263)=0),"",_xlfn.MINIFS('05_BAO_CAO_NGAY'!$B$6:$B$505,'05_BAO_CAO_NGAY'!$K$6:$K$505,G263))</x:f>
      </x:c>
      <x:c r="U263" s="41" t="str">
        <x:f>IF(OR(G263="",S263&lt;1),"",_xlfn.MAXIFS('05_BAO_CAO_NGAY'!$B$6:$B$505,'05_BAO_CAO_NGAY'!$K$6:$K$505,G263))</x:f>
      </x:c>
      <x:c r="V263" s="29" t="str">
        <x:f>IF(G263="","",IF(S263&gt;=1,IF(U263&lt;=O263,"Hoàn thành đúng hạn","Hoàn thành trễ"),IF(TODAY()&gt;O263,"Quá hạn",IF(R263&gt;0,"Đang thực hiện","Chưa bắt đầu"))))</x:f>
      </x:c>
      <x:c r="W263" s="37" t="str">
        <x:f>IF(G263="","",IFERROR(SUMIF('05_BAO_CAO_NGAY'!$K$6:$K$505,G263,'05_BAO_CAO_NGAY'!$AB$6:$AB$505)/SUMIF('05_BAO_CAO_NGAY'!$K$6:$K$505,G263,'05_BAO_CAO_NGAY'!$AC$6:$AC$505),0))</x:f>
      </x:c>
      <x:c r="X263" s="37" t="str">
        <x:f>IF(G263="","",IFERROR(SUMIFS('05_BAO_CAO_NGAY'!$W$6:$W$505,'05_BAO_CAO_NGAY'!$K$6:$K$505,G263,'05_BAO_CAO_NGAY'!$N$6:$N$505,"PRODUCTION")/SUMIFS('05_BAO_CAO_NGAY'!$U$6:$U$505,'05_BAO_CAO_NGAY'!$K$6:$K$505,G263,'05_BAO_CAO_NGAY'!$N$6:$N$505,"PRODUCTION"),0))</x:f>
      </x:c>
      <x:c r="Y263" s="29" t="str">
        <x:f>IF(G263="","",SUMIF('05_BAO_CAO_NGAY'!$K$6:$K$505,G263,'05_BAO_CAO_NGAY'!$S$6:$S$505))</x:f>
      </x:c>
      <x:c r="Z263" s="21"/>
    </x:row>
    <x:row r="264">
      <x:c r="A264" s="21"/>
      <x:c r="B264" s="21"/>
      <x:c r="C264" s="21"/>
      <x:c r="D264" s="21"/>
      <x:c r="E264" s="21"/>
      <x:c r="F264" s="29" t="str">
        <x:f>IF(OR(B264="",C264=""),"",B264&amp;"|"&amp;C264&amp;"|"&amp;IF(D264="","00",D264)&amp;"|"&amp;IF(E264="","01",E264))</x:f>
      </x:c>
      <x:c r="G264" s="29" t="str">
        <x:f>IF(F264="","",F264&amp;"|"&amp;TEXT(A264,"000"))</x:f>
      </x:c>
      <x:c r="H264" s="21"/>
      <x:c r="I264" s="21"/>
      <x:c r="J264" s="25"/>
      <x:c r="K264" s="25"/>
      <x:c r="L264" s="25"/>
      <x:c r="M264" s="39" t="str">
        <x:f>IF(G264="","",K264+L264*J264)</x:f>
      </x:c>
      <x:c r="N264" s="35"/>
      <x:c r="O264" s="35"/>
      <x:c r="P264" s="21"/>
      <x:c r="Q264" s="21"/>
      <x:c r="R264" s="29" t="str">
        <x:f>IF(G264="","",MIN(J264,SUMIF('05_BAO_CAO_NGAY'!$K$6:$K$505,G264,'05_BAO_CAO_NGAY'!$V$6:$V$505)))</x:f>
      </x:c>
      <x:c r="S264" s="37" t="str">
        <x:f>IF(G264="","",IFERROR(R264/J264,0))</x:f>
      </x:c>
      <x:c r="T264" s="41" t="str">
        <x:f>IF(OR(G264="",COUNTIF('05_BAO_CAO_NGAY'!$K$6:$K$505,G264)=0),"",_xlfn.MINIFS('05_BAO_CAO_NGAY'!$B$6:$B$505,'05_BAO_CAO_NGAY'!$K$6:$K$505,G264))</x:f>
      </x:c>
      <x:c r="U264" s="41" t="str">
        <x:f>IF(OR(G264="",S264&lt;1),"",_xlfn.MAXIFS('05_BAO_CAO_NGAY'!$B$6:$B$505,'05_BAO_CAO_NGAY'!$K$6:$K$505,G264))</x:f>
      </x:c>
      <x:c r="V264" s="29" t="str">
        <x:f>IF(G264="","",IF(S264&gt;=1,IF(U264&lt;=O264,"Hoàn thành đúng hạn","Hoàn thành trễ"),IF(TODAY()&gt;O264,"Quá hạn",IF(R264&gt;0,"Đang thực hiện","Chưa bắt đầu"))))</x:f>
      </x:c>
      <x:c r="W264" s="37" t="str">
        <x:f>IF(G264="","",IFERROR(SUMIF('05_BAO_CAO_NGAY'!$K$6:$K$505,G264,'05_BAO_CAO_NGAY'!$AB$6:$AB$505)/SUMIF('05_BAO_CAO_NGAY'!$K$6:$K$505,G264,'05_BAO_CAO_NGAY'!$AC$6:$AC$505),0))</x:f>
      </x:c>
      <x:c r="X264" s="37" t="str">
        <x:f>IF(G264="","",IFERROR(SUMIFS('05_BAO_CAO_NGAY'!$W$6:$W$505,'05_BAO_CAO_NGAY'!$K$6:$K$505,G264,'05_BAO_CAO_NGAY'!$N$6:$N$505,"PRODUCTION")/SUMIFS('05_BAO_CAO_NGAY'!$U$6:$U$505,'05_BAO_CAO_NGAY'!$K$6:$K$505,G264,'05_BAO_CAO_NGAY'!$N$6:$N$505,"PRODUCTION"),0))</x:f>
      </x:c>
      <x:c r="Y264" s="29" t="str">
        <x:f>IF(G264="","",SUMIF('05_BAO_CAO_NGAY'!$K$6:$K$505,G264,'05_BAO_CAO_NGAY'!$S$6:$S$505))</x:f>
      </x:c>
      <x:c r="Z264" s="21"/>
    </x:row>
    <x:row r="265">
      <x:c r="A265" s="21"/>
      <x:c r="B265" s="21"/>
      <x:c r="C265" s="21"/>
      <x:c r="D265" s="21"/>
      <x:c r="E265" s="21"/>
      <x:c r="F265" s="29" t="str">
        <x:f>IF(OR(B265="",C265=""),"",B265&amp;"|"&amp;C265&amp;"|"&amp;IF(D265="","00",D265)&amp;"|"&amp;IF(E265="","01",E265))</x:f>
      </x:c>
      <x:c r="G265" s="29" t="str">
        <x:f>IF(F265="","",F265&amp;"|"&amp;TEXT(A265,"000"))</x:f>
      </x:c>
      <x:c r="H265" s="21"/>
      <x:c r="I265" s="21"/>
      <x:c r="J265" s="25"/>
      <x:c r="K265" s="25"/>
      <x:c r="L265" s="25"/>
      <x:c r="M265" s="39" t="str">
        <x:f>IF(G265="","",K265+L265*J265)</x:f>
      </x:c>
      <x:c r="N265" s="35"/>
      <x:c r="O265" s="35"/>
      <x:c r="P265" s="21"/>
      <x:c r="Q265" s="21"/>
      <x:c r="R265" s="29" t="str">
        <x:f>IF(G265="","",MIN(J265,SUMIF('05_BAO_CAO_NGAY'!$K$6:$K$505,G265,'05_BAO_CAO_NGAY'!$V$6:$V$505)))</x:f>
      </x:c>
      <x:c r="S265" s="37" t="str">
        <x:f>IF(G265="","",IFERROR(R265/J265,0))</x:f>
      </x:c>
      <x:c r="T265" s="41" t="str">
        <x:f>IF(OR(G265="",COUNTIF('05_BAO_CAO_NGAY'!$K$6:$K$505,G265)=0),"",_xlfn.MINIFS('05_BAO_CAO_NGAY'!$B$6:$B$505,'05_BAO_CAO_NGAY'!$K$6:$K$505,G265))</x:f>
      </x:c>
      <x:c r="U265" s="41" t="str">
        <x:f>IF(OR(G265="",S265&lt;1),"",_xlfn.MAXIFS('05_BAO_CAO_NGAY'!$B$6:$B$505,'05_BAO_CAO_NGAY'!$K$6:$K$505,G265))</x:f>
      </x:c>
      <x:c r="V265" s="29" t="str">
        <x:f>IF(G265="","",IF(S265&gt;=1,IF(U265&lt;=O265,"Hoàn thành đúng hạn","Hoàn thành trễ"),IF(TODAY()&gt;O265,"Quá hạn",IF(R265&gt;0,"Đang thực hiện","Chưa bắt đầu"))))</x:f>
      </x:c>
      <x:c r="W265" s="37" t="str">
        <x:f>IF(G265="","",IFERROR(SUMIF('05_BAO_CAO_NGAY'!$K$6:$K$505,G265,'05_BAO_CAO_NGAY'!$AB$6:$AB$505)/SUMIF('05_BAO_CAO_NGAY'!$K$6:$K$505,G265,'05_BAO_CAO_NGAY'!$AC$6:$AC$505),0))</x:f>
      </x:c>
      <x:c r="X265" s="37" t="str">
        <x:f>IF(G265="","",IFERROR(SUMIFS('05_BAO_CAO_NGAY'!$W$6:$W$505,'05_BAO_CAO_NGAY'!$K$6:$K$505,G265,'05_BAO_CAO_NGAY'!$N$6:$N$505,"PRODUCTION")/SUMIFS('05_BAO_CAO_NGAY'!$U$6:$U$505,'05_BAO_CAO_NGAY'!$K$6:$K$505,G265,'05_BAO_CAO_NGAY'!$N$6:$N$505,"PRODUCTION"),0))</x:f>
      </x:c>
      <x:c r="Y265" s="29" t="str">
        <x:f>IF(G265="","",SUMIF('05_BAO_CAO_NGAY'!$K$6:$K$505,G265,'05_BAO_CAO_NGAY'!$S$6:$S$505))</x:f>
      </x:c>
      <x:c r="Z265" s="21"/>
    </x:row>
    <x:row r="266">
      <x:c r="A266" s="21"/>
      <x:c r="B266" s="21"/>
      <x:c r="C266" s="21"/>
      <x:c r="D266" s="21"/>
      <x:c r="E266" s="21"/>
      <x:c r="F266" s="29" t="str">
        <x:f>IF(OR(B266="",C266=""),"",B266&amp;"|"&amp;C266&amp;"|"&amp;IF(D266="","00",D266)&amp;"|"&amp;IF(E266="","01",E266))</x:f>
      </x:c>
      <x:c r="G266" s="29" t="str">
        <x:f>IF(F266="","",F266&amp;"|"&amp;TEXT(A266,"000"))</x:f>
      </x:c>
      <x:c r="H266" s="21"/>
      <x:c r="I266" s="21"/>
      <x:c r="J266" s="25"/>
      <x:c r="K266" s="25"/>
      <x:c r="L266" s="25"/>
      <x:c r="M266" s="39" t="str">
        <x:f>IF(G266="","",K266+L266*J266)</x:f>
      </x:c>
      <x:c r="N266" s="35"/>
      <x:c r="O266" s="35"/>
      <x:c r="P266" s="21"/>
      <x:c r="Q266" s="21"/>
      <x:c r="R266" s="29" t="str">
        <x:f>IF(G266="","",MIN(J266,SUMIF('05_BAO_CAO_NGAY'!$K$6:$K$505,G266,'05_BAO_CAO_NGAY'!$V$6:$V$505)))</x:f>
      </x:c>
      <x:c r="S266" s="37" t="str">
        <x:f>IF(G266="","",IFERROR(R266/J266,0))</x:f>
      </x:c>
      <x:c r="T266" s="41" t="str">
        <x:f>IF(OR(G266="",COUNTIF('05_BAO_CAO_NGAY'!$K$6:$K$505,G266)=0),"",_xlfn.MINIFS('05_BAO_CAO_NGAY'!$B$6:$B$505,'05_BAO_CAO_NGAY'!$K$6:$K$505,G266))</x:f>
      </x:c>
      <x:c r="U266" s="41" t="str">
        <x:f>IF(OR(G266="",S266&lt;1),"",_xlfn.MAXIFS('05_BAO_CAO_NGAY'!$B$6:$B$505,'05_BAO_CAO_NGAY'!$K$6:$K$505,G266))</x:f>
      </x:c>
      <x:c r="V266" s="29" t="str">
        <x:f>IF(G266="","",IF(S266&gt;=1,IF(U266&lt;=O266,"Hoàn thành đúng hạn","Hoàn thành trễ"),IF(TODAY()&gt;O266,"Quá hạn",IF(R266&gt;0,"Đang thực hiện","Chưa bắt đầu"))))</x:f>
      </x:c>
      <x:c r="W266" s="37" t="str">
        <x:f>IF(G266="","",IFERROR(SUMIF('05_BAO_CAO_NGAY'!$K$6:$K$505,G266,'05_BAO_CAO_NGAY'!$AB$6:$AB$505)/SUMIF('05_BAO_CAO_NGAY'!$K$6:$K$505,G266,'05_BAO_CAO_NGAY'!$AC$6:$AC$505),0))</x:f>
      </x:c>
      <x:c r="X266" s="37" t="str">
        <x:f>IF(G266="","",IFERROR(SUMIFS('05_BAO_CAO_NGAY'!$W$6:$W$505,'05_BAO_CAO_NGAY'!$K$6:$K$505,G266,'05_BAO_CAO_NGAY'!$N$6:$N$505,"PRODUCTION")/SUMIFS('05_BAO_CAO_NGAY'!$U$6:$U$505,'05_BAO_CAO_NGAY'!$K$6:$K$505,G266,'05_BAO_CAO_NGAY'!$N$6:$N$505,"PRODUCTION"),0))</x:f>
      </x:c>
      <x:c r="Y266" s="29" t="str">
        <x:f>IF(G266="","",SUMIF('05_BAO_CAO_NGAY'!$K$6:$K$505,G266,'05_BAO_CAO_NGAY'!$S$6:$S$505))</x:f>
      </x:c>
      <x:c r="Z266" s="21"/>
    </x:row>
    <x:row r="267">
      <x:c r="A267" s="21"/>
      <x:c r="B267" s="21"/>
      <x:c r="C267" s="21"/>
      <x:c r="D267" s="21"/>
      <x:c r="E267" s="21"/>
      <x:c r="F267" s="29" t="str">
        <x:f>IF(OR(B267="",C267=""),"",B267&amp;"|"&amp;C267&amp;"|"&amp;IF(D267="","00",D267)&amp;"|"&amp;IF(E267="","01",E267))</x:f>
      </x:c>
      <x:c r="G267" s="29" t="str">
        <x:f>IF(F267="","",F267&amp;"|"&amp;TEXT(A267,"000"))</x:f>
      </x:c>
      <x:c r="H267" s="21"/>
      <x:c r="I267" s="21"/>
      <x:c r="J267" s="25"/>
      <x:c r="K267" s="25"/>
      <x:c r="L267" s="25"/>
      <x:c r="M267" s="39" t="str">
        <x:f>IF(G267="","",K267+L267*J267)</x:f>
      </x:c>
      <x:c r="N267" s="35"/>
      <x:c r="O267" s="35"/>
      <x:c r="P267" s="21"/>
      <x:c r="Q267" s="21"/>
      <x:c r="R267" s="29" t="str">
        <x:f>IF(G267="","",MIN(J267,SUMIF('05_BAO_CAO_NGAY'!$K$6:$K$505,G267,'05_BAO_CAO_NGAY'!$V$6:$V$505)))</x:f>
      </x:c>
      <x:c r="S267" s="37" t="str">
        <x:f>IF(G267="","",IFERROR(R267/J267,0))</x:f>
      </x:c>
      <x:c r="T267" s="41" t="str">
        <x:f>IF(OR(G267="",COUNTIF('05_BAO_CAO_NGAY'!$K$6:$K$505,G267)=0),"",_xlfn.MINIFS('05_BAO_CAO_NGAY'!$B$6:$B$505,'05_BAO_CAO_NGAY'!$K$6:$K$505,G267))</x:f>
      </x:c>
      <x:c r="U267" s="41" t="str">
        <x:f>IF(OR(G267="",S267&lt;1),"",_xlfn.MAXIFS('05_BAO_CAO_NGAY'!$B$6:$B$505,'05_BAO_CAO_NGAY'!$K$6:$K$505,G267))</x:f>
      </x:c>
      <x:c r="V267" s="29" t="str">
        <x:f>IF(G267="","",IF(S267&gt;=1,IF(U267&lt;=O267,"Hoàn thành đúng hạn","Hoàn thành trễ"),IF(TODAY()&gt;O267,"Quá hạn",IF(R267&gt;0,"Đang thực hiện","Chưa bắt đầu"))))</x:f>
      </x:c>
      <x:c r="W267" s="37" t="str">
        <x:f>IF(G267="","",IFERROR(SUMIF('05_BAO_CAO_NGAY'!$K$6:$K$505,G267,'05_BAO_CAO_NGAY'!$AB$6:$AB$505)/SUMIF('05_BAO_CAO_NGAY'!$K$6:$K$505,G267,'05_BAO_CAO_NGAY'!$AC$6:$AC$505),0))</x:f>
      </x:c>
      <x:c r="X267" s="37" t="str">
        <x:f>IF(G267="","",IFERROR(SUMIFS('05_BAO_CAO_NGAY'!$W$6:$W$505,'05_BAO_CAO_NGAY'!$K$6:$K$505,G267,'05_BAO_CAO_NGAY'!$N$6:$N$505,"PRODUCTION")/SUMIFS('05_BAO_CAO_NGAY'!$U$6:$U$505,'05_BAO_CAO_NGAY'!$K$6:$K$505,G267,'05_BAO_CAO_NGAY'!$N$6:$N$505,"PRODUCTION"),0))</x:f>
      </x:c>
      <x:c r="Y267" s="29" t="str">
        <x:f>IF(G267="","",SUMIF('05_BAO_CAO_NGAY'!$K$6:$K$505,G267,'05_BAO_CAO_NGAY'!$S$6:$S$505))</x:f>
      </x:c>
      <x:c r="Z267" s="21"/>
    </x:row>
    <x:row r="268">
      <x:c r="A268" s="21"/>
      <x:c r="B268" s="21"/>
      <x:c r="C268" s="21"/>
      <x:c r="D268" s="21"/>
      <x:c r="E268" s="21"/>
      <x:c r="F268" s="29" t="str">
        <x:f>IF(OR(B268="",C268=""),"",B268&amp;"|"&amp;C268&amp;"|"&amp;IF(D268="","00",D268)&amp;"|"&amp;IF(E268="","01",E268))</x:f>
      </x:c>
      <x:c r="G268" s="29" t="str">
        <x:f>IF(F268="","",F268&amp;"|"&amp;TEXT(A268,"000"))</x:f>
      </x:c>
      <x:c r="H268" s="21"/>
      <x:c r="I268" s="21"/>
      <x:c r="J268" s="25"/>
      <x:c r="K268" s="25"/>
      <x:c r="L268" s="25"/>
      <x:c r="M268" s="39" t="str">
        <x:f>IF(G268="","",K268+L268*J268)</x:f>
      </x:c>
      <x:c r="N268" s="35"/>
      <x:c r="O268" s="35"/>
      <x:c r="P268" s="21"/>
      <x:c r="Q268" s="21"/>
      <x:c r="R268" s="29" t="str">
        <x:f>IF(G268="","",MIN(J268,SUMIF('05_BAO_CAO_NGAY'!$K$6:$K$505,G268,'05_BAO_CAO_NGAY'!$V$6:$V$505)))</x:f>
      </x:c>
      <x:c r="S268" s="37" t="str">
        <x:f>IF(G268="","",IFERROR(R268/J268,0))</x:f>
      </x:c>
      <x:c r="T268" s="41" t="str">
        <x:f>IF(OR(G268="",COUNTIF('05_BAO_CAO_NGAY'!$K$6:$K$505,G268)=0),"",_xlfn.MINIFS('05_BAO_CAO_NGAY'!$B$6:$B$505,'05_BAO_CAO_NGAY'!$K$6:$K$505,G268))</x:f>
      </x:c>
      <x:c r="U268" s="41" t="str">
        <x:f>IF(OR(G268="",S268&lt;1),"",_xlfn.MAXIFS('05_BAO_CAO_NGAY'!$B$6:$B$505,'05_BAO_CAO_NGAY'!$K$6:$K$505,G268))</x:f>
      </x:c>
      <x:c r="V268" s="29" t="str">
        <x:f>IF(G268="","",IF(S268&gt;=1,IF(U268&lt;=O268,"Hoàn thành đúng hạn","Hoàn thành trễ"),IF(TODAY()&gt;O268,"Quá hạn",IF(R268&gt;0,"Đang thực hiện","Chưa bắt đầu"))))</x:f>
      </x:c>
      <x:c r="W268" s="37" t="str">
        <x:f>IF(G268="","",IFERROR(SUMIF('05_BAO_CAO_NGAY'!$K$6:$K$505,G268,'05_BAO_CAO_NGAY'!$AB$6:$AB$505)/SUMIF('05_BAO_CAO_NGAY'!$K$6:$K$505,G268,'05_BAO_CAO_NGAY'!$AC$6:$AC$505),0))</x:f>
      </x:c>
      <x:c r="X268" s="37" t="str">
        <x:f>IF(G268="","",IFERROR(SUMIFS('05_BAO_CAO_NGAY'!$W$6:$W$505,'05_BAO_CAO_NGAY'!$K$6:$K$505,G268,'05_BAO_CAO_NGAY'!$N$6:$N$505,"PRODUCTION")/SUMIFS('05_BAO_CAO_NGAY'!$U$6:$U$505,'05_BAO_CAO_NGAY'!$K$6:$K$505,G268,'05_BAO_CAO_NGAY'!$N$6:$N$505,"PRODUCTION"),0))</x:f>
      </x:c>
      <x:c r="Y268" s="29" t="str">
        <x:f>IF(G268="","",SUMIF('05_BAO_CAO_NGAY'!$K$6:$K$505,G268,'05_BAO_CAO_NGAY'!$S$6:$S$505))</x:f>
      </x:c>
      <x:c r="Z268" s="21"/>
    </x:row>
    <x:row r="269">
      <x:c r="A269" s="21"/>
      <x:c r="B269" s="21"/>
      <x:c r="C269" s="21"/>
      <x:c r="D269" s="21"/>
      <x:c r="E269" s="21"/>
      <x:c r="F269" s="29" t="str">
        <x:f>IF(OR(B269="",C269=""),"",B269&amp;"|"&amp;C269&amp;"|"&amp;IF(D269="","00",D269)&amp;"|"&amp;IF(E269="","01",E269))</x:f>
      </x:c>
      <x:c r="G269" s="29" t="str">
        <x:f>IF(F269="","",F269&amp;"|"&amp;TEXT(A269,"000"))</x:f>
      </x:c>
      <x:c r="H269" s="21"/>
      <x:c r="I269" s="21"/>
      <x:c r="J269" s="25"/>
      <x:c r="K269" s="25"/>
      <x:c r="L269" s="25"/>
      <x:c r="M269" s="39" t="str">
        <x:f>IF(G269="","",K269+L269*J269)</x:f>
      </x:c>
      <x:c r="N269" s="35"/>
      <x:c r="O269" s="35"/>
      <x:c r="P269" s="21"/>
      <x:c r="Q269" s="21"/>
      <x:c r="R269" s="29" t="str">
        <x:f>IF(G269="","",MIN(J269,SUMIF('05_BAO_CAO_NGAY'!$K$6:$K$505,G269,'05_BAO_CAO_NGAY'!$V$6:$V$505)))</x:f>
      </x:c>
      <x:c r="S269" s="37" t="str">
        <x:f>IF(G269="","",IFERROR(R269/J269,0))</x:f>
      </x:c>
      <x:c r="T269" s="41" t="str">
        <x:f>IF(OR(G269="",COUNTIF('05_BAO_CAO_NGAY'!$K$6:$K$505,G269)=0),"",_xlfn.MINIFS('05_BAO_CAO_NGAY'!$B$6:$B$505,'05_BAO_CAO_NGAY'!$K$6:$K$505,G269))</x:f>
      </x:c>
      <x:c r="U269" s="41" t="str">
        <x:f>IF(OR(G269="",S269&lt;1),"",_xlfn.MAXIFS('05_BAO_CAO_NGAY'!$B$6:$B$505,'05_BAO_CAO_NGAY'!$K$6:$K$505,G269))</x:f>
      </x:c>
      <x:c r="V269" s="29" t="str">
        <x:f>IF(G269="","",IF(S269&gt;=1,IF(U269&lt;=O269,"Hoàn thành đúng hạn","Hoàn thành trễ"),IF(TODAY()&gt;O269,"Quá hạn",IF(R269&gt;0,"Đang thực hiện","Chưa bắt đầu"))))</x:f>
      </x:c>
      <x:c r="W269" s="37" t="str">
        <x:f>IF(G269="","",IFERROR(SUMIF('05_BAO_CAO_NGAY'!$K$6:$K$505,G269,'05_BAO_CAO_NGAY'!$AB$6:$AB$505)/SUMIF('05_BAO_CAO_NGAY'!$K$6:$K$505,G269,'05_BAO_CAO_NGAY'!$AC$6:$AC$505),0))</x:f>
      </x:c>
      <x:c r="X269" s="37" t="str">
        <x:f>IF(G269="","",IFERROR(SUMIFS('05_BAO_CAO_NGAY'!$W$6:$W$505,'05_BAO_CAO_NGAY'!$K$6:$K$505,G269,'05_BAO_CAO_NGAY'!$N$6:$N$505,"PRODUCTION")/SUMIFS('05_BAO_CAO_NGAY'!$U$6:$U$505,'05_BAO_CAO_NGAY'!$K$6:$K$505,G269,'05_BAO_CAO_NGAY'!$N$6:$N$505,"PRODUCTION"),0))</x:f>
      </x:c>
      <x:c r="Y269" s="29" t="str">
        <x:f>IF(G269="","",SUMIF('05_BAO_CAO_NGAY'!$K$6:$K$505,G269,'05_BAO_CAO_NGAY'!$S$6:$S$505))</x:f>
      </x:c>
      <x:c r="Z269" s="21"/>
    </x:row>
    <x:row r="270">
      <x:c r="A270" s="21"/>
      <x:c r="B270" s="21"/>
      <x:c r="C270" s="21"/>
      <x:c r="D270" s="21"/>
      <x:c r="E270" s="21"/>
      <x:c r="F270" s="29" t="str">
        <x:f>IF(OR(B270="",C270=""),"",B270&amp;"|"&amp;C270&amp;"|"&amp;IF(D270="","00",D270)&amp;"|"&amp;IF(E270="","01",E270))</x:f>
      </x:c>
      <x:c r="G270" s="29" t="str">
        <x:f>IF(F270="","",F270&amp;"|"&amp;TEXT(A270,"000"))</x:f>
      </x:c>
      <x:c r="H270" s="21"/>
      <x:c r="I270" s="21"/>
      <x:c r="J270" s="25"/>
      <x:c r="K270" s="25"/>
      <x:c r="L270" s="25"/>
      <x:c r="M270" s="39" t="str">
        <x:f>IF(G270="","",K270+L270*J270)</x:f>
      </x:c>
      <x:c r="N270" s="35"/>
      <x:c r="O270" s="35"/>
      <x:c r="P270" s="21"/>
      <x:c r="Q270" s="21"/>
      <x:c r="R270" s="29" t="str">
        <x:f>IF(G270="","",MIN(J270,SUMIF('05_BAO_CAO_NGAY'!$K$6:$K$505,G270,'05_BAO_CAO_NGAY'!$V$6:$V$505)))</x:f>
      </x:c>
      <x:c r="S270" s="37" t="str">
        <x:f>IF(G270="","",IFERROR(R270/J270,0))</x:f>
      </x:c>
      <x:c r="T270" s="41" t="str">
        <x:f>IF(OR(G270="",COUNTIF('05_BAO_CAO_NGAY'!$K$6:$K$505,G270)=0),"",_xlfn.MINIFS('05_BAO_CAO_NGAY'!$B$6:$B$505,'05_BAO_CAO_NGAY'!$K$6:$K$505,G270))</x:f>
      </x:c>
      <x:c r="U270" s="41" t="str">
        <x:f>IF(OR(G270="",S270&lt;1),"",_xlfn.MAXIFS('05_BAO_CAO_NGAY'!$B$6:$B$505,'05_BAO_CAO_NGAY'!$K$6:$K$505,G270))</x:f>
      </x:c>
      <x:c r="V270" s="29" t="str">
        <x:f>IF(G270="","",IF(S270&gt;=1,IF(U270&lt;=O270,"Hoàn thành đúng hạn","Hoàn thành trễ"),IF(TODAY()&gt;O270,"Quá hạn",IF(R270&gt;0,"Đang thực hiện","Chưa bắt đầu"))))</x:f>
      </x:c>
      <x:c r="W270" s="37" t="str">
        <x:f>IF(G270="","",IFERROR(SUMIF('05_BAO_CAO_NGAY'!$K$6:$K$505,G270,'05_BAO_CAO_NGAY'!$AB$6:$AB$505)/SUMIF('05_BAO_CAO_NGAY'!$K$6:$K$505,G270,'05_BAO_CAO_NGAY'!$AC$6:$AC$505),0))</x:f>
      </x:c>
      <x:c r="X270" s="37" t="str">
        <x:f>IF(G270="","",IFERROR(SUMIFS('05_BAO_CAO_NGAY'!$W$6:$W$505,'05_BAO_CAO_NGAY'!$K$6:$K$505,G270,'05_BAO_CAO_NGAY'!$N$6:$N$505,"PRODUCTION")/SUMIFS('05_BAO_CAO_NGAY'!$U$6:$U$505,'05_BAO_CAO_NGAY'!$K$6:$K$505,G270,'05_BAO_CAO_NGAY'!$N$6:$N$505,"PRODUCTION"),0))</x:f>
      </x:c>
      <x:c r="Y270" s="29" t="str">
        <x:f>IF(G270="","",SUMIF('05_BAO_CAO_NGAY'!$K$6:$K$505,G270,'05_BAO_CAO_NGAY'!$S$6:$S$505))</x:f>
      </x:c>
      <x:c r="Z270" s="21"/>
    </x:row>
    <x:row r="271">
      <x:c r="A271" s="21"/>
      <x:c r="B271" s="21"/>
      <x:c r="C271" s="21"/>
      <x:c r="D271" s="21"/>
      <x:c r="E271" s="21"/>
      <x:c r="F271" s="29" t="str">
        <x:f>IF(OR(B271="",C271=""),"",B271&amp;"|"&amp;C271&amp;"|"&amp;IF(D271="","00",D271)&amp;"|"&amp;IF(E271="","01",E271))</x:f>
      </x:c>
      <x:c r="G271" s="29" t="str">
        <x:f>IF(F271="","",F271&amp;"|"&amp;TEXT(A271,"000"))</x:f>
      </x:c>
      <x:c r="H271" s="21"/>
      <x:c r="I271" s="21"/>
      <x:c r="J271" s="25"/>
      <x:c r="K271" s="25"/>
      <x:c r="L271" s="25"/>
      <x:c r="M271" s="39" t="str">
        <x:f>IF(G271="","",K271+L271*J271)</x:f>
      </x:c>
      <x:c r="N271" s="35"/>
      <x:c r="O271" s="35"/>
      <x:c r="P271" s="21"/>
      <x:c r="Q271" s="21"/>
      <x:c r="R271" s="29" t="str">
        <x:f>IF(G271="","",MIN(J271,SUMIF('05_BAO_CAO_NGAY'!$K$6:$K$505,G271,'05_BAO_CAO_NGAY'!$V$6:$V$505)))</x:f>
      </x:c>
      <x:c r="S271" s="37" t="str">
        <x:f>IF(G271="","",IFERROR(R271/J271,0))</x:f>
      </x:c>
      <x:c r="T271" s="41" t="str">
        <x:f>IF(OR(G271="",COUNTIF('05_BAO_CAO_NGAY'!$K$6:$K$505,G271)=0),"",_xlfn.MINIFS('05_BAO_CAO_NGAY'!$B$6:$B$505,'05_BAO_CAO_NGAY'!$K$6:$K$505,G271))</x:f>
      </x:c>
      <x:c r="U271" s="41" t="str">
        <x:f>IF(OR(G271="",S271&lt;1),"",_xlfn.MAXIFS('05_BAO_CAO_NGAY'!$B$6:$B$505,'05_BAO_CAO_NGAY'!$K$6:$K$505,G271))</x:f>
      </x:c>
      <x:c r="V271" s="29" t="str">
        <x:f>IF(G271="","",IF(S271&gt;=1,IF(U271&lt;=O271,"Hoàn thành đúng hạn","Hoàn thành trễ"),IF(TODAY()&gt;O271,"Quá hạn",IF(R271&gt;0,"Đang thực hiện","Chưa bắt đầu"))))</x:f>
      </x:c>
      <x:c r="W271" s="37" t="str">
        <x:f>IF(G271="","",IFERROR(SUMIF('05_BAO_CAO_NGAY'!$K$6:$K$505,G271,'05_BAO_CAO_NGAY'!$AB$6:$AB$505)/SUMIF('05_BAO_CAO_NGAY'!$K$6:$K$505,G271,'05_BAO_CAO_NGAY'!$AC$6:$AC$505),0))</x:f>
      </x:c>
      <x:c r="X271" s="37" t="str">
        <x:f>IF(G271="","",IFERROR(SUMIFS('05_BAO_CAO_NGAY'!$W$6:$W$505,'05_BAO_CAO_NGAY'!$K$6:$K$505,G271,'05_BAO_CAO_NGAY'!$N$6:$N$505,"PRODUCTION")/SUMIFS('05_BAO_CAO_NGAY'!$U$6:$U$505,'05_BAO_CAO_NGAY'!$K$6:$K$505,G271,'05_BAO_CAO_NGAY'!$N$6:$N$505,"PRODUCTION"),0))</x:f>
      </x:c>
      <x:c r="Y271" s="29" t="str">
        <x:f>IF(G271="","",SUMIF('05_BAO_CAO_NGAY'!$K$6:$K$505,G271,'05_BAO_CAO_NGAY'!$S$6:$S$505))</x:f>
      </x:c>
      <x:c r="Z271" s="21"/>
    </x:row>
    <x:row r="272">
      <x:c r="A272" s="21"/>
      <x:c r="B272" s="21"/>
      <x:c r="C272" s="21"/>
      <x:c r="D272" s="21"/>
      <x:c r="E272" s="21"/>
      <x:c r="F272" s="29" t="str">
        <x:f>IF(OR(B272="",C272=""),"",B272&amp;"|"&amp;C272&amp;"|"&amp;IF(D272="","00",D272)&amp;"|"&amp;IF(E272="","01",E272))</x:f>
      </x:c>
      <x:c r="G272" s="29" t="str">
        <x:f>IF(F272="","",F272&amp;"|"&amp;TEXT(A272,"000"))</x:f>
      </x:c>
      <x:c r="H272" s="21"/>
      <x:c r="I272" s="21"/>
      <x:c r="J272" s="25"/>
      <x:c r="K272" s="25"/>
      <x:c r="L272" s="25"/>
      <x:c r="M272" s="39" t="str">
        <x:f>IF(G272="","",K272+L272*J272)</x:f>
      </x:c>
      <x:c r="N272" s="35"/>
      <x:c r="O272" s="35"/>
      <x:c r="P272" s="21"/>
      <x:c r="Q272" s="21"/>
      <x:c r="R272" s="29" t="str">
        <x:f>IF(G272="","",MIN(J272,SUMIF('05_BAO_CAO_NGAY'!$K$6:$K$505,G272,'05_BAO_CAO_NGAY'!$V$6:$V$505)))</x:f>
      </x:c>
      <x:c r="S272" s="37" t="str">
        <x:f>IF(G272="","",IFERROR(R272/J272,0))</x:f>
      </x:c>
      <x:c r="T272" s="41" t="str">
        <x:f>IF(OR(G272="",COUNTIF('05_BAO_CAO_NGAY'!$K$6:$K$505,G272)=0),"",_xlfn.MINIFS('05_BAO_CAO_NGAY'!$B$6:$B$505,'05_BAO_CAO_NGAY'!$K$6:$K$505,G272))</x:f>
      </x:c>
      <x:c r="U272" s="41" t="str">
        <x:f>IF(OR(G272="",S272&lt;1),"",_xlfn.MAXIFS('05_BAO_CAO_NGAY'!$B$6:$B$505,'05_BAO_CAO_NGAY'!$K$6:$K$505,G272))</x:f>
      </x:c>
      <x:c r="V272" s="29" t="str">
        <x:f>IF(G272="","",IF(S272&gt;=1,IF(U272&lt;=O272,"Hoàn thành đúng hạn","Hoàn thành trễ"),IF(TODAY()&gt;O272,"Quá hạn",IF(R272&gt;0,"Đang thực hiện","Chưa bắt đầu"))))</x:f>
      </x:c>
      <x:c r="W272" s="37" t="str">
        <x:f>IF(G272="","",IFERROR(SUMIF('05_BAO_CAO_NGAY'!$K$6:$K$505,G272,'05_BAO_CAO_NGAY'!$AB$6:$AB$505)/SUMIF('05_BAO_CAO_NGAY'!$K$6:$K$505,G272,'05_BAO_CAO_NGAY'!$AC$6:$AC$505),0))</x:f>
      </x:c>
      <x:c r="X272" s="37" t="str">
        <x:f>IF(G272="","",IFERROR(SUMIFS('05_BAO_CAO_NGAY'!$W$6:$W$505,'05_BAO_CAO_NGAY'!$K$6:$K$505,G272,'05_BAO_CAO_NGAY'!$N$6:$N$505,"PRODUCTION")/SUMIFS('05_BAO_CAO_NGAY'!$U$6:$U$505,'05_BAO_CAO_NGAY'!$K$6:$K$505,G272,'05_BAO_CAO_NGAY'!$N$6:$N$505,"PRODUCTION"),0))</x:f>
      </x:c>
      <x:c r="Y272" s="29" t="str">
        <x:f>IF(G272="","",SUMIF('05_BAO_CAO_NGAY'!$K$6:$K$505,G272,'05_BAO_CAO_NGAY'!$S$6:$S$505))</x:f>
      </x:c>
      <x:c r="Z272" s="21"/>
    </x:row>
    <x:row r="273">
      <x:c r="A273" s="21"/>
      <x:c r="B273" s="21"/>
      <x:c r="C273" s="21"/>
      <x:c r="D273" s="21"/>
      <x:c r="E273" s="21"/>
      <x:c r="F273" s="29" t="str">
        <x:f>IF(OR(B273="",C273=""),"",B273&amp;"|"&amp;C273&amp;"|"&amp;IF(D273="","00",D273)&amp;"|"&amp;IF(E273="","01",E273))</x:f>
      </x:c>
      <x:c r="G273" s="29" t="str">
        <x:f>IF(F273="","",F273&amp;"|"&amp;TEXT(A273,"000"))</x:f>
      </x:c>
      <x:c r="H273" s="21"/>
      <x:c r="I273" s="21"/>
      <x:c r="J273" s="25"/>
      <x:c r="K273" s="25"/>
      <x:c r="L273" s="25"/>
      <x:c r="M273" s="39" t="str">
        <x:f>IF(G273="","",K273+L273*J273)</x:f>
      </x:c>
      <x:c r="N273" s="35"/>
      <x:c r="O273" s="35"/>
      <x:c r="P273" s="21"/>
      <x:c r="Q273" s="21"/>
      <x:c r="R273" s="29" t="str">
        <x:f>IF(G273="","",MIN(J273,SUMIF('05_BAO_CAO_NGAY'!$K$6:$K$505,G273,'05_BAO_CAO_NGAY'!$V$6:$V$505)))</x:f>
      </x:c>
      <x:c r="S273" s="37" t="str">
        <x:f>IF(G273="","",IFERROR(R273/J273,0))</x:f>
      </x:c>
      <x:c r="T273" s="41" t="str">
        <x:f>IF(OR(G273="",COUNTIF('05_BAO_CAO_NGAY'!$K$6:$K$505,G273)=0),"",_xlfn.MINIFS('05_BAO_CAO_NGAY'!$B$6:$B$505,'05_BAO_CAO_NGAY'!$K$6:$K$505,G273))</x:f>
      </x:c>
      <x:c r="U273" s="41" t="str">
        <x:f>IF(OR(G273="",S273&lt;1),"",_xlfn.MAXIFS('05_BAO_CAO_NGAY'!$B$6:$B$505,'05_BAO_CAO_NGAY'!$K$6:$K$505,G273))</x:f>
      </x:c>
      <x:c r="V273" s="29" t="str">
        <x:f>IF(G273="","",IF(S273&gt;=1,IF(U273&lt;=O273,"Hoàn thành đúng hạn","Hoàn thành trễ"),IF(TODAY()&gt;O273,"Quá hạn",IF(R273&gt;0,"Đang thực hiện","Chưa bắt đầu"))))</x:f>
      </x:c>
      <x:c r="W273" s="37" t="str">
        <x:f>IF(G273="","",IFERROR(SUMIF('05_BAO_CAO_NGAY'!$K$6:$K$505,G273,'05_BAO_CAO_NGAY'!$AB$6:$AB$505)/SUMIF('05_BAO_CAO_NGAY'!$K$6:$K$505,G273,'05_BAO_CAO_NGAY'!$AC$6:$AC$505),0))</x:f>
      </x:c>
      <x:c r="X273" s="37" t="str">
        <x:f>IF(G273="","",IFERROR(SUMIFS('05_BAO_CAO_NGAY'!$W$6:$W$505,'05_BAO_CAO_NGAY'!$K$6:$K$505,G273,'05_BAO_CAO_NGAY'!$N$6:$N$505,"PRODUCTION")/SUMIFS('05_BAO_CAO_NGAY'!$U$6:$U$505,'05_BAO_CAO_NGAY'!$K$6:$K$505,G273,'05_BAO_CAO_NGAY'!$N$6:$N$505,"PRODUCTION"),0))</x:f>
      </x:c>
      <x:c r="Y273" s="29" t="str">
        <x:f>IF(G273="","",SUMIF('05_BAO_CAO_NGAY'!$K$6:$K$505,G273,'05_BAO_CAO_NGAY'!$S$6:$S$505))</x:f>
      </x:c>
      <x:c r="Z273" s="21"/>
    </x:row>
    <x:row r="274">
      <x:c r="A274" s="21"/>
      <x:c r="B274" s="21"/>
      <x:c r="C274" s="21"/>
      <x:c r="D274" s="21"/>
      <x:c r="E274" s="21"/>
      <x:c r="F274" s="29" t="str">
        <x:f>IF(OR(B274="",C274=""),"",B274&amp;"|"&amp;C274&amp;"|"&amp;IF(D274="","00",D274)&amp;"|"&amp;IF(E274="","01",E274))</x:f>
      </x:c>
      <x:c r="G274" s="29" t="str">
        <x:f>IF(F274="","",F274&amp;"|"&amp;TEXT(A274,"000"))</x:f>
      </x:c>
      <x:c r="H274" s="21"/>
      <x:c r="I274" s="21"/>
      <x:c r="J274" s="25"/>
      <x:c r="K274" s="25"/>
      <x:c r="L274" s="25"/>
      <x:c r="M274" s="39" t="str">
        <x:f>IF(G274="","",K274+L274*J274)</x:f>
      </x:c>
      <x:c r="N274" s="35"/>
      <x:c r="O274" s="35"/>
      <x:c r="P274" s="21"/>
      <x:c r="Q274" s="21"/>
      <x:c r="R274" s="29" t="str">
        <x:f>IF(G274="","",MIN(J274,SUMIF('05_BAO_CAO_NGAY'!$K$6:$K$505,G274,'05_BAO_CAO_NGAY'!$V$6:$V$505)))</x:f>
      </x:c>
      <x:c r="S274" s="37" t="str">
        <x:f>IF(G274="","",IFERROR(R274/J274,0))</x:f>
      </x:c>
      <x:c r="T274" s="41" t="str">
        <x:f>IF(OR(G274="",COUNTIF('05_BAO_CAO_NGAY'!$K$6:$K$505,G274)=0),"",_xlfn.MINIFS('05_BAO_CAO_NGAY'!$B$6:$B$505,'05_BAO_CAO_NGAY'!$K$6:$K$505,G274))</x:f>
      </x:c>
      <x:c r="U274" s="41" t="str">
        <x:f>IF(OR(G274="",S274&lt;1),"",_xlfn.MAXIFS('05_BAO_CAO_NGAY'!$B$6:$B$505,'05_BAO_CAO_NGAY'!$K$6:$K$505,G274))</x:f>
      </x:c>
      <x:c r="V274" s="29" t="str">
        <x:f>IF(G274="","",IF(S274&gt;=1,IF(U274&lt;=O274,"Hoàn thành đúng hạn","Hoàn thành trễ"),IF(TODAY()&gt;O274,"Quá hạn",IF(R274&gt;0,"Đang thực hiện","Chưa bắt đầu"))))</x:f>
      </x:c>
      <x:c r="W274" s="37" t="str">
        <x:f>IF(G274="","",IFERROR(SUMIF('05_BAO_CAO_NGAY'!$K$6:$K$505,G274,'05_BAO_CAO_NGAY'!$AB$6:$AB$505)/SUMIF('05_BAO_CAO_NGAY'!$K$6:$K$505,G274,'05_BAO_CAO_NGAY'!$AC$6:$AC$505),0))</x:f>
      </x:c>
      <x:c r="X274" s="37" t="str">
        <x:f>IF(G274="","",IFERROR(SUMIFS('05_BAO_CAO_NGAY'!$W$6:$W$505,'05_BAO_CAO_NGAY'!$K$6:$K$505,G274,'05_BAO_CAO_NGAY'!$N$6:$N$505,"PRODUCTION")/SUMIFS('05_BAO_CAO_NGAY'!$U$6:$U$505,'05_BAO_CAO_NGAY'!$K$6:$K$505,G274,'05_BAO_CAO_NGAY'!$N$6:$N$505,"PRODUCTION"),0))</x:f>
      </x:c>
      <x:c r="Y274" s="29" t="str">
        <x:f>IF(G274="","",SUMIF('05_BAO_CAO_NGAY'!$K$6:$K$505,G274,'05_BAO_CAO_NGAY'!$S$6:$S$505))</x:f>
      </x:c>
      <x:c r="Z274" s="21"/>
    </x:row>
    <x:row r="275">
      <x:c r="A275" s="21"/>
      <x:c r="B275" s="21"/>
      <x:c r="C275" s="21"/>
      <x:c r="D275" s="21"/>
      <x:c r="E275" s="21"/>
      <x:c r="F275" s="29" t="str">
        <x:f>IF(OR(B275="",C275=""),"",B275&amp;"|"&amp;C275&amp;"|"&amp;IF(D275="","00",D275)&amp;"|"&amp;IF(E275="","01",E275))</x:f>
      </x:c>
      <x:c r="G275" s="29" t="str">
        <x:f>IF(F275="","",F275&amp;"|"&amp;TEXT(A275,"000"))</x:f>
      </x:c>
      <x:c r="H275" s="21"/>
      <x:c r="I275" s="21"/>
      <x:c r="J275" s="25"/>
      <x:c r="K275" s="25"/>
      <x:c r="L275" s="25"/>
      <x:c r="M275" s="39" t="str">
        <x:f>IF(G275="","",K275+L275*J275)</x:f>
      </x:c>
      <x:c r="N275" s="35"/>
      <x:c r="O275" s="35"/>
      <x:c r="P275" s="21"/>
      <x:c r="Q275" s="21"/>
      <x:c r="R275" s="29" t="str">
        <x:f>IF(G275="","",MIN(J275,SUMIF('05_BAO_CAO_NGAY'!$K$6:$K$505,G275,'05_BAO_CAO_NGAY'!$V$6:$V$505)))</x:f>
      </x:c>
      <x:c r="S275" s="37" t="str">
        <x:f>IF(G275="","",IFERROR(R275/J275,0))</x:f>
      </x:c>
      <x:c r="T275" s="41" t="str">
        <x:f>IF(OR(G275="",COUNTIF('05_BAO_CAO_NGAY'!$K$6:$K$505,G275)=0),"",_xlfn.MINIFS('05_BAO_CAO_NGAY'!$B$6:$B$505,'05_BAO_CAO_NGAY'!$K$6:$K$505,G275))</x:f>
      </x:c>
      <x:c r="U275" s="41" t="str">
        <x:f>IF(OR(G275="",S275&lt;1),"",_xlfn.MAXIFS('05_BAO_CAO_NGAY'!$B$6:$B$505,'05_BAO_CAO_NGAY'!$K$6:$K$505,G275))</x:f>
      </x:c>
      <x:c r="V275" s="29" t="str">
        <x:f>IF(G275="","",IF(S275&gt;=1,IF(U275&lt;=O275,"Hoàn thành đúng hạn","Hoàn thành trễ"),IF(TODAY()&gt;O275,"Quá hạn",IF(R275&gt;0,"Đang thực hiện","Chưa bắt đầu"))))</x:f>
      </x:c>
      <x:c r="W275" s="37" t="str">
        <x:f>IF(G275="","",IFERROR(SUMIF('05_BAO_CAO_NGAY'!$K$6:$K$505,G275,'05_BAO_CAO_NGAY'!$AB$6:$AB$505)/SUMIF('05_BAO_CAO_NGAY'!$K$6:$K$505,G275,'05_BAO_CAO_NGAY'!$AC$6:$AC$505),0))</x:f>
      </x:c>
      <x:c r="X275" s="37" t="str">
        <x:f>IF(G275="","",IFERROR(SUMIFS('05_BAO_CAO_NGAY'!$W$6:$W$505,'05_BAO_CAO_NGAY'!$K$6:$K$505,G275,'05_BAO_CAO_NGAY'!$N$6:$N$505,"PRODUCTION")/SUMIFS('05_BAO_CAO_NGAY'!$U$6:$U$505,'05_BAO_CAO_NGAY'!$K$6:$K$505,G275,'05_BAO_CAO_NGAY'!$N$6:$N$505,"PRODUCTION"),0))</x:f>
      </x:c>
      <x:c r="Y275" s="29" t="str">
        <x:f>IF(G275="","",SUMIF('05_BAO_CAO_NGAY'!$K$6:$K$505,G275,'05_BAO_CAO_NGAY'!$S$6:$S$505))</x:f>
      </x:c>
      <x:c r="Z275" s="21"/>
    </x:row>
    <x:row r="276">
      <x:c r="A276" s="21"/>
      <x:c r="B276" s="21"/>
      <x:c r="C276" s="21"/>
      <x:c r="D276" s="21"/>
      <x:c r="E276" s="21"/>
      <x:c r="F276" s="29" t="str">
        <x:f>IF(OR(B276="",C276=""),"",B276&amp;"|"&amp;C276&amp;"|"&amp;IF(D276="","00",D276)&amp;"|"&amp;IF(E276="","01",E276))</x:f>
      </x:c>
      <x:c r="G276" s="29" t="str">
        <x:f>IF(F276="","",F276&amp;"|"&amp;TEXT(A276,"000"))</x:f>
      </x:c>
      <x:c r="H276" s="21"/>
      <x:c r="I276" s="21"/>
      <x:c r="J276" s="25"/>
      <x:c r="K276" s="25"/>
      <x:c r="L276" s="25"/>
      <x:c r="M276" s="39" t="str">
        <x:f>IF(G276="","",K276+L276*J276)</x:f>
      </x:c>
      <x:c r="N276" s="35"/>
      <x:c r="O276" s="35"/>
      <x:c r="P276" s="21"/>
      <x:c r="Q276" s="21"/>
      <x:c r="R276" s="29" t="str">
        <x:f>IF(G276="","",MIN(J276,SUMIF('05_BAO_CAO_NGAY'!$K$6:$K$505,G276,'05_BAO_CAO_NGAY'!$V$6:$V$505)))</x:f>
      </x:c>
      <x:c r="S276" s="37" t="str">
        <x:f>IF(G276="","",IFERROR(R276/J276,0))</x:f>
      </x:c>
      <x:c r="T276" s="41" t="str">
        <x:f>IF(OR(G276="",COUNTIF('05_BAO_CAO_NGAY'!$K$6:$K$505,G276)=0),"",_xlfn.MINIFS('05_BAO_CAO_NGAY'!$B$6:$B$505,'05_BAO_CAO_NGAY'!$K$6:$K$505,G276))</x:f>
      </x:c>
      <x:c r="U276" s="41" t="str">
        <x:f>IF(OR(G276="",S276&lt;1),"",_xlfn.MAXIFS('05_BAO_CAO_NGAY'!$B$6:$B$505,'05_BAO_CAO_NGAY'!$K$6:$K$505,G276))</x:f>
      </x:c>
      <x:c r="V276" s="29" t="str">
        <x:f>IF(G276="","",IF(S276&gt;=1,IF(U276&lt;=O276,"Hoàn thành đúng hạn","Hoàn thành trễ"),IF(TODAY()&gt;O276,"Quá hạn",IF(R276&gt;0,"Đang thực hiện","Chưa bắt đầu"))))</x:f>
      </x:c>
      <x:c r="W276" s="37" t="str">
        <x:f>IF(G276="","",IFERROR(SUMIF('05_BAO_CAO_NGAY'!$K$6:$K$505,G276,'05_BAO_CAO_NGAY'!$AB$6:$AB$505)/SUMIF('05_BAO_CAO_NGAY'!$K$6:$K$505,G276,'05_BAO_CAO_NGAY'!$AC$6:$AC$505),0))</x:f>
      </x:c>
      <x:c r="X276" s="37" t="str">
        <x:f>IF(G276="","",IFERROR(SUMIFS('05_BAO_CAO_NGAY'!$W$6:$W$505,'05_BAO_CAO_NGAY'!$K$6:$K$505,G276,'05_BAO_CAO_NGAY'!$N$6:$N$505,"PRODUCTION")/SUMIFS('05_BAO_CAO_NGAY'!$U$6:$U$505,'05_BAO_CAO_NGAY'!$K$6:$K$505,G276,'05_BAO_CAO_NGAY'!$N$6:$N$505,"PRODUCTION"),0))</x:f>
      </x:c>
      <x:c r="Y276" s="29" t="str">
        <x:f>IF(G276="","",SUMIF('05_BAO_CAO_NGAY'!$K$6:$K$505,G276,'05_BAO_CAO_NGAY'!$S$6:$S$505))</x:f>
      </x:c>
      <x:c r="Z276" s="21"/>
    </x:row>
    <x:row r="277">
      <x:c r="A277" s="21"/>
      <x:c r="B277" s="21"/>
      <x:c r="C277" s="21"/>
      <x:c r="D277" s="21"/>
      <x:c r="E277" s="21"/>
      <x:c r="F277" s="29" t="str">
        <x:f>IF(OR(B277="",C277=""),"",B277&amp;"|"&amp;C277&amp;"|"&amp;IF(D277="","00",D277)&amp;"|"&amp;IF(E277="","01",E277))</x:f>
      </x:c>
      <x:c r="G277" s="29" t="str">
        <x:f>IF(F277="","",F277&amp;"|"&amp;TEXT(A277,"000"))</x:f>
      </x:c>
      <x:c r="H277" s="21"/>
      <x:c r="I277" s="21"/>
      <x:c r="J277" s="25"/>
      <x:c r="K277" s="25"/>
      <x:c r="L277" s="25"/>
      <x:c r="M277" s="39" t="str">
        <x:f>IF(G277="","",K277+L277*J277)</x:f>
      </x:c>
      <x:c r="N277" s="35"/>
      <x:c r="O277" s="35"/>
      <x:c r="P277" s="21"/>
      <x:c r="Q277" s="21"/>
      <x:c r="R277" s="29" t="str">
        <x:f>IF(G277="","",MIN(J277,SUMIF('05_BAO_CAO_NGAY'!$K$6:$K$505,G277,'05_BAO_CAO_NGAY'!$V$6:$V$505)))</x:f>
      </x:c>
      <x:c r="S277" s="37" t="str">
        <x:f>IF(G277="","",IFERROR(R277/J277,0))</x:f>
      </x:c>
      <x:c r="T277" s="41" t="str">
        <x:f>IF(OR(G277="",COUNTIF('05_BAO_CAO_NGAY'!$K$6:$K$505,G277)=0),"",_xlfn.MINIFS('05_BAO_CAO_NGAY'!$B$6:$B$505,'05_BAO_CAO_NGAY'!$K$6:$K$505,G277))</x:f>
      </x:c>
      <x:c r="U277" s="41" t="str">
        <x:f>IF(OR(G277="",S277&lt;1),"",_xlfn.MAXIFS('05_BAO_CAO_NGAY'!$B$6:$B$505,'05_BAO_CAO_NGAY'!$K$6:$K$505,G277))</x:f>
      </x:c>
      <x:c r="V277" s="29" t="str">
        <x:f>IF(G277="","",IF(S277&gt;=1,IF(U277&lt;=O277,"Hoàn thành đúng hạn","Hoàn thành trễ"),IF(TODAY()&gt;O277,"Quá hạn",IF(R277&gt;0,"Đang thực hiện","Chưa bắt đầu"))))</x:f>
      </x:c>
      <x:c r="W277" s="37" t="str">
        <x:f>IF(G277="","",IFERROR(SUMIF('05_BAO_CAO_NGAY'!$K$6:$K$505,G277,'05_BAO_CAO_NGAY'!$AB$6:$AB$505)/SUMIF('05_BAO_CAO_NGAY'!$K$6:$K$505,G277,'05_BAO_CAO_NGAY'!$AC$6:$AC$505),0))</x:f>
      </x:c>
      <x:c r="X277" s="37" t="str">
        <x:f>IF(G277="","",IFERROR(SUMIFS('05_BAO_CAO_NGAY'!$W$6:$W$505,'05_BAO_CAO_NGAY'!$K$6:$K$505,G277,'05_BAO_CAO_NGAY'!$N$6:$N$505,"PRODUCTION")/SUMIFS('05_BAO_CAO_NGAY'!$U$6:$U$505,'05_BAO_CAO_NGAY'!$K$6:$K$505,G277,'05_BAO_CAO_NGAY'!$N$6:$N$505,"PRODUCTION"),0))</x:f>
      </x:c>
      <x:c r="Y277" s="29" t="str">
        <x:f>IF(G277="","",SUMIF('05_BAO_CAO_NGAY'!$K$6:$K$505,G277,'05_BAO_CAO_NGAY'!$S$6:$S$505))</x:f>
      </x:c>
      <x:c r="Z277" s="21"/>
    </x:row>
    <x:row r="278">
      <x:c r="A278" s="21"/>
      <x:c r="B278" s="21"/>
      <x:c r="C278" s="21"/>
      <x:c r="D278" s="21"/>
      <x:c r="E278" s="21"/>
      <x:c r="F278" s="29" t="str">
        <x:f>IF(OR(B278="",C278=""),"",B278&amp;"|"&amp;C278&amp;"|"&amp;IF(D278="","00",D278)&amp;"|"&amp;IF(E278="","01",E278))</x:f>
      </x:c>
      <x:c r="G278" s="29" t="str">
        <x:f>IF(F278="","",F278&amp;"|"&amp;TEXT(A278,"000"))</x:f>
      </x:c>
      <x:c r="H278" s="21"/>
      <x:c r="I278" s="21"/>
      <x:c r="J278" s="25"/>
      <x:c r="K278" s="25"/>
      <x:c r="L278" s="25"/>
      <x:c r="M278" s="39" t="str">
        <x:f>IF(G278="","",K278+L278*J278)</x:f>
      </x:c>
      <x:c r="N278" s="35"/>
      <x:c r="O278" s="35"/>
      <x:c r="P278" s="21"/>
      <x:c r="Q278" s="21"/>
      <x:c r="R278" s="29" t="str">
        <x:f>IF(G278="","",MIN(J278,SUMIF('05_BAO_CAO_NGAY'!$K$6:$K$505,G278,'05_BAO_CAO_NGAY'!$V$6:$V$505)))</x:f>
      </x:c>
      <x:c r="S278" s="37" t="str">
        <x:f>IF(G278="","",IFERROR(R278/J278,0))</x:f>
      </x:c>
      <x:c r="T278" s="41" t="str">
        <x:f>IF(OR(G278="",COUNTIF('05_BAO_CAO_NGAY'!$K$6:$K$505,G278)=0),"",_xlfn.MINIFS('05_BAO_CAO_NGAY'!$B$6:$B$505,'05_BAO_CAO_NGAY'!$K$6:$K$505,G278))</x:f>
      </x:c>
      <x:c r="U278" s="41" t="str">
        <x:f>IF(OR(G278="",S278&lt;1),"",_xlfn.MAXIFS('05_BAO_CAO_NGAY'!$B$6:$B$505,'05_BAO_CAO_NGAY'!$K$6:$K$505,G278))</x:f>
      </x:c>
      <x:c r="V278" s="29" t="str">
        <x:f>IF(G278="","",IF(S278&gt;=1,IF(U278&lt;=O278,"Hoàn thành đúng hạn","Hoàn thành trễ"),IF(TODAY()&gt;O278,"Quá hạn",IF(R278&gt;0,"Đang thực hiện","Chưa bắt đầu"))))</x:f>
      </x:c>
      <x:c r="W278" s="37" t="str">
        <x:f>IF(G278="","",IFERROR(SUMIF('05_BAO_CAO_NGAY'!$K$6:$K$505,G278,'05_BAO_CAO_NGAY'!$AB$6:$AB$505)/SUMIF('05_BAO_CAO_NGAY'!$K$6:$K$505,G278,'05_BAO_CAO_NGAY'!$AC$6:$AC$505),0))</x:f>
      </x:c>
      <x:c r="X278" s="37" t="str">
        <x:f>IF(G278="","",IFERROR(SUMIFS('05_BAO_CAO_NGAY'!$W$6:$W$505,'05_BAO_CAO_NGAY'!$K$6:$K$505,G278,'05_BAO_CAO_NGAY'!$N$6:$N$505,"PRODUCTION")/SUMIFS('05_BAO_CAO_NGAY'!$U$6:$U$505,'05_BAO_CAO_NGAY'!$K$6:$K$505,G278,'05_BAO_CAO_NGAY'!$N$6:$N$505,"PRODUCTION"),0))</x:f>
      </x:c>
      <x:c r="Y278" s="29" t="str">
        <x:f>IF(G278="","",SUMIF('05_BAO_CAO_NGAY'!$K$6:$K$505,G278,'05_BAO_CAO_NGAY'!$S$6:$S$505))</x:f>
      </x:c>
      <x:c r="Z278" s="21"/>
    </x:row>
    <x:row r="279">
      <x:c r="A279" s="21"/>
      <x:c r="B279" s="21"/>
      <x:c r="C279" s="21"/>
      <x:c r="D279" s="21"/>
      <x:c r="E279" s="21"/>
      <x:c r="F279" s="29" t="str">
        <x:f>IF(OR(B279="",C279=""),"",B279&amp;"|"&amp;C279&amp;"|"&amp;IF(D279="","00",D279)&amp;"|"&amp;IF(E279="","01",E279))</x:f>
      </x:c>
      <x:c r="G279" s="29" t="str">
        <x:f>IF(F279="","",F279&amp;"|"&amp;TEXT(A279,"000"))</x:f>
      </x:c>
      <x:c r="H279" s="21"/>
      <x:c r="I279" s="21"/>
      <x:c r="J279" s="25"/>
      <x:c r="K279" s="25"/>
      <x:c r="L279" s="25"/>
      <x:c r="M279" s="39" t="str">
        <x:f>IF(G279="","",K279+L279*J279)</x:f>
      </x:c>
      <x:c r="N279" s="35"/>
      <x:c r="O279" s="35"/>
      <x:c r="P279" s="21"/>
      <x:c r="Q279" s="21"/>
      <x:c r="R279" s="29" t="str">
        <x:f>IF(G279="","",MIN(J279,SUMIF('05_BAO_CAO_NGAY'!$K$6:$K$505,G279,'05_BAO_CAO_NGAY'!$V$6:$V$505)))</x:f>
      </x:c>
      <x:c r="S279" s="37" t="str">
        <x:f>IF(G279="","",IFERROR(R279/J279,0))</x:f>
      </x:c>
      <x:c r="T279" s="41" t="str">
        <x:f>IF(OR(G279="",COUNTIF('05_BAO_CAO_NGAY'!$K$6:$K$505,G279)=0),"",_xlfn.MINIFS('05_BAO_CAO_NGAY'!$B$6:$B$505,'05_BAO_CAO_NGAY'!$K$6:$K$505,G279))</x:f>
      </x:c>
      <x:c r="U279" s="41" t="str">
        <x:f>IF(OR(G279="",S279&lt;1),"",_xlfn.MAXIFS('05_BAO_CAO_NGAY'!$B$6:$B$505,'05_BAO_CAO_NGAY'!$K$6:$K$505,G279))</x:f>
      </x:c>
      <x:c r="V279" s="29" t="str">
        <x:f>IF(G279="","",IF(S279&gt;=1,IF(U279&lt;=O279,"Hoàn thành đúng hạn","Hoàn thành trễ"),IF(TODAY()&gt;O279,"Quá hạn",IF(R279&gt;0,"Đang thực hiện","Chưa bắt đầu"))))</x:f>
      </x:c>
      <x:c r="W279" s="37" t="str">
        <x:f>IF(G279="","",IFERROR(SUMIF('05_BAO_CAO_NGAY'!$K$6:$K$505,G279,'05_BAO_CAO_NGAY'!$AB$6:$AB$505)/SUMIF('05_BAO_CAO_NGAY'!$K$6:$K$505,G279,'05_BAO_CAO_NGAY'!$AC$6:$AC$505),0))</x:f>
      </x:c>
      <x:c r="X279" s="37" t="str">
        <x:f>IF(G279="","",IFERROR(SUMIFS('05_BAO_CAO_NGAY'!$W$6:$W$505,'05_BAO_CAO_NGAY'!$K$6:$K$505,G279,'05_BAO_CAO_NGAY'!$N$6:$N$505,"PRODUCTION")/SUMIFS('05_BAO_CAO_NGAY'!$U$6:$U$505,'05_BAO_CAO_NGAY'!$K$6:$K$505,G279,'05_BAO_CAO_NGAY'!$N$6:$N$505,"PRODUCTION"),0))</x:f>
      </x:c>
      <x:c r="Y279" s="29" t="str">
        <x:f>IF(G279="","",SUMIF('05_BAO_CAO_NGAY'!$K$6:$K$505,G279,'05_BAO_CAO_NGAY'!$S$6:$S$505))</x:f>
      </x:c>
      <x:c r="Z279" s="21"/>
    </x:row>
    <x:row r="280">
      <x:c r="A280" s="21"/>
      <x:c r="B280" s="21"/>
      <x:c r="C280" s="21"/>
      <x:c r="D280" s="21"/>
      <x:c r="E280" s="21"/>
      <x:c r="F280" s="29" t="str">
        <x:f>IF(OR(B280="",C280=""),"",B280&amp;"|"&amp;C280&amp;"|"&amp;IF(D280="","00",D280)&amp;"|"&amp;IF(E280="","01",E280))</x:f>
      </x:c>
      <x:c r="G280" s="29" t="str">
        <x:f>IF(F280="","",F280&amp;"|"&amp;TEXT(A280,"000"))</x:f>
      </x:c>
      <x:c r="H280" s="21"/>
      <x:c r="I280" s="21"/>
      <x:c r="J280" s="25"/>
      <x:c r="K280" s="25"/>
      <x:c r="L280" s="25"/>
      <x:c r="M280" s="39" t="str">
        <x:f>IF(G280="","",K280+L280*J280)</x:f>
      </x:c>
      <x:c r="N280" s="35"/>
      <x:c r="O280" s="35"/>
      <x:c r="P280" s="21"/>
      <x:c r="Q280" s="21"/>
      <x:c r="R280" s="29" t="str">
        <x:f>IF(G280="","",MIN(J280,SUMIF('05_BAO_CAO_NGAY'!$K$6:$K$505,G280,'05_BAO_CAO_NGAY'!$V$6:$V$505)))</x:f>
      </x:c>
      <x:c r="S280" s="37" t="str">
        <x:f>IF(G280="","",IFERROR(R280/J280,0))</x:f>
      </x:c>
      <x:c r="T280" s="41" t="str">
        <x:f>IF(OR(G280="",COUNTIF('05_BAO_CAO_NGAY'!$K$6:$K$505,G280)=0),"",_xlfn.MINIFS('05_BAO_CAO_NGAY'!$B$6:$B$505,'05_BAO_CAO_NGAY'!$K$6:$K$505,G280))</x:f>
      </x:c>
      <x:c r="U280" s="41" t="str">
        <x:f>IF(OR(G280="",S280&lt;1),"",_xlfn.MAXIFS('05_BAO_CAO_NGAY'!$B$6:$B$505,'05_BAO_CAO_NGAY'!$K$6:$K$505,G280))</x:f>
      </x:c>
      <x:c r="V280" s="29" t="str">
        <x:f>IF(G280="","",IF(S280&gt;=1,IF(U280&lt;=O280,"Hoàn thành đúng hạn","Hoàn thành trễ"),IF(TODAY()&gt;O280,"Quá hạn",IF(R280&gt;0,"Đang thực hiện","Chưa bắt đầu"))))</x:f>
      </x:c>
      <x:c r="W280" s="37" t="str">
        <x:f>IF(G280="","",IFERROR(SUMIF('05_BAO_CAO_NGAY'!$K$6:$K$505,G280,'05_BAO_CAO_NGAY'!$AB$6:$AB$505)/SUMIF('05_BAO_CAO_NGAY'!$K$6:$K$505,G280,'05_BAO_CAO_NGAY'!$AC$6:$AC$505),0))</x:f>
      </x:c>
      <x:c r="X280" s="37" t="str">
        <x:f>IF(G280="","",IFERROR(SUMIFS('05_BAO_CAO_NGAY'!$W$6:$W$505,'05_BAO_CAO_NGAY'!$K$6:$K$505,G280,'05_BAO_CAO_NGAY'!$N$6:$N$505,"PRODUCTION")/SUMIFS('05_BAO_CAO_NGAY'!$U$6:$U$505,'05_BAO_CAO_NGAY'!$K$6:$K$505,G280,'05_BAO_CAO_NGAY'!$N$6:$N$505,"PRODUCTION"),0))</x:f>
      </x:c>
      <x:c r="Y280" s="29" t="str">
        <x:f>IF(G280="","",SUMIF('05_BAO_CAO_NGAY'!$K$6:$K$505,G280,'05_BAO_CAO_NGAY'!$S$6:$S$505))</x:f>
      </x:c>
      <x:c r="Z280" s="21"/>
    </x:row>
    <x:row r="281">
      <x:c r="A281" s="21"/>
      <x:c r="B281" s="21"/>
      <x:c r="C281" s="21"/>
      <x:c r="D281" s="21"/>
      <x:c r="E281" s="21"/>
      <x:c r="F281" s="29" t="str">
        <x:f>IF(OR(B281="",C281=""),"",B281&amp;"|"&amp;C281&amp;"|"&amp;IF(D281="","00",D281)&amp;"|"&amp;IF(E281="","01",E281))</x:f>
      </x:c>
      <x:c r="G281" s="29" t="str">
        <x:f>IF(F281="","",F281&amp;"|"&amp;TEXT(A281,"000"))</x:f>
      </x:c>
      <x:c r="H281" s="21"/>
      <x:c r="I281" s="21"/>
      <x:c r="J281" s="25"/>
      <x:c r="K281" s="25"/>
      <x:c r="L281" s="25"/>
      <x:c r="M281" s="39" t="str">
        <x:f>IF(G281="","",K281+L281*J281)</x:f>
      </x:c>
      <x:c r="N281" s="35"/>
      <x:c r="O281" s="35"/>
      <x:c r="P281" s="21"/>
      <x:c r="Q281" s="21"/>
      <x:c r="R281" s="29" t="str">
        <x:f>IF(G281="","",MIN(J281,SUMIF('05_BAO_CAO_NGAY'!$K$6:$K$505,G281,'05_BAO_CAO_NGAY'!$V$6:$V$505)))</x:f>
      </x:c>
      <x:c r="S281" s="37" t="str">
        <x:f>IF(G281="","",IFERROR(R281/J281,0))</x:f>
      </x:c>
      <x:c r="T281" s="41" t="str">
        <x:f>IF(OR(G281="",COUNTIF('05_BAO_CAO_NGAY'!$K$6:$K$505,G281)=0),"",_xlfn.MINIFS('05_BAO_CAO_NGAY'!$B$6:$B$505,'05_BAO_CAO_NGAY'!$K$6:$K$505,G281))</x:f>
      </x:c>
      <x:c r="U281" s="41" t="str">
        <x:f>IF(OR(G281="",S281&lt;1),"",_xlfn.MAXIFS('05_BAO_CAO_NGAY'!$B$6:$B$505,'05_BAO_CAO_NGAY'!$K$6:$K$505,G281))</x:f>
      </x:c>
      <x:c r="V281" s="29" t="str">
        <x:f>IF(G281="","",IF(S281&gt;=1,IF(U281&lt;=O281,"Hoàn thành đúng hạn","Hoàn thành trễ"),IF(TODAY()&gt;O281,"Quá hạn",IF(R281&gt;0,"Đang thực hiện","Chưa bắt đầu"))))</x:f>
      </x:c>
      <x:c r="W281" s="37" t="str">
        <x:f>IF(G281="","",IFERROR(SUMIF('05_BAO_CAO_NGAY'!$K$6:$K$505,G281,'05_BAO_CAO_NGAY'!$AB$6:$AB$505)/SUMIF('05_BAO_CAO_NGAY'!$K$6:$K$505,G281,'05_BAO_CAO_NGAY'!$AC$6:$AC$505),0))</x:f>
      </x:c>
      <x:c r="X281" s="37" t="str">
        <x:f>IF(G281="","",IFERROR(SUMIFS('05_BAO_CAO_NGAY'!$W$6:$W$505,'05_BAO_CAO_NGAY'!$K$6:$K$505,G281,'05_BAO_CAO_NGAY'!$N$6:$N$505,"PRODUCTION")/SUMIFS('05_BAO_CAO_NGAY'!$U$6:$U$505,'05_BAO_CAO_NGAY'!$K$6:$K$505,G281,'05_BAO_CAO_NGAY'!$N$6:$N$505,"PRODUCTION"),0))</x:f>
      </x:c>
      <x:c r="Y281" s="29" t="str">
        <x:f>IF(G281="","",SUMIF('05_BAO_CAO_NGAY'!$K$6:$K$505,G281,'05_BAO_CAO_NGAY'!$S$6:$S$505))</x:f>
      </x:c>
      <x:c r="Z281" s="21"/>
    </x:row>
    <x:row r="282">
      <x:c r="A282" s="21"/>
      <x:c r="B282" s="21"/>
      <x:c r="C282" s="21"/>
      <x:c r="D282" s="21"/>
      <x:c r="E282" s="21"/>
      <x:c r="F282" s="29" t="str">
        <x:f>IF(OR(B282="",C282=""),"",B282&amp;"|"&amp;C282&amp;"|"&amp;IF(D282="","00",D282)&amp;"|"&amp;IF(E282="","01",E282))</x:f>
      </x:c>
      <x:c r="G282" s="29" t="str">
        <x:f>IF(F282="","",F282&amp;"|"&amp;TEXT(A282,"000"))</x:f>
      </x:c>
      <x:c r="H282" s="21"/>
      <x:c r="I282" s="21"/>
      <x:c r="J282" s="25"/>
      <x:c r="K282" s="25"/>
      <x:c r="L282" s="25"/>
      <x:c r="M282" s="39" t="str">
        <x:f>IF(G282="","",K282+L282*J282)</x:f>
      </x:c>
      <x:c r="N282" s="35"/>
      <x:c r="O282" s="35"/>
      <x:c r="P282" s="21"/>
      <x:c r="Q282" s="21"/>
      <x:c r="R282" s="29" t="str">
        <x:f>IF(G282="","",MIN(J282,SUMIF('05_BAO_CAO_NGAY'!$K$6:$K$505,G282,'05_BAO_CAO_NGAY'!$V$6:$V$505)))</x:f>
      </x:c>
      <x:c r="S282" s="37" t="str">
        <x:f>IF(G282="","",IFERROR(R282/J282,0))</x:f>
      </x:c>
      <x:c r="T282" s="41" t="str">
        <x:f>IF(OR(G282="",COUNTIF('05_BAO_CAO_NGAY'!$K$6:$K$505,G282)=0),"",_xlfn.MINIFS('05_BAO_CAO_NGAY'!$B$6:$B$505,'05_BAO_CAO_NGAY'!$K$6:$K$505,G282))</x:f>
      </x:c>
      <x:c r="U282" s="41" t="str">
        <x:f>IF(OR(G282="",S282&lt;1),"",_xlfn.MAXIFS('05_BAO_CAO_NGAY'!$B$6:$B$505,'05_BAO_CAO_NGAY'!$K$6:$K$505,G282))</x:f>
      </x:c>
      <x:c r="V282" s="29" t="str">
        <x:f>IF(G282="","",IF(S282&gt;=1,IF(U282&lt;=O282,"Hoàn thành đúng hạn","Hoàn thành trễ"),IF(TODAY()&gt;O282,"Quá hạn",IF(R282&gt;0,"Đang thực hiện","Chưa bắt đầu"))))</x:f>
      </x:c>
      <x:c r="W282" s="37" t="str">
        <x:f>IF(G282="","",IFERROR(SUMIF('05_BAO_CAO_NGAY'!$K$6:$K$505,G282,'05_BAO_CAO_NGAY'!$AB$6:$AB$505)/SUMIF('05_BAO_CAO_NGAY'!$K$6:$K$505,G282,'05_BAO_CAO_NGAY'!$AC$6:$AC$505),0))</x:f>
      </x:c>
      <x:c r="X282" s="37" t="str">
        <x:f>IF(G282="","",IFERROR(SUMIFS('05_BAO_CAO_NGAY'!$W$6:$W$505,'05_BAO_CAO_NGAY'!$K$6:$K$505,G282,'05_BAO_CAO_NGAY'!$N$6:$N$505,"PRODUCTION")/SUMIFS('05_BAO_CAO_NGAY'!$U$6:$U$505,'05_BAO_CAO_NGAY'!$K$6:$K$505,G282,'05_BAO_CAO_NGAY'!$N$6:$N$505,"PRODUCTION"),0))</x:f>
      </x:c>
      <x:c r="Y282" s="29" t="str">
        <x:f>IF(G282="","",SUMIF('05_BAO_CAO_NGAY'!$K$6:$K$505,G282,'05_BAO_CAO_NGAY'!$S$6:$S$505))</x:f>
      </x:c>
      <x:c r="Z282" s="21"/>
    </x:row>
    <x:row r="283">
      <x:c r="A283" s="21"/>
      <x:c r="B283" s="21"/>
      <x:c r="C283" s="21"/>
      <x:c r="D283" s="21"/>
      <x:c r="E283" s="21"/>
      <x:c r="F283" s="29" t="str">
        <x:f>IF(OR(B283="",C283=""),"",B283&amp;"|"&amp;C283&amp;"|"&amp;IF(D283="","00",D283)&amp;"|"&amp;IF(E283="","01",E283))</x:f>
      </x:c>
      <x:c r="G283" s="29" t="str">
        <x:f>IF(F283="","",F283&amp;"|"&amp;TEXT(A283,"000"))</x:f>
      </x:c>
      <x:c r="H283" s="21"/>
      <x:c r="I283" s="21"/>
      <x:c r="J283" s="25"/>
      <x:c r="K283" s="25"/>
      <x:c r="L283" s="25"/>
      <x:c r="M283" s="39" t="str">
        <x:f>IF(G283="","",K283+L283*J283)</x:f>
      </x:c>
      <x:c r="N283" s="35"/>
      <x:c r="O283" s="35"/>
      <x:c r="P283" s="21"/>
      <x:c r="Q283" s="21"/>
      <x:c r="R283" s="29" t="str">
        <x:f>IF(G283="","",MIN(J283,SUMIF('05_BAO_CAO_NGAY'!$K$6:$K$505,G283,'05_BAO_CAO_NGAY'!$V$6:$V$505)))</x:f>
      </x:c>
      <x:c r="S283" s="37" t="str">
        <x:f>IF(G283="","",IFERROR(R283/J283,0))</x:f>
      </x:c>
      <x:c r="T283" s="41" t="str">
        <x:f>IF(OR(G283="",COUNTIF('05_BAO_CAO_NGAY'!$K$6:$K$505,G283)=0),"",_xlfn.MINIFS('05_BAO_CAO_NGAY'!$B$6:$B$505,'05_BAO_CAO_NGAY'!$K$6:$K$505,G283))</x:f>
      </x:c>
      <x:c r="U283" s="41" t="str">
        <x:f>IF(OR(G283="",S283&lt;1),"",_xlfn.MAXIFS('05_BAO_CAO_NGAY'!$B$6:$B$505,'05_BAO_CAO_NGAY'!$K$6:$K$505,G283))</x:f>
      </x:c>
      <x:c r="V283" s="29" t="str">
        <x:f>IF(G283="","",IF(S283&gt;=1,IF(U283&lt;=O283,"Hoàn thành đúng hạn","Hoàn thành trễ"),IF(TODAY()&gt;O283,"Quá hạn",IF(R283&gt;0,"Đang thực hiện","Chưa bắt đầu"))))</x:f>
      </x:c>
      <x:c r="W283" s="37" t="str">
        <x:f>IF(G283="","",IFERROR(SUMIF('05_BAO_CAO_NGAY'!$K$6:$K$505,G283,'05_BAO_CAO_NGAY'!$AB$6:$AB$505)/SUMIF('05_BAO_CAO_NGAY'!$K$6:$K$505,G283,'05_BAO_CAO_NGAY'!$AC$6:$AC$505),0))</x:f>
      </x:c>
      <x:c r="X283" s="37" t="str">
        <x:f>IF(G283="","",IFERROR(SUMIFS('05_BAO_CAO_NGAY'!$W$6:$W$505,'05_BAO_CAO_NGAY'!$K$6:$K$505,G283,'05_BAO_CAO_NGAY'!$N$6:$N$505,"PRODUCTION")/SUMIFS('05_BAO_CAO_NGAY'!$U$6:$U$505,'05_BAO_CAO_NGAY'!$K$6:$K$505,G283,'05_BAO_CAO_NGAY'!$N$6:$N$505,"PRODUCTION"),0))</x:f>
      </x:c>
      <x:c r="Y283" s="29" t="str">
        <x:f>IF(G283="","",SUMIF('05_BAO_CAO_NGAY'!$K$6:$K$505,G283,'05_BAO_CAO_NGAY'!$S$6:$S$505))</x:f>
      </x:c>
      <x:c r="Z283" s="21"/>
    </x:row>
    <x:row r="284">
      <x:c r="A284" s="21"/>
      <x:c r="B284" s="21"/>
      <x:c r="C284" s="21"/>
      <x:c r="D284" s="21"/>
      <x:c r="E284" s="21"/>
      <x:c r="F284" s="29" t="str">
        <x:f>IF(OR(B284="",C284=""),"",B284&amp;"|"&amp;C284&amp;"|"&amp;IF(D284="","00",D284)&amp;"|"&amp;IF(E284="","01",E284))</x:f>
      </x:c>
      <x:c r="G284" s="29" t="str">
        <x:f>IF(F284="","",F284&amp;"|"&amp;TEXT(A284,"000"))</x:f>
      </x:c>
      <x:c r="H284" s="21"/>
      <x:c r="I284" s="21"/>
      <x:c r="J284" s="25"/>
      <x:c r="K284" s="25"/>
      <x:c r="L284" s="25"/>
      <x:c r="M284" s="39" t="str">
        <x:f>IF(G284="","",K284+L284*J284)</x:f>
      </x:c>
      <x:c r="N284" s="35"/>
      <x:c r="O284" s="35"/>
      <x:c r="P284" s="21"/>
      <x:c r="Q284" s="21"/>
      <x:c r="R284" s="29" t="str">
        <x:f>IF(G284="","",MIN(J284,SUMIF('05_BAO_CAO_NGAY'!$K$6:$K$505,G284,'05_BAO_CAO_NGAY'!$V$6:$V$505)))</x:f>
      </x:c>
      <x:c r="S284" s="37" t="str">
        <x:f>IF(G284="","",IFERROR(R284/J284,0))</x:f>
      </x:c>
      <x:c r="T284" s="41" t="str">
        <x:f>IF(OR(G284="",COUNTIF('05_BAO_CAO_NGAY'!$K$6:$K$505,G284)=0),"",_xlfn.MINIFS('05_BAO_CAO_NGAY'!$B$6:$B$505,'05_BAO_CAO_NGAY'!$K$6:$K$505,G284))</x:f>
      </x:c>
      <x:c r="U284" s="41" t="str">
        <x:f>IF(OR(G284="",S284&lt;1),"",_xlfn.MAXIFS('05_BAO_CAO_NGAY'!$B$6:$B$505,'05_BAO_CAO_NGAY'!$K$6:$K$505,G284))</x:f>
      </x:c>
      <x:c r="V284" s="29" t="str">
        <x:f>IF(G284="","",IF(S284&gt;=1,IF(U284&lt;=O284,"Hoàn thành đúng hạn","Hoàn thành trễ"),IF(TODAY()&gt;O284,"Quá hạn",IF(R284&gt;0,"Đang thực hiện","Chưa bắt đầu"))))</x:f>
      </x:c>
      <x:c r="W284" s="37" t="str">
        <x:f>IF(G284="","",IFERROR(SUMIF('05_BAO_CAO_NGAY'!$K$6:$K$505,G284,'05_BAO_CAO_NGAY'!$AB$6:$AB$505)/SUMIF('05_BAO_CAO_NGAY'!$K$6:$K$505,G284,'05_BAO_CAO_NGAY'!$AC$6:$AC$505),0))</x:f>
      </x:c>
      <x:c r="X284" s="37" t="str">
        <x:f>IF(G284="","",IFERROR(SUMIFS('05_BAO_CAO_NGAY'!$W$6:$W$505,'05_BAO_CAO_NGAY'!$K$6:$K$505,G284,'05_BAO_CAO_NGAY'!$N$6:$N$505,"PRODUCTION")/SUMIFS('05_BAO_CAO_NGAY'!$U$6:$U$505,'05_BAO_CAO_NGAY'!$K$6:$K$505,G284,'05_BAO_CAO_NGAY'!$N$6:$N$505,"PRODUCTION"),0))</x:f>
      </x:c>
      <x:c r="Y284" s="29" t="str">
        <x:f>IF(G284="","",SUMIF('05_BAO_CAO_NGAY'!$K$6:$K$505,G284,'05_BAO_CAO_NGAY'!$S$6:$S$505))</x:f>
      </x:c>
      <x:c r="Z284" s="21"/>
    </x:row>
    <x:row r="285">
      <x:c r="A285" s="21"/>
      <x:c r="B285" s="21"/>
      <x:c r="C285" s="21"/>
      <x:c r="D285" s="21"/>
      <x:c r="E285" s="21"/>
      <x:c r="F285" s="29" t="str">
        <x:f>IF(OR(B285="",C285=""),"",B285&amp;"|"&amp;C285&amp;"|"&amp;IF(D285="","00",D285)&amp;"|"&amp;IF(E285="","01",E285))</x:f>
      </x:c>
      <x:c r="G285" s="29" t="str">
        <x:f>IF(F285="","",F285&amp;"|"&amp;TEXT(A285,"000"))</x:f>
      </x:c>
      <x:c r="H285" s="21"/>
      <x:c r="I285" s="21"/>
      <x:c r="J285" s="25"/>
      <x:c r="K285" s="25"/>
      <x:c r="L285" s="25"/>
      <x:c r="M285" s="39" t="str">
        <x:f>IF(G285="","",K285+L285*J285)</x:f>
      </x:c>
      <x:c r="N285" s="35"/>
      <x:c r="O285" s="35"/>
      <x:c r="P285" s="21"/>
      <x:c r="Q285" s="21"/>
      <x:c r="R285" s="29" t="str">
        <x:f>IF(G285="","",MIN(J285,SUMIF('05_BAO_CAO_NGAY'!$K$6:$K$505,G285,'05_BAO_CAO_NGAY'!$V$6:$V$505)))</x:f>
      </x:c>
      <x:c r="S285" s="37" t="str">
        <x:f>IF(G285="","",IFERROR(R285/J285,0))</x:f>
      </x:c>
      <x:c r="T285" s="41" t="str">
        <x:f>IF(OR(G285="",COUNTIF('05_BAO_CAO_NGAY'!$K$6:$K$505,G285)=0),"",_xlfn.MINIFS('05_BAO_CAO_NGAY'!$B$6:$B$505,'05_BAO_CAO_NGAY'!$K$6:$K$505,G285))</x:f>
      </x:c>
      <x:c r="U285" s="41" t="str">
        <x:f>IF(OR(G285="",S285&lt;1),"",_xlfn.MAXIFS('05_BAO_CAO_NGAY'!$B$6:$B$505,'05_BAO_CAO_NGAY'!$K$6:$K$505,G285))</x:f>
      </x:c>
      <x:c r="V285" s="29" t="str">
        <x:f>IF(G285="","",IF(S285&gt;=1,IF(U285&lt;=O285,"Hoàn thành đúng hạn","Hoàn thành trễ"),IF(TODAY()&gt;O285,"Quá hạn",IF(R285&gt;0,"Đang thực hiện","Chưa bắt đầu"))))</x:f>
      </x:c>
      <x:c r="W285" s="37" t="str">
        <x:f>IF(G285="","",IFERROR(SUMIF('05_BAO_CAO_NGAY'!$K$6:$K$505,G285,'05_BAO_CAO_NGAY'!$AB$6:$AB$505)/SUMIF('05_BAO_CAO_NGAY'!$K$6:$K$505,G285,'05_BAO_CAO_NGAY'!$AC$6:$AC$505),0))</x:f>
      </x:c>
      <x:c r="X285" s="37" t="str">
        <x:f>IF(G285="","",IFERROR(SUMIFS('05_BAO_CAO_NGAY'!$W$6:$W$505,'05_BAO_CAO_NGAY'!$K$6:$K$505,G285,'05_BAO_CAO_NGAY'!$N$6:$N$505,"PRODUCTION")/SUMIFS('05_BAO_CAO_NGAY'!$U$6:$U$505,'05_BAO_CAO_NGAY'!$K$6:$K$505,G285,'05_BAO_CAO_NGAY'!$N$6:$N$505,"PRODUCTION"),0))</x:f>
      </x:c>
      <x:c r="Y285" s="29" t="str">
        <x:f>IF(G285="","",SUMIF('05_BAO_CAO_NGAY'!$K$6:$K$505,G285,'05_BAO_CAO_NGAY'!$S$6:$S$505))</x:f>
      </x:c>
      <x:c r="Z285" s="21"/>
    </x:row>
    <x:row r="286">
      <x:c r="A286" s="21"/>
      <x:c r="B286" s="21"/>
      <x:c r="C286" s="21"/>
      <x:c r="D286" s="21"/>
      <x:c r="E286" s="21"/>
      <x:c r="F286" s="29" t="str">
        <x:f>IF(OR(B286="",C286=""),"",B286&amp;"|"&amp;C286&amp;"|"&amp;IF(D286="","00",D286)&amp;"|"&amp;IF(E286="","01",E286))</x:f>
      </x:c>
      <x:c r="G286" s="29" t="str">
        <x:f>IF(F286="","",F286&amp;"|"&amp;TEXT(A286,"000"))</x:f>
      </x:c>
      <x:c r="H286" s="21"/>
      <x:c r="I286" s="21"/>
      <x:c r="J286" s="25"/>
      <x:c r="K286" s="25"/>
      <x:c r="L286" s="25"/>
      <x:c r="M286" s="39" t="str">
        <x:f>IF(G286="","",K286+L286*J286)</x:f>
      </x:c>
      <x:c r="N286" s="35"/>
      <x:c r="O286" s="35"/>
      <x:c r="P286" s="21"/>
      <x:c r="Q286" s="21"/>
      <x:c r="R286" s="29" t="str">
        <x:f>IF(G286="","",MIN(J286,SUMIF('05_BAO_CAO_NGAY'!$K$6:$K$505,G286,'05_BAO_CAO_NGAY'!$V$6:$V$505)))</x:f>
      </x:c>
      <x:c r="S286" s="37" t="str">
        <x:f>IF(G286="","",IFERROR(R286/J286,0))</x:f>
      </x:c>
      <x:c r="T286" s="41" t="str">
        <x:f>IF(OR(G286="",COUNTIF('05_BAO_CAO_NGAY'!$K$6:$K$505,G286)=0),"",_xlfn.MINIFS('05_BAO_CAO_NGAY'!$B$6:$B$505,'05_BAO_CAO_NGAY'!$K$6:$K$505,G286))</x:f>
      </x:c>
      <x:c r="U286" s="41" t="str">
        <x:f>IF(OR(G286="",S286&lt;1),"",_xlfn.MAXIFS('05_BAO_CAO_NGAY'!$B$6:$B$505,'05_BAO_CAO_NGAY'!$K$6:$K$505,G286))</x:f>
      </x:c>
      <x:c r="V286" s="29" t="str">
        <x:f>IF(G286="","",IF(S286&gt;=1,IF(U286&lt;=O286,"Hoàn thành đúng hạn","Hoàn thành trễ"),IF(TODAY()&gt;O286,"Quá hạn",IF(R286&gt;0,"Đang thực hiện","Chưa bắt đầu"))))</x:f>
      </x:c>
      <x:c r="W286" s="37" t="str">
        <x:f>IF(G286="","",IFERROR(SUMIF('05_BAO_CAO_NGAY'!$K$6:$K$505,G286,'05_BAO_CAO_NGAY'!$AB$6:$AB$505)/SUMIF('05_BAO_CAO_NGAY'!$K$6:$K$505,G286,'05_BAO_CAO_NGAY'!$AC$6:$AC$505),0))</x:f>
      </x:c>
      <x:c r="X286" s="37" t="str">
        <x:f>IF(G286="","",IFERROR(SUMIFS('05_BAO_CAO_NGAY'!$W$6:$W$505,'05_BAO_CAO_NGAY'!$K$6:$K$505,G286,'05_BAO_CAO_NGAY'!$N$6:$N$505,"PRODUCTION")/SUMIFS('05_BAO_CAO_NGAY'!$U$6:$U$505,'05_BAO_CAO_NGAY'!$K$6:$K$505,G286,'05_BAO_CAO_NGAY'!$N$6:$N$505,"PRODUCTION"),0))</x:f>
      </x:c>
      <x:c r="Y286" s="29" t="str">
        <x:f>IF(G286="","",SUMIF('05_BAO_CAO_NGAY'!$K$6:$K$505,G286,'05_BAO_CAO_NGAY'!$S$6:$S$505))</x:f>
      </x:c>
      <x:c r="Z286" s="21"/>
    </x:row>
    <x:row r="287">
      <x:c r="A287" s="21"/>
      <x:c r="B287" s="21"/>
      <x:c r="C287" s="21"/>
      <x:c r="D287" s="21"/>
      <x:c r="E287" s="21"/>
      <x:c r="F287" s="29" t="str">
        <x:f>IF(OR(B287="",C287=""),"",B287&amp;"|"&amp;C287&amp;"|"&amp;IF(D287="","00",D287)&amp;"|"&amp;IF(E287="","01",E287))</x:f>
      </x:c>
      <x:c r="G287" s="29" t="str">
        <x:f>IF(F287="","",F287&amp;"|"&amp;TEXT(A287,"000"))</x:f>
      </x:c>
      <x:c r="H287" s="21"/>
      <x:c r="I287" s="21"/>
      <x:c r="J287" s="25"/>
      <x:c r="K287" s="25"/>
      <x:c r="L287" s="25"/>
      <x:c r="M287" s="39" t="str">
        <x:f>IF(G287="","",K287+L287*J287)</x:f>
      </x:c>
      <x:c r="N287" s="35"/>
      <x:c r="O287" s="35"/>
      <x:c r="P287" s="21"/>
      <x:c r="Q287" s="21"/>
      <x:c r="R287" s="29" t="str">
        <x:f>IF(G287="","",MIN(J287,SUMIF('05_BAO_CAO_NGAY'!$K$6:$K$505,G287,'05_BAO_CAO_NGAY'!$V$6:$V$505)))</x:f>
      </x:c>
      <x:c r="S287" s="37" t="str">
        <x:f>IF(G287="","",IFERROR(R287/J287,0))</x:f>
      </x:c>
      <x:c r="T287" s="41" t="str">
        <x:f>IF(OR(G287="",COUNTIF('05_BAO_CAO_NGAY'!$K$6:$K$505,G287)=0),"",_xlfn.MINIFS('05_BAO_CAO_NGAY'!$B$6:$B$505,'05_BAO_CAO_NGAY'!$K$6:$K$505,G287))</x:f>
      </x:c>
      <x:c r="U287" s="41" t="str">
        <x:f>IF(OR(G287="",S287&lt;1),"",_xlfn.MAXIFS('05_BAO_CAO_NGAY'!$B$6:$B$505,'05_BAO_CAO_NGAY'!$K$6:$K$505,G287))</x:f>
      </x:c>
      <x:c r="V287" s="29" t="str">
        <x:f>IF(G287="","",IF(S287&gt;=1,IF(U287&lt;=O287,"Hoàn thành đúng hạn","Hoàn thành trễ"),IF(TODAY()&gt;O287,"Quá hạn",IF(R287&gt;0,"Đang thực hiện","Chưa bắt đầu"))))</x:f>
      </x:c>
      <x:c r="W287" s="37" t="str">
        <x:f>IF(G287="","",IFERROR(SUMIF('05_BAO_CAO_NGAY'!$K$6:$K$505,G287,'05_BAO_CAO_NGAY'!$AB$6:$AB$505)/SUMIF('05_BAO_CAO_NGAY'!$K$6:$K$505,G287,'05_BAO_CAO_NGAY'!$AC$6:$AC$505),0))</x:f>
      </x:c>
      <x:c r="X287" s="37" t="str">
        <x:f>IF(G287="","",IFERROR(SUMIFS('05_BAO_CAO_NGAY'!$W$6:$W$505,'05_BAO_CAO_NGAY'!$K$6:$K$505,G287,'05_BAO_CAO_NGAY'!$N$6:$N$505,"PRODUCTION")/SUMIFS('05_BAO_CAO_NGAY'!$U$6:$U$505,'05_BAO_CAO_NGAY'!$K$6:$K$505,G287,'05_BAO_CAO_NGAY'!$N$6:$N$505,"PRODUCTION"),0))</x:f>
      </x:c>
      <x:c r="Y287" s="29" t="str">
        <x:f>IF(G287="","",SUMIF('05_BAO_CAO_NGAY'!$K$6:$K$505,G287,'05_BAO_CAO_NGAY'!$S$6:$S$505))</x:f>
      </x:c>
      <x:c r="Z287" s="21"/>
    </x:row>
    <x:row r="288">
      <x:c r="A288" s="21"/>
      <x:c r="B288" s="21"/>
      <x:c r="C288" s="21"/>
      <x:c r="D288" s="21"/>
      <x:c r="E288" s="21"/>
      <x:c r="F288" s="29" t="str">
        <x:f>IF(OR(B288="",C288=""),"",B288&amp;"|"&amp;C288&amp;"|"&amp;IF(D288="","00",D288)&amp;"|"&amp;IF(E288="","01",E288))</x:f>
      </x:c>
      <x:c r="G288" s="29" t="str">
        <x:f>IF(F288="","",F288&amp;"|"&amp;TEXT(A288,"000"))</x:f>
      </x:c>
      <x:c r="H288" s="21"/>
      <x:c r="I288" s="21"/>
      <x:c r="J288" s="25"/>
      <x:c r="K288" s="25"/>
      <x:c r="L288" s="25"/>
      <x:c r="M288" s="39" t="str">
        <x:f>IF(G288="","",K288+L288*J288)</x:f>
      </x:c>
      <x:c r="N288" s="35"/>
      <x:c r="O288" s="35"/>
      <x:c r="P288" s="21"/>
      <x:c r="Q288" s="21"/>
      <x:c r="R288" s="29" t="str">
        <x:f>IF(G288="","",MIN(J288,SUMIF('05_BAO_CAO_NGAY'!$K$6:$K$505,G288,'05_BAO_CAO_NGAY'!$V$6:$V$505)))</x:f>
      </x:c>
      <x:c r="S288" s="37" t="str">
        <x:f>IF(G288="","",IFERROR(R288/J288,0))</x:f>
      </x:c>
      <x:c r="T288" s="41" t="str">
        <x:f>IF(OR(G288="",COUNTIF('05_BAO_CAO_NGAY'!$K$6:$K$505,G288)=0),"",_xlfn.MINIFS('05_BAO_CAO_NGAY'!$B$6:$B$505,'05_BAO_CAO_NGAY'!$K$6:$K$505,G288))</x:f>
      </x:c>
      <x:c r="U288" s="41" t="str">
        <x:f>IF(OR(G288="",S288&lt;1),"",_xlfn.MAXIFS('05_BAO_CAO_NGAY'!$B$6:$B$505,'05_BAO_CAO_NGAY'!$K$6:$K$505,G288))</x:f>
      </x:c>
      <x:c r="V288" s="29" t="str">
        <x:f>IF(G288="","",IF(S288&gt;=1,IF(U288&lt;=O288,"Hoàn thành đúng hạn","Hoàn thành trễ"),IF(TODAY()&gt;O288,"Quá hạn",IF(R288&gt;0,"Đang thực hiện","Chưa bắt đầu"))))</x:f>
      </x:c>
      <x:c r="W288" s="37" t="str">
        <x:f>IF(G288="","",IFERROR(SUMIF('05_BAO_CAO_NGAY'!$K$6:$K$505,G288,'05_BAO_CAO_NGAY'!$AB$6:$AB$505)/SUMIF('05_BAO_CAO_NGAY'!$K$6:$K$505,G288,'05_BAO_CAO_NGAY'!$AC$6:$AC$505),0))</x:f>
      </x:c>
      <x:c r="X288" s="37" t="str">
        <x:f>IF(G288="","",IFERROR(SUMIFS('05_BAO_CAO_NGAY'!$W$6:$W$505,'05_BAO_CAO_NGAY'!$K$6:$K$505,G288,'05_BAO_CAO_NGAY'!$N$6:$N$505,"PRODUCTION")/SUMIFS('05_BAO_CAO_NGAY'!$U$6:$U$505,'05_BAO_CAO_NGAY'!$K$6:$K$505,G288,'05_BAO_CAO_NGAY'!$N$6:$N$505,"PRODUCTION"),0))</x:f>
      </x:c>
      <x:c r="Y288" s="29" t="str">
        <x:f>IF(G288="","",SUMIF('05_BAO_CAO_NGAY'!$K$6:$K$505,G288,'05_BAO_CAO_NGAY'!$S$6:$S$505))</x:f>
      </x:c>
      <x:c r="Z288" s="21"/>
    </x:row>
    <x:row r="289">
      <x:c r="A289" s="21"/>
      <x:c r="B289" s="21"/>
      <x:c r="C289" s="21"/>
      <x:c r="D289" s="21"/>
      <x:c r="E289" s="21"/>
      <x:c r="F289" s="29" t="str">
        <x:f>IF(OR(B289="",C289=""),"",B289&amp;"|"&amp;C289&amp;"|"&amp;IF(D289="","00",D289)&amp;"|"&amp;IF(E289="","01",E289))</x:f>
      </x:c>
      <x:c r="G289" s="29" t="str">
        <x:f>IF(F289="","",F289&amp;"|"&amp;TEXT(A289,"000"))</x:f>
      </x:c>
      <x:c r="H289" s="21"/>
      <x:c r="I289" s="21"/>
      <x:c r="J289" s="25"/>
      <x:c r="K289" s="25"/>
      <x:c r="L289" s="25"/>
      <x:c r="M289" s="39" t="str">
        <x:f>IF(G289="","",K289+L289*J289)</x:f>
      </x:c>
      <x:c r="N289" s="35"/>
      <x:c r="O289" s="35"/>
      <x:c r="P289" s="21"/>
      <x:c r="Q289" s="21"/>
      <x:c r="R289" s="29" t="str">
        <x:f>IF(G289="","",MIN(J289,SUMIF('05_BAO_CAO_NGAY'!$K$6:$K$505,G289,'05_BAO_CAO_NGAY'!$V$6:$V$505)))</x:f>
      </x:c>
      <x:c r="S289" s="37" t="str">
        <x:f>IF(G289="","",IFERROR(R289/J289,0))</x:f>
      </x:c>
      <x:c r="T289" s="41" t="str">
        <x:f>IF(OR(G289="",COUNTIF('05_BAO_CAO_NGAY'!$K$6:$K$505,G289)=0),"",_xlfn.MINIFS('05_BAO_CAO_NGAY'!$B$6:$B$505,'05_BAO_CAO_NGAY'!$K$6:$K$505,G289))</x:f>
      </x:c>
      <x:c r="U289" s="41" t="str">
        <x:f>IF(OR(G289="",S289&lt;1),"",_xlfn.MAXIFS('05_BAO_CAO_NGAY'!$B$6:$B$505,'05_BAO_CAO_NGAY'!$K$6:$K$505,G289))</x:f>
      </x:c>
      <x:c r="V289" s="29" t="str">
        <x:f>IF(G289="","",IF(S289&gt;=1,IF(U289&lt;=O289,"Hoàn thành đúng hạn","Hoàn thành trễ"),IF(TODAY()&gt;O289,"Quá hạn",IF(R289&gt;0,"Đang thực hiện","Chưa bắt đầu"))))</x:f>
      </x:c>
      <x:c r="W289" s="37" t="str">
        <x:f>IF(G289="","",IFERROR(SUMIF('05_BAO_CAO_NGAY'!$K$6:$K$505,G289,'05_BAO_CAO_NGAY'!$AB$6:$AB$505)/SUMIF('05_BAO_CAO_NGAY'!$K$6:$K$505,G289,'05_BAO_CAO_NGAY'!$AC$6:$AC$505),0))</x:f>
      </x:c>
      <x:c r="X289" s="37" t="str">
        <x:f>IF(G289="","",IFERROR(SUMIFS('05_BAO_CAO_NGAY'!$W$6:$W$505,'05_BAO_CAO_NGAY'!$K$6:$K$505,G289,'05_BAO_CAO_NGAY'!$N$6:$N$505,"PRODUCTION")/SUMIFS('05_BAO_CAO_NGAY'!$U$6:$U$505,'05_BAO_CAO_NGAY'!$K$6:$K$505,G289,'05_BAO_CAO_NGAY'!$N$6:$N$505,"PRODUCTION"),0))</x:f>
      </x:c>
      <x:c r="Y289" s="29" t="str">
        <x:f>IF(G289="","",SUMIF('05_BAO_CAO_NGAY'!$K$6:$K$505,G289,'05_BAO_CAO_NGAY'!$S$6:$S$505))</x:f>
      </x:c>
      <x:c r="Z289" s="21"/>
    </x:row>
    <x:row r="290">
      <x:c r="A290" s="21"/>
      <x:c r="B290" s="21"/>
      <x:c r="C290" s="21"/>
      <x:c r="D290" s="21"/>
      <x:c r="E290" s="21"/>
      <x:c r="F290" s="29" t="str">
        <x:f>IF(OR(B290="",C290=""),"",B290&amp;"|"&amp;C290&amp;"|"&amp;IF(D290="","00",D290)&amp;"|"&amp;IF(E290="","01",E290))</x:f>
      </x:c>
      <x:c r="G290" s="29" t="str">
        <x:f>IF(F290="","",F290&amp;"|"&amp;TEXT(A290,"000"))</x:f>
      </x:c>
      <x:c r="H290" s="21"/>
      <x:c r="I290" s="21"/>
      <x:c r="J290" s="25"/>
      <x:c r="K290" s="25"/>
      <x:c r="L290" s="25"/>
      <x:c r="M290" s="39" t="str">
        <x:f>IF(G290="","",K290+L290*J290)</x:f>
      </x:c>
      <x:c r="N290" s="35"/>
      <x:c r="O290" s="35"/>
      <x:c r="P290" s="21"/>
      <x:c r="Q290" s="21"/>
      <x:c r="R290" s="29" t="str">
        <x:f>IF(G290="","",MIN(J290,SUMIF('05_BAO_CAO_NGAY'!$K$6:$K$505,G290,'05_BAO_CAO_NGAY'!$V$6:$V$505)))</x:f>
      </x:c>
      <x:c r="S290" s="37" t="str">
        <x:f>IF(G290="","",IFERROR(R290/J290,0))</x:f>
      </x:c>
      <x:c r="T290" s="41" t="str">
        <x:f>IF(OR(G290="",COUNTIF('05_BAO_CAO_NGAY'!$K$6:$K$505,G290)=0),"",_xlfn.MINIFS('05_BAO_CAO_NGAY'!$B$6:$B$505,'05_BAO_CAO_NGAY'!$K$6:$K$505,G290))</x:f>
      </x:c>
      <x:c r="U290" s="41" t="str">
        <x:f>IF(OR(G290="",S290&lt;1),"",_xlfn.MAXIFS('05_BAO_CAO_NGAY'!$B$6:$B$505,'05_BAO_CAO_NGAY'!$K$6:$K$505,G290))</x:f>
      </x:c>
      <x:c r="V290" s="29" t="str">
        <x:f>IF(G290="","",IF(S290&gt;=1,IF(U290&lt;=O290,"Hoàn thành đúng hạn","Hoàn thành trễ"),IF(TODAY()&gt;O290,"Quá hạn",IF(R290&gt;0,"Đang thực hiện","Chưa bắt đầu"))))</x:f>
      </x:c>
      <x:c r="W290" s="37" t="str">
        <x:f>IF(G290="","",IFERROR(SUMIF('05_BAO_CAO_NGAY'!$K$6:$K$505,G290,'05_BAO_CAO_NGAY'!$AB$6:$AB$505)/SUMIF('05_BAO_CAO_NGAY'!$K$6:$K$505,G290,'05_BAO_CAO_NGAY'!$AC$6:$AC$505),0))</x:f>
      </x:c>
      <x:c r="X290" s="37" t="str">
        <x:f>IF(G290="","",IFERROR(SUMIFS('05_BAO_CAO_NGAY'!$W$6:$W$505,'05_BAO_CAO_NGAY'!$K$6:$K$505,G290,'05_BAO_CAO_NGAY'!$N$6:$N$505,"PRODUCTION")/SUMIFS('05_BAO_CAO_NGAY'!$U$6:$U$505,'05_BAO_CAO_NGAY'!$K$6:$K$505,G290,'05_BAO_CAO_NGAY'!$N$6:$N$505,"PRODUCTION"),0))</x:f>
      </x:c>
      <x:c r="Y290" s="29" t="str">
        <x:f>IF(G290="","",SUMIF('05_BAO_CAO_NGAY'!$K$6:$K$505,G290,'05_BAO_CAO_NGAY'!$S$6:$S$505))</x:f>
      </x:c>
      <x:c r="Z290" s="21"/>
    </x:row>
    <x:row r="291">
      <x:c r="A291" s="21"/>
      <x:c r="B291" s="21"/>
      <x:c r="C291" s="21"/>
      <x:c r="D291" s="21"/>
      <x:c r="E291" s="21"/>
      <x:c r="F291" s="29" t="str">
        <x:f>IF(OR(B291="",C291=""),"",B291&amp;"|"&amp;C291&amp;"|"&amp;IF(D291="","00",D291)&amp;"|"&amp;IF(E291="","01",E291))</x:f>
      </x:c>
      <x:c r="G291" s="29" t="str">
        <x:f>IF(F291="","",F291&amp;"|"&amp;TEXT(A291,"000"))</x:f>
      </x:c>
      <x:c r="H291" s="21"/>
      <x:c r="I291" s="21"/>
      <x:c r="J291" s="25"/>
      <x:c r="K291" s="25"/>
      <x:c r="L291" s="25"/>
      <x:c r="M291" s="39" t="str">
        <x:f>IF(G291="","",K291+L291*J291)</x:f>
      </x:c>
      <x:c r="N291" s="35"/>
      <x:c r="O291" s="35"/>
      <x:c r="P291" s="21"/>
      <x:c r="Q291" s="21"/>
      <x:c r="R291" s="29" t="str">
        <x:f>IF(G291="","",MIN(J291,SUMIF('05_BAO_CAO_NGAY'!$K$6:$K$505,G291,'05_BAO_CAO_NGAY'!$V$6:$V$505)))</x:f>
      </x:c>
      <x:c r="S291" s="37" t="str">
        <x:f>IF(G291="","",IFERROR(R291/J291,0))</x:f>
      </x:c>
      <x:c r="T291" s="41" t="str">
        <x:f>IF(OR(G291="",COUNTIF('05_BAO_CAO_NGAY'!$K$6:$K$505,G291)=0),"",_xlfn.MINIFS('05_BAO_CAO_NGAY'!$B$6:$B$505,'05_BAO_CAO_NGAY'!$K$6:$K$505,G291))</x:f>
      </x:c>
      <x:c r="U291" s="41" t="str">
        <x:f>IF(OR(G291="",S291&lt;1),"",_xlfn.MAXIFS('05_BAO_CAO_NGAY'!$B$6:$B$505,'05_BAO_CAO_NGAY'!$K$6:$K$505,G291))</x:f>
      </x:c>
      <x:c r="V291" s="29" t="str">
        <x:f>IF(G291="","",IF(S291&gt;=1,IF(U291&lt;=O291,"Hoàn thành đúng hạn","Hoàn thành trễ"),IF(TODAY()&gt;O291,"Quá hạn",IF(R291&gt;0,"Đang thực hiện","Chưa bắt đầu"))))</x:f>
      </x:c>
      <x:c r="W291" s="37" t="str">
        <x:f>IF(G291="","",IFERROR(SUMIF('05_BAO_CAO_NGAY'!$K$6:$K$505,G291,'05_BAO_CAO_NGAY'!$AB$6:$AB$505)/SUMIF('05_BAO_CAO_NGAY'!$K$6:$K$505,G291,'05_BAO_CAO_NGAY'!$AC$6:$AC$505),0))</x:f>
      </x:c>
      <x:c r="X291" s="37" t="str">
        <x:f>IF(G291="","",IFERROR(SUMIFS('05_BAO_CAO_NGAY'!$W$6:$W$505,'05_BAO_CAO_NGAY'!$K$6:$K$505,G291,'05_BAO_CAO_NGAY'!$N$6:$N$505,"PRODUCTION")/SUMIFS('05_BAO_CAO_NGAY'!$U$6:$U$505,'05_BAO_CAO_NGAY'!$K$6:$K$505,G291,'05_BAO_CAO_NGAY'!$N$6:$N$505,"PRODUCTION"),0))</x:f>
      </x:c>
      <x:c r="Y291" s="29" t="str">
        <x:f>IF(G291="","",SUMIF('05_BAO_CAO_NGAY'!$K$6:$K$505,G291,'05_BAO_CAO_NGAY'!$S$6:$S$505))</x:f>
      </x:c>
      <x:c r="Z291" s="21"/>
    </x:row>
    <x:row r="292">
      <x:c r="A292" s="21"/>
      <x:c r="B292" s="21"/>
      <x:c r="C292" s="21"/>
      <x:c r="D292" s="21"/>
      <x:c r="E292" s="21"/>
      <x:c r="F292" s="29" t="str">
        <x:f>IF(OR(B292="",C292=""),"",B292&amp;"|"&amp;C292&amp;"|"&amp;IF(D292="","00",D292)&amp;"|"&amp;IF(E292="","01",E292))</x:f>
      </x:c>
      <x:c r="G292" s="29" t="str">
        <x:f>IF(F292="","",F292&amp;"|"&amp;TEXT(A292,"000"))</x:f>
      </x:c>
      <x:c r="H292" s="21"/>
      <x:c r="I292" s="21"/>
      <x:c r="J292" s="25"/>
      <x:c r="K292" s="25"/>
      <x:c r="L292" s="25"/>
      <x:c r="M292" s="39" t="str">
        <x:f>IF(G292="","",K292+L292*J292)</x:f>
      </x:c>
      <x:c r="N292" s="35"/>
      <x:c r="O292" s="35"/>
      <x:c r="P292" s="21"/>
      <x:c r="Q292" s="21"/>
      <x:c r="R292" s="29" t="str">
        <x:f>IF(G292="","",MIN(J292,SUMIF('05_BAO_CAO_NGAY'!$K$6:$K$505,G292,'05_BAO_CAO_NGAY'!$V$6:$V$505)))</x:f>
      </x:c>
      <x:c r="S292" s="37" t="str">
        <x:f>IF(G292="","",IFERROR(R292/J292,0))</x:f>
      </x:c>
      <x:c r="T292" s="41" t="str">
        <x:f>IF(OR(G292="",COUNTIF('05_BAO_CAO_NGAY'!$K$6:$K$505,G292)=0),"",_xlfn.MINIFS('05_BAO_CAO_NGAY'!$B$6:$B$505,'05_BAO_CAO_NGAY'!$K$6:$K$505,G292))</x:f>
      </x:c>
      <x:c r="U292" s="41" t="str">
        <x:f>IF(OR(G292="",S292&lt;1),"",_xlfn.MAXIFS('05_BAO_CAO_NGAY'!$B$6:$B$505,'05_BAO_CAO_NGAY'!$K$6:$K$505,G292))</x:f>
      </x:c>
      <x:c r="V292" s="29" t="str">
        <x:f>IF(G292="","",IF(S292&gt;=1,IF(U292&lt;=O292,"Hoàn thành đúng hạn","Hoàn thành trễ"),IF(TODAY()&gt;O292,"Quá hạn",IF(R292&gt;0,"Đang thực hiện","Chưa bắt đầu"))))</x:f>
      </x:c>
      <x:c r="W292" s="37" t="str">
        <x:f>IF(G292="","",IFERROR(SUMIF('05_BAO_CAO_NGAY'!$K$6:$K$505,G292,'05_BAO_CAO_NGAY'!$AB$6:$AB$505)/SUMIF('05_BAO_CAO_NGAY'!$K$6:$K$505,G292,'05_BAO_CAO_NGAY'!$AC$6:$AC$505),0))</x:f>
      </x:c>
      <x:c r="X292" s="37" t="str">
        <x:f>IF(G292="","",IFERROR(SUMIFS('05_BAO_CAO_NGAY'!$W$6:$W$505,'05_BAO_CAO_NGAY'!$K$6:$K$505,G292,'05_BAO_CAO_NGAY'!$N$6:$N$505,"PRODUCTION")/SUMIFS('05_BAO_CAO_NGAY'!$U$6:$U$505,'05_BAO_CAO_NGAY'!$K$6:$K$505,G292,'05_BAO_CAO_NGAY'!$N$6:$N$505,"PRODUCTION"),0))</x:f>
      </x:c>
      <x:c r="Y292" s="29" t="str">
        <x:f>IF(G292="","",SUMIF('05_BAO_CAO_NGAY'!$K$6:$K$505,G292,'05_BAO_CAO_NGAY'!$S$6:$S$505))</x:f>
      </x:c>
      <x:c r="Z292" s="21"/>
    </x:row>
    <x:row r="293">
      <x:c r="A293" s="21"/>
      <x:c r="B293" s="21"/>
      <x:c r="C293" s="21"/>
      <x:c r="D293" s="21"/>
      <x:c r="E293" s="21"/>
      <x:c r="F293" s="29" t="str">
        <x:f>IF(OR(B293="",C293=""),"",B293&amp;"|"&amp;C293&amp;"|"&amp;IF(D293="","00",D293)&amp;"|"&amp;IF(E293="","01",E293))</x:f>
      </x:c>
      <x:c r="G293" s="29" t="str">
        <x:f>IF(F293="","",F293&amp;"|"&amp;TEXT(A293,"000"))</x:f>
      </x:c>
      <x:c r="H293" s="21"/>
      <x:c r="I293" s="21"/>
      <x:c r="J293" s="25"/>
      <x:c r="K293" s="25"/>
      <x:c r="L293" s="25"/>
      <x:c r="M293" s="39" t="str">
        <x:f>IF(G293="","",K293+L293*J293)</x:f>
      </x:c>
      <x:c r="N293" s="35"/>
      <x:c r="O293" s="35"/>
      <x:c r="P293" s="21"/>
      <x:c r="Q293" s="21"/>
      <x:c r="R293" s="29" t="str">
        <x:f>IF(G293="","",MIN(J293,SUMIF('05_BAO_CAO_NGAY'!$K$6:$K$505,G293,'05_BAO_CAO_NGAY'!$V$6:$V$505)))</x:f>
      </x:c>
      <x:c r="S293" s="37" t="str">
        <x:f>IF(G293="","",IFERROR(R293/J293,0))</x:f>
      </x:c>
      <x:c r="T293" s="41" t="str">
        <x:f>IF(OR(G293="",COUNTIF('05_BAO_CAO_NGAY'!$K$6:$K$505,G293)=0),"",_xlfn.MINIFS('05_BAO_CAO_NGAY'!$B$6:$B$505,'05_BAO_CAO_NGAY'!$K$6:$K$505,G293))</x:f>
      </x:c>
      <x:c r="U293" s="41" t="str">
        <x:f>IF(OR(G293="",S293&lt;1),"",_xlfn.MAXIFS('05_BAO_CAO_NGAY'!$B$6:$B$505,'05_BAO_CAO_NGAY'!$K$6:$K$505,G293))</x:f>
      </x:c>
      <x:c r="V293" s="29" t="str">
        <x:f>IF(G293="","",IF(S293&gt;=1,IF(U293&lt;=O293,"Hoàn thành đúng hạn","Hoàn thành trễ"),IF(TODAY()&gt;O293,"Quá hạn",IF(R293&gt;0,"Đang thực hiện","Chưa bắt đầu"))))</x:f>
      </x:c>
      <x:c r="W293" s="37" t="str">
        <x:f>IF(G293="","",IFERROR(SUMIF('05_BAO_CAO_NGAY'!$K$6:$K$505,G293,'05_BAO_CAO_NGAY'!$AB$6:$AB$505)/SUMIF('05_BAO_CAO_NGAY'!$K$6:$K$505,G293,'05_BAO_CAO_NGAY'!$AC$6:$AC$505),0))</x:f>
      </x:c>
      <x:c r="X293" s="37" t="str">
        <x:f>IF(G293="","",IFERROR(SUMIFS('05_BAO_CAO_NGAY'!$W$6:$W$505,'05_BAO_CAO_NGAY'!$K$6:$K$505,G293,'05_BAO_CAO_NGAY'!$N$6:$N$505,"PRODUCTION")/SUMIFS('05_BAO_CAO_NGAY'!$U$6:$U$505,'05_BAO_CAO_NGAY'!$K$6:$K$505,G293,'05_BAO_CAO_NGAY'!$N$6:$N$505,"PRODUCTION"),0))</x:f>
      </x:c>
      <x:c r="Y293" s="29" t="str">
        <x:f>IF(G293="","",SUMIF('05_BAO_CAO_NGAY'!$K$6:$K$505,G293,'05_BAO_CAO_NGAY'!$S$6:$S$505))</x:f>
      </x:c>
      <x:c r="Z293" s="21"/>
    </x:row>
    <x:row r="294">
      <x:c r="A294" s="21"/>
      <x:c r="B294" s="21"/>
      <x:c r="C294" s="21"/>
      <x:c r="D294" s="21"/>
      <x:c r="E294" s="21"/>
      <x:c r="F294" s="29" t="str">
        <x:f>IF(OR(B294="",C294=""),"",B294&amp;"|"&amp;C294&amp;"|"&amp;IF(D294="","00",D294)&amp;"|"&amp;IF(E294="","01",E294))</x:f>
      </x:c>
      <x:c r="G294" s="29" t="str">
        <x:f>IF(F294="","",F294&amp;"|"&amp;TEXT(A294,"000"))</x:f>
      </x:c>
      <x:c r="H294" s="21"/>
      <x:c r="I294" s="21"/>
      <x:c r="J294" s="25"/>
      <x:c r="K294" s="25"/>
      <x:c r="L294" s="25"/>
      <x:c r="M294" s="39" t="str">
        <x:f>IF(G294="","",K294+L294*J294)</x:f>
      </x:c>
      <x:c r="N294" s="35"/>
      <x:c r="O294" s="35"/>
      <x:c r="P294" s="21"/>
      <x:c r="Q294" s="21"/>
      <x:c r="R294" s="29" t="str">
        <x:f>IF(G294="","",MIN(J294,SUMIF('05_BAO_CAO_NGAY'!$K$6:$K$505,G294,'05_BAO_CAO_NGAY'!$V$6:$V$505)))</x:f>
      </x:c>
      <x:c r="S294" s="37" t="str">
        <x:f>IF(G294="","",IFERROR(R294/J294,0))</x:f>
      </x:c>
      <x:c r="T294" s="41" t="str">
        <x:f>IF(OR(G294="",COUNTIF('05_BAO_CAO_NGAY'!$K$6:$K$505,G294)=0),"",_xlfn.MINIFS('05_BAO_CAO_NGAY'!$B$6:$B$505,'05_BAO_CAO_NGAY'!$K$6:$K$505,G294))</x:f>
      </x:c>
      <x:c r="U294" s="41" t="str">
        <x:f>IF(OR(G294="",S294&lt;1),"",_xlfn.MAXIFS('05_BAO_CAO_NGAY'!$B$6:$B$505,'05_BAO_CAO_NGAY'!$K$6:$K$505,G294))</x:f>
      </x:c>
      <x:c r="V294" s="29" t="str">
        <x:f>IF(G294="","",IF(S294&gt;=1,IF(U294&lt;=O294,"Hoàn thành đúng hạn","Hoàn thành trễ"),IF(TODAY()&gt;O294,"Quá hạn",IF(R294&gt;0,"Đang thực hiện","Chưa bắt đầu"))))</x:f>
      </x:c>
      <x:c r="W294" s="37" t="str">
        <x:f>IF(G294="","",IFERROR(SUMIF('05_BAO_CAO_NGAY'!$K$6:$K$505,G294,'05_BAO_CAO_NGAY'!$AB$6:$AB$505)/SUMIF('05_BAO_CAO_NGAY'!$K$6:$K$505,G294,'05_BAO_CAO_NGAY'!$AC$6:$AC$505),0))</x:f>
      </x:c>
      <x:c r="X294" s="37" t="str">
        <x:f>IF(G294="","",IFERROR(SUMIFS('05_BAO_CAO_NGAY'!$W$6:$W$505,'05_BAO_CAO_NGAY'!$K$6:$K$505,G294,'05_BAO_CAO_NGAY'!$N$6:$N$505,"PRODUCTION")/SUMIFS('05_BAO_CAO_NGAY'!$U$6:$U$505,'05_BAO_CAO_NGAY'!$K$6:$K$505,G294,'05_BAO_CAO_NGAY'!$N$6:$N$505,"PRODUCTION"),0))</x:f>
      </x:c>
      <x:c r="Y294" s="29" t="str">
        <x:f>IF(G294="","",SUMIF('05_BAO_CAO_NGAY'!$K$6:$K$505,G294,'05_BAO_CAO_NGAY'!$S$6:$S$505))</x:f>
      </x:c>
      <x:c r="Z294" s="21"/>
    </x:row>
    <x:row r="295">
      <x:c r="A295" s="21"/>
      <x:c r="B295" s="21"/>
      <x:c r="C295" s="21"/>
      <x:c r="D295" s="21"/>
      <x:c r="E295" s="21"/>
      <x:c r="F295" s="29" t="str">
        <x:f>IF(OR(B295="",C295=""),"",B295&amp;"|"&amp;C295&amp;"|"&amp;IF(D295="","00",D295)&amp;"|"&amp;IF(E295="","01",E295))</x:f>
      </x:c>
      <x:c r="G295" s="29" t="str">
        <x:f>IF(F295="","",F295&amp;"|"&amp;TEXT(A295,"000"))</x:f>
      </x:c>
      <x:c r="H295" s="21"/>
      <x:c r="I295" s="21"/>
      <x:c r="J295" s="25"/>
      <x:c r="K295" s="25"/>
      <x:c r="L295" s="25"/>
      <x:c r="M295" s="39" t="str">
        <x:f>IF(G295="","",K295+L295*J295)</x:f>
      </x:c>
      <x:c r="N295" s="35"/>
      <x:c r="O295" s="35"/>
      <x:c r="P295" s="21"/>
      <x:c r="Q295" s="21"/>
      <x:c r="R295" s="29" t="str">
        <x:f>IF(G295="","",MIN(J295,SUMIF('05_BAO_CAO_NGAY'!$K$6:$K$505,G295,'05_BAO_CAO_NGAY'!$V$6:$V$505)))</x:f>
      </x:c>
      <x:c r="S295" s="37" t="str">
        <x:f>IF(G295="","",IFERROR(R295/J295,0))</x:f>
      </x:c>
      <x:c r="T295" s="41" t="str">
        <x:f>IF(OR(G295="",COUNTIF('05_BAO_CAO_NGAY'!$K$6:$K$505,G295)=0),"",_xlfn.MINIFS('05_BAO_CAO_NGAY'!$B$6:$B$505,'05_BAO_CAO_NGAY'!$K$6:$K$505,G295))</x:f>
      </x:c>
      <x:c r="U295" s="41" t="str">
        <x:f>IF(OR(G295="",S295&lt;1),"",_xlfn.MAXIFS('05_BAO_CAO_NGAY'!$B$6:$B$505,'05_BAO_CAO_NGAY'!$K$6:$K$505,G295))</x:f>
      </x:c>
      <x:c r="V295" s="29" t="str">
        <x:f>IF(G295="","",IF(S295&gt;=1,IF(U295&lt;=O295,"Hoàn thành đúng hạn","Hoàn thành trễ"),IF(TODAY()&gt;O295,"Quá hạn",IF(R295&gt;0,"Đang thực hiện","Chưa bắt đầu"))))</x:f>
      </x:c>
      <x:c r="W295" s="37" t="str">
        <x:f>IF(G295="","",IFERROR(SUMIF('05_BAO_CAO_NGAY'!$K$6:$K$505,G295,'05_BAO_CAO_NGAY'!$AB$6:$AB$505)/SUMIF('05_BAO_CAO_NGAY'!$K$6:$K$505,G295,'05_BAO_CAO_NGAY'!$AC$6:$AC$505),0))</x:f>
      </x:c>
      <x:c r="X295" s="37" t="str">
        <x:f>IF(G295="","",IFERROR(SUMIFS('05_BAO_CAO_NGAY'!$W$6:$W$505,'05_BAO_CAO_NGAY'!$K$6:$K$505,G295,'05_BAO_CAO_NGAY'!$N$6:$N$505,"PRODUCTION")/SUMIFS('05_BAO_CAO_NGAY'!$U$6:$U$505,'05_BAO_CAO_NGAY'!$K$6:$K$505,G295,'05_BAO_CAO_NGAY'!$N$6:$N$505,"PRODUCTION"),0))</x:f>
      </x:c>
      <x:c r="Y295" s="29" t="str">
        <x:f>IF(G295="","",SUMIF('05_BAO_CAO_NGAY'!$K$6:$K$505,G295,'05_BAO_CAO_NGAY'!$S$6:$S$505))</x:f>
      </x:c>
      <x:c r="Z295" s="21"/>
    </x:row>
    <x:row r="296">
      <x:c r="A296" s="21"/>
      <x:c r="B296" s="21"/>
      <x:c r="C296" s="21"/>
      <x:c r="D296" s="21"/>
      <x:c r="E296" s="21"/>
      <x:c r="F296" s="29" t="str">
        <x:f>IF(OR(B296="",C296=""),"",B296&amp;"|"&amp;C296&amp;"|"&amp;IF(D296="","00",D296)&amp;"|"&amp;IF(E296="","01",E296))</x:f>
      </x:c>
      <x:c r="G296" s="29" t="str">
        <x:f>IF(F296="","",F296&amp;"|"&amp;TEXT(A296,"000"))</x:f>
      </x:c>
      <x:c r="H296" s="21"/>
      <x:c r="I296" s="21"/>
      <x:c r="J296" s="25"/>
      <x:c r="K296" s="25"/>
      <x:c r="L296" s="25"/>
      <x:c r="M296" s="39" t="str">
        <x:f>IF(G296="","",K296+L296*J296)</x:f>
      </x:c>
      <x:c r="N296" s="35"/>
      <x:c r="O296" s="35"/>
      <x:c r="P296" s="21"/>
      <x:c r="Q296" s="21"/>
      <x:c r="R296" s="29" t="str">
        <x:f>IF(G296="","",MIN(J296,SUMIF('05_BAO_CAO_NGAY'!$K$6:$K$505,G296,'05_BAO_CAO_NGAY'!$V$6:$V$505)))</x:f>
      </x:c>
      <x:c r="S296" s="37" t="str">
        <x:f>IF(G296="","",IFERROR(R296/J296,0))</x:f>
      </x:c>
      <x:c r="T296" s="41" t="str">
        <x:f>IF(OR(G296="",COUNTIF('05_BAO_CAO_NGAY'!$K$6:$K$505,G296)=0),"",_xlfn.MINIFS('05_BAO_CAO_NGAY'!$B$6:$B$505,'05_BAO_CAO_NGAY'!$K$6:$K$505,G296))</x:f>
      </x:c>
      <x:c r="U296" s="41" t="str">
        <x:f>IF(OR(G296="",S296&lt;1),"",_xlfn.MAXIFS('05_BAO_CAO_NGAY'!$B$6:$B$505,'05_BAO_CAO_NGAY'!$K$6:$K$505,G296))</x:f>
      </x:c>
      <x:c r="V296" s="29" t="str">
        <x:f>IF(G296="","",IF(S296&gt;=1,IF(U296&lt;=O296,"Hoàn thành đúng hạn","Hoàn thành trễ"),IF(TODAY()&gt;O296,"Quá hạn",IF(R296&gt;0,"Đang thực hiện","Chưa bắt đầu"))))</x:f>
      </x:c>
      <x:c r="W296" s="37" t="str">
        <x:f>IF(G296="","",IFERROR(SUMIF('05_BAO_CAO_NGAY'!$K$6:$K$505,G296,'05_BAO_CAO_NGAY'!$AB$6:$AB$505)/SUMIF('05_BAO_CAO_NGAY'!$K$6:$K$505,G296,'05_BAO_CAO_NGAY'!$AC$6:$AC$505),0))</x:f>
      </x:c>
      <x:c r="X296" s="37" t="str">
        <x:f>IF(G296="","",IFERROR(SUMIFS('05_BAO_CAO_NGAY'!$W$6:$W$505,'05_BAO_CAO_NGAY'!$K$6:$K$505,G296,'05_BAO_CAO_NGAY'!$N$6:$N$505,"PRODUCTION")/SUMIFS('05_BAO_CAO_NGAY'!$U$6:$U$505,'05_BAO_CAO_NGAY'!$K$6:$K$505,G296,'05_BAO_CAO_NGAY'!$N$6:$N$505,"PRODUCTION"),0))</x:f>
      </x:c>
      <x:c r="Y296" s="29" t="str">
        <x:f>IF(G296="","",SUMIF('05_BAO_CAO_NGAY'!$K$6:$K$505,G296,'05_BAO_CAO_NGAY'!$S$6:$S$505))</x:f>
      </x:c>
      <x:c r="Z296" s="21"/>
    </x:row>
    <x:row r="297">
      <x:c r="A297" s="21"/>
      <x:c r="B297" s="21"/>
      <x:c r="C297" s="21"/>
      <x:c r="D297" s="21"/>
      <x:c r="E297" s="21"/>
      <x:c r="F297" s="29" t="str">
        <x:f>IF(OR(B297="",C297=""),"",B297&amp;"|"&amp;C297&amp;"|"&amp;IF(D297="","00",D297)&amp;"|"&amp;IF(E297="","01",E297))</x:f>
      </x:c>
      <x:c r="G297" s="29" t="str">
        <x:f>IF(F297="","",F297&amp;"|"&amp;TEXT(A297,"000"))</x:f>
      </x:c>
      <x:c r="H297" s="21"/>
      <x:c r="I297" s="21"/>
      <x:c r="J297" s="25"/>
      <x:c r="K297" s="25"/>
      <x:c r="L297" s="25"/>
      <x:c r="M297" s="39" t="str">
        <x:f>IF(G297="","",K297+L297*J297)</x:f>
      </x:c>
      <x:c r="N297" s="35"/>
      <x:c r="O297" s="35"/>
      <x:c r="P297" s="21"/>
      <x:c r="Q297" s="21"/>
      <x:c r="R297" s="29" t="str">
        <x:f>IF(G297="","",MIN(J297,SUMIF('05_BAO_CAO_NGAY'!$K$6:$K$505,G297,'05_BAO_CAO_NGAY'!$V$6:$V$505)))</x:f>
      </x:c>
      <x:c r="S297" s="37" t="str">
        <x:f>IF(G297="","",IFERROR(R297/J297,0))</x:f>
      </x:c>
      <x:c r="T297" s="41" t="str">
        <x:f>IF(OR(G297="",COUNTIF('05_BAO_CAO_NGAY'!$K$6:$K$505,G297)=0),"",_xlfn.MINIFS('05_BAO_CAO_NGAY'!$B$6:$B$505,'05_BAO_CAO_NGAY'!$K$6:$K$505,G297))</x:f>
      </x:c>
      <x:c r="U297" s="41" t="str">
        <x:f>IF(OR(G297="",S297&lt;1),"",_xlfn.MAXIFS('05_BAO_CAO_NGAY'!$B$6:$B$505,'05_BAO_CAO_NGAY'!$K$6:$K$505,G297))</x:f>
      </x:c>
      <x:c r="V297" s="29" t="str">
        <x:f>IF(G297="","",IF(S297&gt;=1,IF(U297&lt;=O297,"Hoàn thành đúng hạn","Hoàn thành trễ"),IF(TODAY()&gt;O297,"Quá hạn",IF(R297&gt;0,"Đang thực hiện","Chưa bắt đầu"))))</x:f>
      </x:c>
      <x:c r="W297" s="37" t="str">
        <x:f>IF(G297="","",IFERROR(SUMIF('05_BAO_CAO_NGAY'!$K$6:$K$505,G297,'05_BAO_CAO_NGAY'!$AB$6:$AB$505)/SUMIF('05_BAO_CAO_NGAY'!$K$6:$K$505,G297,'05_BAO_CAO_NGAY'!$AC$6:$AC$505),0))</x:f>
      </x:c>
      <x:c r="X297" s="37" t="str">
        <x:f>IF(G297="","",IFERROR(SUMIFS('05_BAO_CAO_NGAY'!$W$6:$W$505,'05_BAO_CAO_NGAY'!$K$6:$K$505,G297,'05_BAO_CAO_NGAY'!$N$6:$N$505,"PRODUCTION")/SUMIFS('05_BAO_CAO_NGAY'!$U$6:$U$505,'05_BAO_CAO_NGAY'!$K$6:$K$505,G297,'05_BAO_CAO_NGAY'!$N$6:$N$505,"PRODUCTION"),0))</x:f>
      </x:c>
      <x:c r="Y297" s="29" t="str">
        <x:f>IF(G297="","",SUMIF('05_BAO_CAO_NGAY'!$K$6:$K$505,G297,'05_BAO_CAO_NGAY'!$S$6:$S$505))</x:f>
      </x:c>
      <x:c r="Z297" s="21"/>
    </x:row>
    <x:row r="298">
      <x:c r="A298" s="21"/>
      <x:c r="B298" s="21"/>
      <x:c r="C298" s="21"/>
      <x:c r="D298" s="21"/>
      <x:c r="E298" s="21"/>
      <x:c r="F298" s="29" t="str">
        <x:f>IF(OR(B298="",C298=""),"",B298&amp;"|"&amp;C298&amp;"|"&amp;IF(D298="","00",D298)&amp;"|"&amp;IF(E298="","01",E298))</x:f>
      </x:c>
      <x:c r="G298" s="29" t="str">
        <x:f>IF(F298="","",F298&amp;"|"&amp;TEXT(A298,"000"))</x:f>
      </x:c>
      <x:c r="H298" s="21"/>
      <x:c r="I298" s="21"/>
      <x:c r="J298" s="25"/>
      <x:c r="K298" s="25"/>
      <x:c r="L298" s="25"/>
      <x:c r="M298" s="39" t="str">
        <x:f>IF(G298="","",K298+L298*J298)</x:f>
      </x:c>
      <x:c r="N298" s="35"/>
      <x:c r="O298" s="35"/>
      <x:c r="P298" s="21"/>
      <x:c r="Q298" s="21"/>
      <x:c r="R298" s="29" t="str">
        <x:f>IF(G298="","",MIN(J298,SUMIF('05_BAO_CAO_NGAY'!$K$6:$K$505,G298,'05_BAO_CAO_NGAY'!$V$6:$V$505)))</x:f>
      </x:c>
      <x:c r="S298" s="37" t="str">
        <x:f>IF(G298="","",IFERROR(R298/J298,0))</x:f>
      </x:c>
      <x:c r="T298" s="41" t="str">
        <x:f>IF(OR(G298="",COUNTIF('05_BAO_CAO_NGAY'!$K$6:$K$505,G298)=0),"",_xlfn.MINIFS('05_BAO_CAO_NGAY'!$B$6:$B$505,'05_BAO_CAO_NGAY'!$K$6:$K$505,G298))</x:f>
      </x:c>
      <x:c r="U298" s="41" t="str">
        <x:f>IF(OR(G298="",S298&lt;1),"",_xlfn.MAXIFS('05_BAO_CAO_NGAY'!$B$6:$B$505,'05_BAO_CAO_NGAY'!$K$6:$K$505,G298))</x:f>
      </x:c>
      <x:c r="V298" s="29" t="str">
        <x:f>IF(G298="","",IF(S298&gt;=1,IF(U298&lt;=O298,"Hoàn thành đúng hạn","Hoàn thành trễ"),IF(TODAY()&gt;O298,"Quá hạn",IF(R298&gt;0,"Đang thực hiện","Chưa bắt đầu"))))</x:f>
      </x:c>
      <x:c r="W298" s="37" t="str">
        <x:f>IF(G298="","",IFERROR(SUMIF('05_BAO_CAO_NGAY'!$K$6:$K$505,G298,'05_BAO_CAO_NGAY'!$AB$6:$AB$505)/SUMIF('05_BAO_CAO_NGAY'!$K$6:$K$505,G298,'05_BAO_CAO_NGAY'!$AC$6:$AC$505),0))</x:f>
      </x:c>
      <x:c r="X298" s="37" t="str">
        <x:f>IF(G298="","",IFERROR(SUMIFS('05_BAO_CAO_NGAY'!$W$6:$W$505,'05_BAO_CAO_NGAY'!$K$6:$K$505,G298,'05_BAO_CAO_NGAY'!$N$6:$N$505,"PRODUCTION")/SUMIFS('05_BAO_CAO_NGAY'!$U$6:$U$505,'05_BAO_CAO_NGAY'!$K$6:$K$505,G298,'05_BAO_CAO_NGAY'!$N$6:$N$505,"PRODUCTION"),0))</x:f>
      </x:c>
      <x:c r="Y298" s="29" t="str">
        <x:f>IF(G298="","",SUMIF('05_BAO_CAO_NGAY'!$K$6:$K$505,G298,'05_BAO_CAO_NGAY'!$S$6:$S$505))</x:f>
      </x:c>
      <x:c r="Z298" s="21"/>
    </x:row>
    <x:row r="299">
      <x:c r="A299" s="21"/>
      <x:c r="B299" s="21"/>
      <x:c r="C299" s="21"/>
      <x:c r="D299" s="21"/>
      <x:c r="E299" s="21"/>
      <x:c r="F299" s="29" t="str">
        <x:f>IF(OR(B299="",C299=""),"",B299&amp;"|"&amp;C299&amp;"|"&amp;IF(D299="","00",D299)&amp;"|"&amp;IF(E299="","01",E299))</x:f>
      </x:c>
      <x:c r="G299" s="29" t="str">
        <x:f>IF(F299="","",F299&amp;"|"&amp;TEXT(A299,"000"))</x:f>
      </x:c>
      <x:c r="H299" s="21"/>
      <x:c r="I299" s="21"/>
      <x:c r="J299" s="25"/>
      <x:c r="K299" s="25"/>
      <x:c r="L299" s="25"/>
      <x:c r="M299" s="39" t="str">
        <x:f>IF(G299="","",K299+L299*J299)</x:f>
      </x:c>
      <x:c r="N299" s="35"/>
      <x:c r="O299" s="35"/>
      <x:c r="P299" s="21"/>
      <x:c r="Q299" s="21"/>
      <x:c r="R299" s="29" t="str">
        <x:f>IF(G299="","",MIN(J299,SUMIF('05_BAO_CAO_NGAY'!$K$6:$K$505,G299,'05_BAO_CAO_NGAY'!$V$6:$V$505)))</x:f>
      </x:c>
      <x:c r="S299" s="37" t="str">
        <x:f>IF(G299="","",IFERROR(R299/J299,0))</x:f>
      </x:c>
      <x:c r="T299" s="41" t="str">
        <x:f>IF(OR(G299="",COUNTIF('05_BAO_CAO_NGAY'!$K$6:$K$505,G299)=0),"",_xlfn.MINIFS('05_BAO_CAO_NGAY'!$B$6:$B$505,'05_BAO_CAO_NGAY'!$K$6:$K$505,G299))</x:f>
      </x:c>
      <x:c r="U299" s="41" t="str">
        <x:f>IF(OR(G299="",S299&lt;1),"",_xlfn.MAXIFS('05_BAO_CAO_NGAY'!$B$6:$B$505,'05_BAO_CAO_NGAY'!$K$6:$K$505,G299))</x:f>
      </x:c>
      <x:c r="V299" s="29" t="str">
        <x:f>IF(G299="","",IF(S299&gt;=1,IF(U299&lt;=O299,"Hoàn thành đúng hạn","Hoàn thành trễ"),IF(TODAY()&gt;O299,"Quá hạn",IF(R299&gt;0,"Đang thực hiện","Chưa bắt đầu"))))</x:f>
      </x:c>
      <x:c r="W299" s="37" t="str">
        <x:f>IF(G299="","",IFERROR(SUMIF('05_BAO_CAO_NGAY'!$K$6:$K$505,G299,'05_BAO_CAO_NGAY'!$AB$6:$AB$505)/SUMIF('05_BAO_CAO_NGAY'!$K$6:$K$505,G299,'05_BAO_CAO_NGAY'!$AC$6:$AC$505),0))</x:f>
      </x:c>
      <x:c r="X299" s="37" t="str">
        <x:f>IF(G299="","",IFERROR(SUMIFS('05_BAO_CAO_NGAY'!$W$6:$W$505,'05_BAO_CAO_NGAY'!$K$6:$K$505,G299,'05_BAO_CAO_NGAY'!$N$6:$N$505,"PRODUCTION")/SUMIFS('05_BAO_CAO_NGAY'!$U$6:$U$505,'05_BAO_CAO_NGAY'!$K$6:$K$505,G299,'05_BAO_CAO_NGAY'!$N$6:$N$505,"PRODUCTION"),0))</x:f>
      </x:c>
      <x:c r="Y299" s="29" t="str">
        <x:f>IF(G299="","",SUMIF('05_BAO_CAO_NGAY'!$K$6:$K$505,G299,'05_BAO_CAO_NGAY'!$S$6:$S$505))</x:f>
      </x:c>
      <x:c r="Z299" s="21"/>
    </x:row>
    <x:row r="300">
      <x:c r="A300" s="21"/>
      <x:c r="B300" s="21"/>
      <x:c r="C300" s="21"/>
      <x:c r="D300" s="21"/>
      <x:c r="E300" s="21"/>
      <x:c r="F300" s="29" t="str">
        <x:f>IF(OR(B300="",C300=""),"",B300&amp;"|"&amp;C300&amp;"|"&amp;IF(D300="","00",D300)&amp;"|"&amp;IF(E300="","01",E300))</x:f>
      </x:c>
      <x:c r="G300" s="29" t="str">
        <x:f>IF(F300="","",F300&amp;"|"&amp;TEXT(A300,"000"))</x:f>
      </x:c>
      <x:c r="H300" s="21"/>
      <x:c r="I300" s="21"/>
      <x:c r="J300" s="25"/>
      <x:c r="K300" s="25"/>
      <x:c r="L300" s="25"/>
      <x:c r="M300" s="39" t="str">
        <x:f>IF(G300="","",K300+L300*J300)</x:f>
      </x:c>
      <x:c r="N300" s="35"/>
      <x:c r="O300" s="35"/>
      <x:c r="P300" s="21"/>
      <x:c r="Q300" s="21"/>
      <x:c r="R300" s="29" t="str">
        <x:f>IF(G300="","",MIN(J300,SUMIF('05_BAO_CAO_NGAY'!$K$6:$K$505,G300,'05_BAO_CAO_NGAY'!$V$6:$V$505)))</x:f>
      </x:c>
      <x:c r="S300" s="37" t="str">
        <x:f>IF(G300="","",IFERROR(R300/J300,0))</x:f>
      </x:c>
      <x:c r="T300" s="41" t="str">
        <x:f>IF(OR(G300="",COUNTIF('05_BAO_CAO_NGAY'!$K$6:$K$505,G300)=0),"",_xlfn.MINIFS('05_BAO_CAO_NGAY'!$B$6:$B$505,'05_BAO_CAO_NGAY'!$K$6:$K$505,G300))</x:f>
      </x:c>
      <x:c r="U300" s="41" t="str">
        <x:f>IF(OR(G300="",S300&lt;1),"",_xlfn.MAXIFS('05_BAO_CAO_NGAY'!$B$6:$B$505,'05_BAO_CAO_NGAY'!$K$6:$K$505,G300))</x:f>
      </x:c>
      <x:c r="V300" s="29" t="str">
        <x:f>IF(G300="","",IF(S300&gt;=1,IF(U300&lt;=O300,"Hoàn thành đúng hạn","Hoàn thành trễ"),IF(TODAY()&gt;O300,"Quá hạn",IF(R300&gt;0,"Đang thực hiện","Chưa bắt đầu"))))</x:f>
      </x:c>
      <x:c r="W300" s="37" t="str">
        <x:f>IF(G300="","",IFERROR(SUMIF('05_BAO_CAO_NGAY'!$K$6:$K$505,G300,'05_BAO_CAO_NGAY'!$AB$6:$AB$505)/SUMIF('05_BAO_CAO_NGAY'!$K$6:$K$505,G300,'05_BAO_CAO_NGAY'!$AC$6:$AC$505),0))</x:f>
      </x:c>
      <x:c r="X300" s="37" t="str">
        <x:f>IF(G300="","",IFERROR(SUMIFS('05_BAO_CAO_NGAY'!$W$6:$W$505,'05_BAO_CAO_NGAY'!$K$6:$K$505,G300,'05_BAO_CAO_NGAY'!$N$6:$N$505,"PRODUCTION")/SUMIFS('05_BAO_CAO_NGAY'!$U$6:$U$505,'05_BAO_CAO_NGAY'!$K$6:$K$505,G300,'05_BAO_CAO_NGAY'!$N$6:$N$505,"PRODUCTION"),0))</x:f>
      </x:c>
      <x:c r="Y300" s="29" t="str">
        <x:f>IF(G300="","",SUMIF('05_BAO_CAO_NGAY'!$K$6:$K$505,G300,'05_BAO_CAO_NGAY'!$S$6:$S$505))</x:f>
      </x:c>
      <x:c r="Z300" s="21"/>
    </x:row>
    <x:row r="301">
      <x:c r="A301" s="21"/>
      <x:c r="B301" s="21"/>
      <x:c r="C301" s="21"/>
      <x:c r="D301" s="21"/>
      <x:c r="E301" s="21"/>
      <x:c r="F301" s="29" t="str">
        <x:f>IF(OR(B301="",C301=""),"",B301&amp;"|"&amp;C301&amp;"|"&amp;IF(D301="","00",D301)&amp;"|"&amp;IF(E301="","01",E301))</x:f>
      </x:c>
      <x:c r="G301" s="29" t="str">
        <x:f>IF(F301="","",F301&amp;"|"&amp;TEXT(A301,"000"))</x:f>
      </x:c>
      <x:c r="H301" s="21"/>
      <x:c r="I301" s="21"/>
      <x:c r="J301" s="25"/>
      <x:c r="K301" s="25"/>
      <x:c r="L301" s="25"/>
      <x:c r="M301" s="39" t="str">
        <x:f>IF(G301="","",K301+L301*J301)</x:f>
      </x:c>
      <x:c r="N301" s="35"/>
      <x:c r="O301" s="35"/>
      <x:c r="P301" s="21"/>
      <x:c r="Q301" s="21"/>
      <x:c r="R301" s="29" t="str">
        <x:f>IF(G301="","",MIN(J301,SUMIF('05_BAO_CAO_NGAY'!$K$6:$K$505,G301,'05_BAO_CAO_NGAY'!$V$6:$V$505)))</x:f>
      </x:c>
      <x:c r="S301" s="37" t="str">
        <x:f>IF(G301="","",IFERROR(R301/J301,0))</x:f>
      </x:c>
      <x:c r="T301" s="41" t="str">
        <x:f>IF(OR(G301="",COUNTIF('05_BAO_CAO_NGAY'!$K$6:$K$505,G301)=0),"",_xlfn.MINIFS('05_BAO_CAO_NGAY'!$B$6:$B$505,'05_BAO_CAO_NGAY'!$K$6:$K$505,G301))</x:f>
      </x:c>
      <x:c r="U301" s="41" t="str">
        <x:f>IF(OR(G301="",S301&lt;1),"",_xlfn.MAXIFS('05_BAO_CAO_NGAY'!$B$6:$B$505,'05_BAO_CAO_NGAY'!$K$6:$K$505,G301))</x:f>
      </x:c>
      <x:c r="V301" s="29" t="str">
        <x:f>IF(G301="","",IF(S301&gt;=1,IF(U301&lt;=O301,"Hoàn thành đúng hạn","Hoàn thành trễ"),IF(TODAY()&gt;O301,"Quá hạn",IF(R301&gt;0,"Đang thực hiện","Chưa bắt đầu"))))</x:f>
      </x:c>
      <x:c r="W301" s="37" t="str">
        <x:f>IF(G301="","",IFERROR(SUMIF('05_BAO_CAO_NGAY'!$K$6:$K$505,G301,'05_BAO_CAO_NGAY'!$AB$6:$AB$505)/SUMIF('05_BAO_CAO_NGAY'!$K$6:$K$505,G301,'05_BAO_CAO_NGAY'!$AC$6:$AC$505),0))</x:f>
      </x:c>
      <x:c r="X301" s="37" t="str">
        <x:f>IF(G301="","",IFERROR(SUMIFS('05_BAO_CAO_NGAY'!$W$6:$W$505,'05_BAO_CAO_NGAY'!$K$6:$K$505,G301,'05_BAO_CAO_NGAY'!$N$6:$N$505,"PRODUCTION")/SUMIFS('05_BAO_CAO_NGAY'!$U$6:$U$505,'05_BAO_CAO_NGAY'!$K$6:$K$505,G301,'05_BAO_CAO_NGAY'!$N$6:$N$505,"PRODUCTION"),0))</x:f>
      </x:c>
      <x:c r="Y301" s="29" t="str">
        <x:f>IF(G301="","",SUMIF('05_BAO_CAO_NGAY'!$K$6:$K$505,G301,'05_BAO_CAO_NGAY'!$S$6:$S$505))</x:f>
      </x:c>
      <x:c r="Z301" s="21"/>
    </x:row>
    <x:row r="302">
      <x:c r="A302" s="21"/>
      <x:c r="B302" s="21"/>
      <x:c r="C302" s="21"/>
      <x:c r="D302" s="21"/>
      <x:c r="E302" s="21"/>
      <x:c r="F302" s="29" t="str">
        <x:f>IF(OR(B302="",C302=""),"",B302&amp;"|"&amp;C302&amp;"|"&amp;IF(D302="","00",D302)&amp;"|"&amp;IF(E302="","01",E302))</x:f>
      </x:c>
      <x:c r="G302" s="29" t="str">
        <x:f>IF(F302="","",F302&amp;"|"&amp;TEXT(A302,"000"))</x:f>
      </x:c>
      <x:c r="H302" s="21"/>
      <x:c r="I302" s="21"/>
      <x:c r="J302" s="25"/>
      <x:c r="K302" s="25"/>
      <x:c r="L302" s="25"/>
      <x:c r="M302" s="39" t="str">
        <x:f>IF(G302="","",K302+L302*J302)</x:f>
      </x:c>
      <x:c r="N302" s="35"/>
      <x:c r="O302" s="35"/>
      <x:c r="P302" s="21"/>
      <x:c r="Q302" s="21"/>
      <x:c r="R302" s="29" t="str">
        <x:f>IF(G302="","",MIN(J302,SUMIF('05_BAO_CAO_NGAY'!$K$6:$K$505,G302,'05_BAO_CAO_NGAY'!$V$6:$V$505)))</x:f>
      </x:c>
      <x:c r="S302" s="37" t="str">
        <x:f>IF(G302="","",IFERROR(R302/J302,0))</x:f>
      </x:c>
      <x:c r="T302" s="41" t="str">
        <x:f>IF(OR(G302="",COUNTIF('05_BAO_CAO_NGAY'!$K$6:$K$505,G302)=0),"",_xlfn.MINIFS('05_BAO_CAO_NGAY'!$B$6:$B$505,'05_BAO_CAO_NGAY'!$K$6:$K$505,G302))</x:f>
      </x:c>
      <x:c r="U302" s="41" t="str">
        <x:f>IF(OR(G302="",S302&lt;1),"",_xlfn.MAXIFS('05_BAO_CAO_NGAY'!$B$6:$B$505,'05_BAO_CAO_NGAY'!$K$6:$K$505,G302))</x:f>
      </x:c>
      <x:c r="V302" s="29" t="str">
        <x:f>IF(G302="","",IF(S302&gt;=1,IF(U302&lt;=O302,"Hoàn thành đúng hạn","Hoàn thành trễ"),IF(TODAY()&gt;O302,"Quá hạn",IF(R302&gt;0,"Đang thực hiện","Chưa bắt đầu"))))</x:f>
      </x:c>
      <x:c r="W302" s="37" t="str">
        <x:f>IF(G302="","",IFERROR(SUMIF('05_BAO_CAO_NGAY'!$K$6:$K$505,G302,'05_BAO_CAO_NGAY'!$AB$6:$AB$505)/SUMIF('05_BAO_CAO_NGAY'!$K$6:$K$505,G302,'05_BAO_CAO_NGAY'!$AC$6:$AC$505),0))</x:f>
      </x:c>
      <x:c r="X302" s="37" t="str">
        <x:f>IF(G302="","",IFERROR(SUMIFS('05_BAO_CAO_NGAY'!$W$6:$W$505,'05_BAO_CAO_NGAY'!$K$6:$K$505,G302,'05_BAO_CAO_NGAY'!$N$6:$N$505,"PRODUCTION")/SUMIFS('05_BAO_CAO_NGAY'!$U$6:$U$505,'05_BAO_CAO_NGAY'!$K$6:$K$505,G302,'05_BAO_CAO_NGAY'!$N$6:$N$505,"PRODUCTION"),0))</x:f>
      </x:c>
      <x:c r="Y302" s="29" t="str">
        <x:f>IF(G302="","",SUMIF('05_BAO_CAO_NGAY'!$K$6:$K$505,G302,'05_BAO_CAO_NGAY'!$S$6:$S$505))</x:f>
      </x:c>
      <x:c r="Z302" s="21"/>
    </x:row>
    <x:row r="303">
      <x:c r="A303" s="21"/>
      <x:c r="B303" s="21"/>
      <x:c r="C303" s="21"/>
      <x:c r="D303" s="21"/>
      <x:c r="E303" s="21"/>
      <x:c r="F303" s="29" t="str">
        <x:f>IF(OR(B303="",C303=""),"",B303&amp;"|"&amp;C303&amp;"|"&amp;IF(D303="","00",D303)&amp;"|"&amp;IF(E303="","01",E303))</x:f>
      </x:c>
      <x:c r="G303" s="29" t="str">
        <x:f>IF(F303="","",F303&amp;"|"&amp;TEXT(A303,"000"))</x:f>
      </x:c>
      <x:c r="H303" s="21"/>
      <x:c r="I303" s="21"/>
      <x:c r="J303" s="25"/>
      <x:c r="K303" s="25"/>
      <x:c r="L303" s="25"/>
      <x:c r="M303" s="39" t="str">
        <x:f>IF(G303="","",K303+L303*J303)</x:f>
      </x:c>
      <x:c r="N303" s="35"/>
      <x:c r="O303" s="35"/>
      <x:c r="P303" s="21"/>
      <x:c r="Q303" s="21"/>
      <x:c r="R303" s="29" t="str">
        <x:f>IF(G303="","",MIN(J303,SUMIF('05_BAO_CAO_NGAY'!$K$6:$K$505,G303,'05_BAO_CAO_NGAY'!$V$6:$V$505)))</x:f>
      </x:c>
      <x:c r="S303" s="37" t="str">
        <x:f>IF(G303="","",IFERROR(R303/J303,0))</x:f>
      </x:c>
      <x:c r="T303" s="41" t="str">
        <x:f>IF(OR(G303="",COUNTIF('05_BAO_CAO_NGAY'!$K$6:$K$505,G303)=0),"",_xlfn.MINIFS('05_BAO_CAO_NGAY'!$B$6:$B$505,'05_BAO_CAO_NGAY'!$K$6:$K$505,G303))</x:f>
      </x:c>
      <x:c r="U303" s="41" t="str">
        <x:f>IF(OR(G303="",S303&lt;1),"",_xlfn.MAXIFS('05_BAO_CAO_NGAY'!$B$6:$B$505,'05_BAO_CAO_NGAY'!$K$6:$K$505,G303))</x:f>
      </x:c>
      <x:c r="V303" s="29" t="str">
        <x:f>IF(G303="","",IF(S303&gt;=1,IF(U303&lt;=O303,"Hoàn thành đúng hạn","Hoàn thành trễ"),IF(TODAY()&gt;O303,"Quá hạn",IF(R303&gt;0,"Đang thực hiện","Chưa bắt đầu"))))</x:f>
      </x:c>
      <x:c r="W303" s="37" t="str">
        <x:f>IF(G303="","",IFERROR(SUMIF('05_BAO_CAO_NGAY'!$K$6:$K$505,G303,'05_BAO_CAO_NGAY'!$AB$6:$AB$505)/SUMIF('05_BAO_CAO_NGAY'!$K$6:$K$505,G303,'05_BAO_CAO_NGAY'!$AC$6:$AC$505),0))</x:f>
      </x:c>
      <x:c r="X303" s="37" t="str">
        <x:f>IF(G303="","",IFERROR(SUMIFS('05_BAO_CAO_NGAY'!$W$6:$W$505,'05_BAO_CAO_NGAY'!$K$6:$K$505,G303,'05_BAO_CAO_NGAY'!$N$6:$N$505,"PRODUCTION")/SUMIFS('05_BAO_CAO_NGAY'!$U$6:$U$505,'05_BAO_CAO_NGAY'!$K$6:$K$505,G303,'05_BAO_CAO_NGAY'!$N$6:$N$505,"PRODUCTION"),0))</x:f>
      </x:c>
      <x:c r="Y303" s="29" t="str">
        <x:f>IF(G303="","",SUMIF('05_BAO_CAO_NGAY'!$K$6:$K$505,G303,'05_BAO_CAO_NGAY'!$S$6:$S$505))</x:f>
      </x:c>
      <x:c r="Z303" s="21"/>
    </x:row>
    <x:row r="304">
      <x:c r="A304" s="21"/>
      <x:c r="B304" s="21"/>
      <x:c r="C304" s="21"/>
      <x:c r="D304" s="21"/>
      <x:c r="E304" s="21"/>
      <x:c r="F304" s="29" t="str">
        <x:f>IF(OR(B304="",C304=""),"",B304&amp;"|"&amp;C304&amp;"|"&amp;IF(D304="","00",D304)&amp;"|"&amp;IF(E304="","01",E304))</x:f>
      </x:c>
      <x:c r="G304" s="29" t="str">
        <x:f>IF(F304="","",F304&amp;"|"&amp;TEXT(A304,"000"))</x:f>
      </x:c>
      <x:c r="H304" s="21"/>
      <x:c r="I304" s="21"/>
      <x:c r="J304" s="25"/>
      <x:c r="K304" s="25"/>
      <x:c r="L304" s="25"/>
      <x:c r="M304" s="39" t="str">
        <x:f>IF(G304="","",K304+L304*J304)</x:f>
      </x:c>
      <x:c r="N304" s="35"/>
      <x:c r="O304" s="35"/>
      <x:c r="P304" s="21"/>
      <x:c r="Q304" s="21"/>
      <x:c r="R304" s="29" t="str">
        <x:f>IF(G304="","",MIN(J304,SUMIF('05_BAO_CAO_NGAY'!$K$6:$K$505,G304,'05_BAO_CAO_NGAY'!$V$6:$V$505)))</x:f>
      </x:c>
      <x:c r="S304" s="37" t="str">
        <x:f>IF(G304="","",IFERROR(R304/J304,0))</x:f>
      </x:c>
      <x:c r="T304" s="41" t="str">
        <x:f>IF(OR(G304="",COUNTIF('05_BAO_CAO_NGAY'!$K$6:$K$505,G304)=0),"",_xlfn.MINIFS('05_BAO_CAO_NGAY'!$B$6:$B$505,'05_BAO_CAO_NGAY'!$K$6:$K$505,G304))</x:f>
      </x:c>
      <x:c r="U304" s="41" t="str">
        <x:f>IF(OR(G304="",S304&lt;1),"",_xlfn.MAXIFS('05_BAO_CAO_NGAY'!$B$6:$B$505,'05_BAO_CAO_NGAY'!$K$6:$K$505,G304))</x:f>
      </x:c>
      <x:c r="V304" s="29" t="str">
        <x:f>IF(G304="","",IF(S304&gt;=1,IF(U304&lt;=O304,"Hoàn thành đúng hạn","Hoàn thành trễ"),IF(TODAY()&gt;O304,"Quá hạn",IF(R304&gt;0,"Đang thực hiện","Chưa bắt đầu"))))</x:f>
      </x:c>
      <x:c r="W304" s="37" t="str">
        <x:f>IF(G304="","",IFERROR(SUMIF('05_BAO_CAO_NGAY'!$K$6:$K$505,G304,'05_BAO_CAO_NGAY'!$AB$6:$AB$505)/SUMIF('05_BAO_CAO_NGAY'!$K$6:$K$505,G304,'05_BAO_CAO_NGAY'!$AC$6:$AC$505),0))</x:f>
      </x:c>
      <x:c r="X304" s="37" t="str">
        <x:f>IF(G304="","",IFERROR(SUMIFS('05_BAO_CAO_NGAY'!$W$6:$W$505,'05_BAO_CAO_NGAY'!$K$6:$K$505,G304,'05_BAO_CAO_NGAY'!$N$6:$N$505,"PRODUCTION")/SUMIFS('05_BAO_CAO_NGAY'!$U$6:$U$505,'05_BAO_CAO_NGAY'!$K$6:$K$505,G304,'05_BAO_CAO_NGAY'!$N$6:$N$505,"PRODUCTION"),0))</x:f>
      </x:c>
      <x:c r="Y304" s="29" t="str">
        <x:f>IF(G304="","",SUMIF('05_BAO_CAO_NGAY'!$K$6:$K$505,G304,'05_BAO_CAO_NGAY'!$S$6:$S$505))</x:f>
      </x:c>
      <x:c r="Z304" s="21"/>
    </x:row>
    <x:row r="305">
      <x:c r="A305" s="22"/>
      <x:c r="B305" s="22"/>
      <x:c r="C305" s="22"/>
      <x:c r="D305" s="22"/>
      <x:c r="E305" s="22"/>
      <x:c r="F305" s="30" t="str">
        <x:f>IF(OR(B305="",C305=""),"",B305&amp;"|"&amp;C305&amp;"|"&amp;IF(D305="","00",D305)&amp;"|"&amp;IF(E305="","01",E305))</x:f>
      </x:c>
      <x:c r="G305" s="30" t="str">
        <x:f>IF(F305="","",F305&amp;"|"&amp;TEXT(A305,"000"))</x:f>
      </x:c>
      <x:c r="H305" s="22"/>
      <x:c r="I305" s="22"/>
      <x:c r="J305" s="26"/>
      <x:c r="K305" s="26"/>
      <x:c r="L305" s="26"/>
      <x:c r="M305" s="40" t="str">
        <x:f>IF(G305="","",K305+L305*J305)</x:f>
      </x:c>
      <x:c r="N305" s="36"/>
      <x:c r="O305" s="36"/>
      <x:c r="P305" s="22"/>
      <x:c r="Q305" s="22"/>
      <x:c r="R305" s="30" t="str">
        <x:f>IF(G305="","",MIN(J305,SUMIF('05_BAO_CAO_NGAY'!$K$6:$K$505,G305,'05_BAO_CAO_NGAY'!$V$6:$V$505)))</x:f>
      </x:c>
      <x:c r="S305" s="38" t="str">
        <x:f>IF(G305="","",IFERROR(R305/J305,0))</x:f>
      </x:c>
      <x:c r="T305" s="42" t="str">
        <x:f>IF(OR(G305="",COUNTIF('05_BAO_CAO_NGAY'!$K$6:$K$505,G305)=0),"",_xlfn.MINIFS('05_BAO_CAO_NGAY'!$B$6:$B$505,'05_BAO_CAO_NGAY'!$K$6:$K$505,G305))</x:f>
      </x:c>
      <x:c r="U305" s="42" t="str">
        <x:f>IF(OR(G305="",S305&lt;1),"",_xlfn.MAXIFS('05_BAO_CAO_NGAY'!$B$6:$B$505,'05_BAO_CAO_NGAY'!$K$6:$K$505,G305))</x:f>
      </x:c>
      <x:c r="V305" s="30" t="str">
        <x:f>IF(G305="","",IF(S305&gt;=1,IF(U305&lt;=O305,"Hoàn thành đúng hạn","Hoàn thành trễ"),IF(TODAY()&gt;O305,"Quá hạn",IF(R305&gt;0,"Đang thực hiện","Chưa bắt đầu"))))</x:f>
      </x:c>
      <x:c r="W305" s="38" t="str">
        <x:f>IF(G305="","",IFERROR(SUMIF('05_BAO_CAO_NGAY'!$K$6:$K$505,G305,'05_BAO_CAO_NGAY'!$AB$6:$AB$505)/SUMIF('05_BAO_CAO_NGAY'!$K$6:$K$505,G305,'05_BAO_CAO_NGAY'!$AC$6:$AC$505),0))</x:f>
      </x:c>
      <x:c r="X305" s="38" t="str">
        <x:f>IF(G305="","",IFERROR(SUMIFS('05_BAO_CAO_NGAY'!$W$6:$W$505,'05_BAO_CAO_NGAY'!$K$6:$K$505,G305,'05_BAO_CAO_NGAY'!$N$6:$N$505,"PRODUCTION")/SUMIFS('05_BAO_CAO_NGAY'!$U$6:$U$505,'05_BAO_CAO_NGAY'!$K$6:$K$505,G305,'05_BAO_CAO_NGAY'!$N$6:$N$505,"PRODUCTION"),0))</x:f>
      </x:c>
      <x:c r="Y305" s="30" t="str">
        <x:f>IF(G305="","",SUMIF('05_BAO_CAO_NGAY'!$K$6:$K$505,G305,'05_BAO_CAO_NGAY'!$S$6:$S$505))</x:f>
      </x:c>
      <x:c r="Z305" s="22"/>
    </x:row>
  </x:sheetData>
  <x:mergeCells>
    <x:mergeCell ref="A2:Z2"/>
    <x:mergeCell ref="A3:Z3"/>
  </x:mergeCells>
  <x:conditionalFormatting sqref="V6:V305">
    <x:cfRule type="containsText" dxfId="7" priority="1" operator="containsText" text="Quá hạn"/>
    <x:cfRule type="containsText" dxfId="8" priority="2" operator="containsText" text="Rủi ro"/>
    <x:cfRule type="containsText" dxfId="9" priority="3" operator="containsText" text="Cần"/>
    <x:cfRule type="containsText" dxfId="10" priority="4" operator="containsText" text="Sai"/>
    <x:cfRule type="containsText" dxfId="11" priority="5" operator="containsText" text="Thiếu"/>
    <x:cfRule type="containsText" dxfId="12" priority="6" operator="containsText" text="Hợp lệ"/>
    <x:cfRule type="containsText" dxfId="13" priority="7" operator="containsText" text="đúng hạn"/>
  </x:conditionalFormatting>
  <x:dataValidations count="4">
    <x:dataValidation type="list" sqref="H6:H305">
      <x:formula1>DM_CONG_DOAN!$C$6:$C$105</x:formula1>
    </x:dataValidation>
    <x:dataValidation type="list" sqref="I6:I305">
      <x:formula1>DM_CONG_DOAN!$A$6:$A$105</x:formula1>
    </x:dataValidation>
    <x:dataValidation type="list" sqref="P6:P305">
      <x:formula1>DM_MAY!$A$6:$A$105</x:formula1>
    </x:dataValidation>
    <x:dataValidation type="list" sqref="Q6:Q305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f6d173768d4a7e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0.5600004196167" hidden="0" customWidth="1"/>
    <x:col min="2" max="2" width="10" hidden="0" customWidth="1"/>
    <x:col min="3" max="3" width="7.21999979019165" hidden="0" customWidth="1"/>
    <x:col min="4" max="4" width="13.329999923706055" hidden="0" customWidth="1"/>
    <x:col min="5" max="5" width="13.329999923706055" hidden="0" customWidth="1"/>
    <x:col min="6" max="6" width="7.21999979019165" hidden="0" customWidth="1"/>
    <x:col min="7" max="7" width="7.21999979019165" hidden="0" customWidth="1"/>
    <x:col min="8" max="8" width="28.889999389648438" hidden="0" customWidth="1"/>
    <x:col min="9" max="9" width="7.21999979019165" hidden="0" customWidth="1"/>
    <x:col min="10" max="10" width="12.220000267028809" hidden="0" customWidth="1"/>
    <x:col min="11" max="11" width="33.33000183105469" hidden="0" customWidth="1"/>
    <x:col min="12" max="12" width="11.109999656677246" hidden="0" customWidth="1"/>
    <x:col min="13" max="13" width="11.109999656677246" hidden="0" customWidth="1"/>
    <x:col min="14" max="14" width="13.329999923706055" hidden="0" customWidth="1"/>
    <x:col min="15" max="15" width="13.890000343322754" hidden="0" customWidth="1"/>
    <x:col min="16" max="16" width="13.890000343322754" hidden="0" customWidth="1"/>
    <x:col min="17" max="17" width="8.890000343322754" hidden="0" customWidth="1"/>
    <x:col min="18" max="18" width="8.890000343322754" hidden="0" customWidth="1"/>
    <x:col min="19" max="19" width="8.890000343322754" hidden="0" customWidth="1"/>
    <x:col min="20" max="20" width="8.890000343322754" hidden="0" customWidth="1"/>
    <x:col min="21" max="21" width="8.329999923706055" hidden="0" customWidth="1"/>
    <x:col min="22" max="22" width="8.329999923706055" hidden="0" customWidth="1"/>
    <x:col min="23" max="23" width="8.329999923706055" hidden="0" customWidth="1"/>
    <x:col min="24" max="24" width="8.329999923706055" hidden="0" customWidth="1"/>
    <x:col min="25" max="25" width="8.329999923706055" hidden="0" customWidth="1"/>
    <x:col min="26" max="26" width="8.329999923706055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2.220000267028809" hidden="0" customWidth="1"/>
    <x:col min="32" max="32" width="12.220000267028809" hidden="0" customWidth="1"/>
    <x:col min="33" max="33" width="12.220000267028809" hidden="0" customWidth="1"/>
    <x:col min="34" max="34" width="11.670000076293945" hidden="0" customWidth="1"/>
    <x:col min="35" max="35" width="11.670000076293945" hidden="0" customWidth="1"/>
    <x:col min="36" max="36" width="20" hidden="0" customWidth="1"/>
  </x:cols>
  <x:sheetData>
    <x:row r="2">
      <x:c r="A2" s="2" t="str">
        <x:v>BÁO CÁO SẢN XUẤT HẰNG NGÀY</x:v>
      </x:c>
    </x:row>
    <x:row r="3">
      <x:c r="A3" s="20" t="str">
        <x:v>Một dòng là một lần thực hiện. Công việc gián tiếp, setup, sản xuất và rework phải chọn ActivityType riêng.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</x:row>
    <x:row r="5">
      <x:c r="A5" s="12" t="str">
        <x:v>RunID</x:v>
      </x:c>
      <x:c r="B5" s="12" t="str">
        <x:v>Ngày</x:v>
      </x:c>
      <x:c r="C5" s="12" t="str">
        <x:v>Ca</x:v>
      </x:c>
      <x:c r="D5" s="12" t="str">
        <x:v>Mã đơn hàng</x:v>
      </x:c>
      <x:c r="E5" s="12" t="str">
        <x:v>Mã bản vẽ</x:v>
      </x:c>
      <x:c r="F5" s="12" t="str">
        <x:v>Rev</x:v>
      </x:c>
      <x:c r="G5" s="12" t="str">
        <x:v>Dòng/Lô</x:v>
      </x:c>
      <x:c r="H5" s="12" t="str">
        <x:v>Mã dòng hệ thống</x:v>
      </x:c>
      <x:c r="I5" s="12" t="str">
        <x:v>Thứ tự CĐ</x:v>
      </x:c>
      <x:c r="J5" s="12" t="str">
        <x:v>OperationCode</x:v>
      </x:c>
      <x:c r="K5" s="12" t="str">
        <x:v>OperationPlanID</x:v>
      </x:c>
      <x:c r="L5" s="12" t="str">
        <x:v>Nhân viên</x:v>
      </x:c>
      <x:c r="M5" s="12" t="str">
        <x:v>Máy</x:v>
      </x:c>
      <x:c r="N5" s="12" t="str">
        <x:v>ActivityType</x:v>
      </x:c>
      <x:c r="O5" s="12" t="str">
        <x:v>Bắt đầu</x:v>
      </x:c>
      <x:c r="P5" s="12" t="str">
        <x:v>Kết thúc</x:v>
      </x:c>
      <x:c r="Q5" s="12" t="str">
        <x:v>Nghỉ</x:v>
      </x:c>
      <x:c r="R5" s="12" t="str">
        <x:v>Setup TT</x:v>
      </x:c>
      <x:c r="S5" s="12" t="str">
        <x:v>Downtime</x:v>
      </x:c>
      <x:c r="T5" s="12" t="str">
        <x:v>Run TT</x:v>
      </x:c>
      <x:c r="U5" s="12" t="str">
        <x:v>SL xử lý</x:v>
      </x:c>
      <x:c r="V5" s="12" t="str">
        <x:v>SL đạt</x:v>
      </x:c>
      <x:c r="W5" s="12" t="str">
        <x:v>SL đạt lần đầu</x:v>
      </x:c>
      <x:c r="X5" s="12" t="str">
        <x:v>SL cần sửa</x:v>
      </x:c>
      <x:c r="Y5" s="12" t="str">
        <x:v>SL phế</x:v>
      </x:c>
      <x:c r="Z5" s="12" t="str">
        <x:v>SL chờ</x:v>
      </x:c>
      <x:c r="AA5" s="12" t="str">
        <x:v>Cân đối SL</x:v>
      </x:c>
      <x:c r="AB5" s="12" t="str">
        <x:v>Earned Min</x:v>
      </x:c>
      <x:c r="AC5" s="12" t="str">
        <x:v>Labor Min</x:v>
      </x:c>
      <x:c r="AD5" s="12" t="str">
        <x:v>Hiệu suất</x:v>
      </x:c>
      <x:c r="AE5" s="12" t="str">
        <x:v>Chi phí LĐ</x:v>
      </x:c>
      <x:c r="AF5" s="12" t="str">
        <x:v>Chi phí máy</x:v>
      </x:c>
      <x:c r="AG5" s="12" t="str">
        <x:v>Chi phí chuyển đổi</x:v>
      </x:c>
      <x:c r="AH5" s="12" t="str">
        <x:v>Duyệt</x:v>
      </x:c>
      <x:c r="AI5" s="12" t="str">
        <x:v>Kiểm tra dữ liệu</x:v>
      </x:c>
      <x:c r="AJ5" s="12" t="str">
        <x:v>Ghi chú</x:v>
      </x:c>
    </x:row>
    <x:row r="6">
      <x:c r="A6" s="21" t="str">
        <x:v>RUN-001</x:v>
      </x:c>
      <x:c r="B6" s="35" t="n">
        <x:v>46266</x:v>
      </x:c>
      <x:c r="C6" s="21" t="str">
        <x:v>CA1</x:v>
      </x:c>
      <x:c r="D6" s="21" t="str">
        <x:v>PRC2602-003</x:v>
      </x:c>
      <x:c r="E6" s="21" t="str">
        <x:v>22-219803-00</x:v>
      </x:c>
      <x:c r="F6" s="21" t="str">
        <x:v>A</x:v>
      </x:c>
      <x:c r="G6" s="21" t="str">
        <x:v>01</x:v>
      </x:c>
      <x:c r="H6" s="29" t="str">
        <x:f>IF(OR(D6="",E6=""),"",D6&amp;"|"&amp;E6&amp;"|"&amp;IF(F6="","00",F6)&amp;"|"&amp;IF(G6="","01",G6))</x:f>
        <x:v>PRC2602-003|22-219803-00|A|01</x:v>
      </x:c>
      <x:c r="I6" s="21" t="n">
        <x:v>10</x:v>
      </x:c>
      <x:c r="J6" s="29" t="str">
        <x:f>IF(K6="","",IFERROR(INDEX('04_KE_HOACH_CD'!$I$6:$I$305,MATCH(K6,'04_KE_HOACH_CD'!$G$6:$G$305,0)),""))</x:f>
        <x:v>TAO_PHOI</x:v>
      </x:c>
      <x:c r="K6" s="29" t="str">
        <x:f>IF(OR(H6="",I6=""),"",H6&amp;"|"&amp;TEXT(I6,"000"))</x:f>
        <x:v>PRC2602-003|22-219803-00|A|01|010</x:v>
      </x:c>
      <x:c r="L6" s="21" t="str">
        <x:v>NV-1624</x:v>
      </x:c>
      <x:c r="M6" s="21" t="str">
        <x:v>MC-SAW-01</x:v>
      </x:c>
      <x:c r="N6" s="21" t="str">
        <x:v>SETUP</x:v>
      </x:c>
      <x:c r="O6" s="43" t="n">
        <x:v>46266.208333333336</x:v>
      </x:c>
      <x:c r="P6" s="43" t="n">
        <x:v>46266.22222222222</x:v>
      </x:c>
      <x:c r="Q6" s="25" t="n">
        <x:v>0</x:v>
      </x:c>
      <x:c r="R6" s="25" t="n">
        <x:v>20</x:v>
      </x:c>
      <x:c r="S6" s="39" t="n">
        <x:f>IF(A6="","",SUMIF('07_DUNG_CHO'!$B$6:$B$505,A6,'07_DUNG_CHO'!$E$6:$E$505))</x:f>
        <x:v>0</x:v>
      </x:c>
      <x:c r="T6" s="39" t="n">
        <x:f>IF(A6="","",IF(N6="SETUP",0,MAX(0,(P6-O6)*1440-Q6-S6)))</x:f>
        <x:v>0</x:v>
      </x:c>
      <x:c r="U6" s="25" t="n">
        <x:v>0</x:v>
      </x:c>
      <x:c r="V6" s="25" t="n">
        <x:v>0</x:v>
      </x:c>
      <x:c r="W6" s="25" t="n">
        <x:v>0</x:v>
      </x:c>
      <x:c r="X6" s="25" t="n">
        <x:v>0</x:v>
      </x:c>
      <x:c r="Y6" s="25" t="n">
        <x:v>0</x:v>
      </x:c>
      <x:c r="Z6" s="25" t="n">
        <x:v>0</x:v>
      </x:c>
      <x:c r="AA6" s="39" t="n">
        <x:f>IF(A6="","",U6-SUM(V6,X6:Z6))</x:f>
        <x:v>0</x:v>
      </x:c>
      <x:c r="AB6" s="39" t="n">
        <x:f>IF(A6="","",IF(N6="SETUP",IFERROR(INDEX('04_KE_HOACH_CD'!$K$6:$K$305,MATCH(K6,'04_KE_HOACH_CD'!$G$6:$G$305,0)),0),IF(OR(N6="PRODUCTION",N6="REWORK"),IFERROR(INDEX('04_KE_HOACH_CD'!$L$6:$L$305,MATCH(K6,'04_KE_HOACH_CD'!$G$6:$G$305,0))*V6,0),0)))</x:f>
        <x:v>20</x:v>
      </x:c>
      <x:c r="AC6" s="39" t="n">
        <x:f>IF(A6="","",MAX(0,(P6-O6)*1440-Q6))</x:f>
        <x:v>19.999999991850927</x:v>
      </x:c>
      <x:c r="AD6" s="37" t="n">
        <x:f>IF(A6="","",IFERROR(AB6/AC6,0))</x:f>
        <x:v>1.0000000004074536</x:v>
      </x:c>
      <x:c r="AE6" s="33" t="n">
        <x:f>IF(A6="","",AC6/60*SUMIF(DM_NHAN_SU!$A$6:$A$105,L6,DM_NHAN_SU!$E$6:$E$105))</x:f>
        <x:v>23333.333323826082</x:v>
      </x:c>
      <x:c r="AF6" s="33" t="n">
        <x:f>IF(A6="","",AC6/60*SUMIF(DM_MAY!$A$6:$A$105,M6,DM_MAY!$F$6:$F$105))</x:f>
        <x:v>29999.99998777639</x:v>
      </x:c>
      <x:c r="AG6" s="33" t="n">
        <x:f>IF(A6="","",AE6+AF6)</x:f>
        <x:v>53333.33331160247</x:v>
      </x:c>
      <x:c r="AH6" s="21" t="str">
        <x:v>Đã duyệt</x:v>
      </x:c>
      <x:c r="AI6" s="29" t="str">
        <x:f>IF(A6="","",IF(OR(B6="",D6="",E6="",I6="",L6="",N6="",O6="",P6=""),"Thiếu dữ liệu",IF(AND(OR(N6="PRODUCTION",N6="REWORK",N6="SETUP"),M6=""),"Thiếu máy",IF(P6&lt;O6,"Sai thời gian",IF(AA6&lt;&gt;0,"Sai cân đối SL","Hợp lệ")))))</x:f>
        <x:v>Hợp lệ</x:v>
      </x:c>
      <x:c r="AJ6" s="21" t="str">
        <x:v>Setup máy cưa</x:v>
      </x:c>
    </x:row>
    <x:row r="7">
      <x:c r="A7" s="21" t="str">
        <x:v>RUN-002</x:v>
      </x:c>
      <x:c r="B7" s="35" t="n">
        <x:v>46266</x:v>
      </x:c>
      <x:c r="C7" s="21" t="str">
        <x:v>CA1</x:v>
      </x:c>
      <x:c r="D7" s="21" t="str">
        <x:v>PRC2602-003</x:v>
      </x:c>
      <x:c r="E7" s="21" t="str">
        <x:v>22-219803-00</x:v>
      </x:c>
      <x:c r="F7" s="21" t="str">
        <x:v>A</x:v>
      </x:c>
      <x:c r="G7" s="21" t="str">
        <x:v>01</x:v>
      </x:c>
      <x:c r="H7" s="29" t="str">
        <x:f>IF(OR(D7="",E7=""),"",D7&amp;"|"&amp;E7&amp;"|"&amp;IF(F7="","00",F7)&amp;"|"&amp;IF(G7="","01",G7))</x:f>
        <x:v>PRC2602-003|22-219803-00|A|01</x:v>
      </x:c>
      <x:c r="I7" s="21" t="n">
        <x:v>10</x:v>
      </x:c>
      <x:c r="J7" s="29" t="str">
        <x:f>IF(K7="","",IFERROR(INDEX('04_KE_HOACH_CD'!$I$6:$I$305,MATCH(K7,'04_KE_HOACH_CD'!$G$6:$G$305,0)),""))</x:f>
        <x:v>TAO_PHOI</x:v>
      </x:c>
      <x:c r="K7" s="29" t="str">
        <x:f>IF(OR(H7="",I7=""),"",H7&amp;"|"&amp;TEXT(I7,"000"))</x:f>
        <x:v>PRC2602-003|22-219803-00|A|01|010</x:v>
      </x:c>
      <x:c r="L7" s="21" t="str">
        <x:v>NV-1624</x:v>
      </x:c>
      <x:c r="M7" s="21" t="str">
        <x:v>MC-SAW-01</x:v>
      </x:c>
      <x:c r="N7" s="21" t="str">
        <x:v>PRODUCTION</x:v>
      </x:c>
      <x:c r="O7" s="43" t="n">
        <x:v>46266.22222222222</x:v>
      </x:c>
      <x:c r="P7" s="43" t="n">
        <x:v>46266.3125</x:v>
      </x:c>
      <x:c r="Q7" s="25" t="n">
        <x:v>0</x:v>
      </x:c>
      <x:c r="R7" s="25" t="n">
        <x:v>0</x:v>
      </x:c>
      <x:c r="S7" s="39" t="n">
        <x:f>IF(A7="","",SUMIF('07_DUNG_CHO'!$B$6:$B$505,A7,'07_DUNG_CHO'!$E$6:$E$505))</x:f>
        <x:v>0</x:v>
      </x:c>
      <x:c r="T7" s="39" t="n">
        <x:f>IF(A7="","",IF(N7="SETUP",0,MAX(0,(P7-O7)*1440-Q7-S7)))</x:f>
        <x:v>130.0000000046566</x:v>
      </x:c>
      <x:c r="U7" s="25" t="n">
        <x:v>20</x:v>
      </x:c>
      <x:c r="V7" s="25" t="n">
        <x:v>20</x:v>
      </x:c>
      <x:c r="W7" s="25" t="n">
        <x:v>20</x:v>
      </x:c>
      <x:c r="X7" s="25" t="n">
        <x:v>0</x:v>
      </x:c>
      <x:c r="Y7" s="25" t="n">
        <x:v>0</x:v>
      </x:c>
      <x:c r="Z7" s="25" t="n">
        <x:v>0</x:v>
      </x:c>
      <x:c r="AA7" s="39" t="n">
        <x:f>IF(A7="","",U7-SUM(V7,X7:Z7))</x:f>
        <x:v>0</x:v>
      </x:c>
      <x:c r="AB7" s="39" t="n">
        <x:f>IF(A7="","",IF(N7="SETUP",IFERROR(INDEX('04_KE_HOACH_CD'!$K$6:$K$305,MATCH(K7,'04_KE_HOACH_CD'!$G$6:$G$305,0)),0),IF(OR(N7="PRODUCTION",N7="REWORK"),IFERROR(INDEX('04_KE_HOACH_CD'!$L$6:$L$305,MATCH(K7,'04_KE_HOACH_CD'!$G$6:$G$305,0))*V7,0),0)))</x:f>
        <x:v>100</x:v>
      </x:c>
      <x:c r="AC7" s="39" t="n">
        <x:f>IF(A7="","",MAX(0,(P7-O7)*1440-Q7))</x:f>
        <x:v>130.0000000046566</x:v>
      </x:c>
      <x:c r="AD7" s="37" t="n">
        <x:f>IF(A7="","",IFERROR(AB7/AC7,0))</x:f>
        <x:v>0.7692307692032153</x:v>
      </x:c>
      <x:c r="AE7" s="33" t="n">
        <x:f>IF(A7="","",AC7/60*SUMIF(DM_NHAN_SU!$A$6:$A$105,L7,DM_NHAN_SU!$E$6:$E$105))</x:f>
        <x:v>151666.66667209938</x:v>
      </x:c>
      <x:c r="AF7" s="33" t="n">
        <x:f>IF(A7="","",AC7/60*SUMIF(DM_MAY!$A$6:$A$105,M7,DM_MAY!$F$6:$F$105))</x:f>
        <x:v>195000.00000698492</x:v>
      </x:c>
      <x:c r="AG7" s="33" t="n">
        <x:f>IF(A7="","",AE7+AF7)</x:f>
        <x:v>346666.6666790843</x:v>
      </x:c>
      <x:c r="AH7" s="21" t="str">
        <x:v>Đã duyệt</x:v>
      </x:c>
      <x:c r="AI7" s="29" t="str">
        <x:f>IF(A7="","",IF(OR(B7="",D7="",E7="",I7="",L7="",N7="",O7="",P7=""),"Thiếu dữ liệu",IF(AND(OR(N7="PRODUCTION",N7="REWORK",N7="SETUP"),M7=""),"Thiếu máy",IF(P7&lt;O7,"Sai thời gian",IF(AA7&lt;&gt;0,"Sai cân đối SL","Hợp lệ")))))</x:f>
        <x:v>Hợp lệ</x:v>
      </x:c>
      <x:c r="AJ7" s="21" t="str">
        <x:v>Tạo phôi</x:v>
      </x:c>
    </x:row>
    <x:row r="8">
      <x:c r="A8" s="21" t="str">
        <x:v>RUN-003</x:v>
      </x:c>
      <x:c r="B8" s="35" t="n">
        <x:v>46268</x:v>
      </x:c>
      <x:c r="C8" s="21" t="str">
        <x:v>CA1</x:v>
      </x:c>
      <x:c r="D8" s="21" t="str">
        <x:v>PRC2602-003</x:v>
      </x:c>
      <x:c r="E8" s="21" t="str">
        <x:v>22-219803-00</x:v>
      </x:c>
      <x:c r="F8" s="21" t="str">
        <x:v>A</x:v>
      </x:c>
      <x:c r="G8" s="21" t="str">
        <x:v>01</x:v>
      </x:c>
      <x:c r="H8" s="29" t="str">
        <x:f>IF(OR(D8="",E8=""),"",D8&amp;"|"&amp;E8&amp;"|"&amp;IF(F8="","00",F8)&amp;"|"&amp;IF(G8="","01",G8))</x:f>
        <x:v>PRC2602-003|22-219803-00|A|01</x:v>
      </x:c>
      <x:c r="I8" s="21" t="n">
        <x:v>20</x:v>
      </x:c>
      <x:c r="J8" s="29" t="str">
        <x:f>IF(K8="","",IFERROR(INDEX('04_KE_HOACH_CD'!$I$6:$I$305,MATCH(K8,'04_KE_HOACH_CD'!$G$6:$G$305,0)),""))</x:f>
        <x:v>TAO_PHOI</x:v>
      </x:c>
      <x:c r="K8" s="29" t="str">
        <x:f>IF(OR(H8="",I8=""),"",H8&amp;"|"&amp;TEXT(I8,"000"))</x:f>
        <x:v>PRC2602-003|22-219803-00|A|01|020</x:v>
      </x:c>
      <x:c r="L8" s="21" t="str">
        <x:v>NV-1624</x:v>
      </x:c>
      <x:c r="M8" s="21" t="str">
        <x:v>MC-LATHE-01</x:v>
      </x:c>
      <x:c r="N8" s="21" t="str">
        <x:v>SETUP</x:v>
      </x:c>
      <x:c r="O8" s="43" t="n">
        <x:v>46268.208333333336</x:v>
      </x:c>
      <x:c r="P8" s="43" t="n">
        <x:v>46268.243055555555</x:v>
      </x:c>
      <x:c r="Q8" s="25" t="n">
        <x:v>0</x:v>
      </x:c>
      <x:c r="R8" s="25" t="n">
        <x:v>50</x:v>
      </x:c>
      <x:c r="S8" s="39" t="n">
        <x:f>IF(A8="","",SUMIF('07_DUNG_CHO'!$B$6:$B$505,A8,'07_DUNG_CHO'!$E$6:$E$505))</x:f>
        <x:v>0</x:v>
      </x:c>
      <x:c r="T8" s="39" t="n">
        <x:f>IF(A8="","",IF(N8="SETUP",0,MAX(0,(P8-O8)*1440-Q8-S8)))</x:f>
        <x:v>0</x:v>
      </x:c>
      <x:c r="U8" s="25" t="n">
        <x:v>0</x:v>
      </x:c>
      <x:c r="V8" s="25" t="n">
        <x:v>0</x:v>
      </x:c>
      <x:c r="W8" s="25" t="n">
        <x:v>0</x:v>
      </x:c>
      <x:c r="X8" s="25" t="n">
        <x:v>0</x:v>
      </x:c>
      <x:c r="Y8" s="25" t="n">
        <x:v>0</x:v>
      </x:c>
      <x:c r="Z8" s="25" t="n">
        <x:v>0</x:v>
      </x:c>
      <x:c r="AA8" s="39" t="n">
        <x:f>IF(A8="","",U8-SUM(V8,X8:Z8))</x:f>
        <x:v>0</x:v>
      </x:c>
      <x:c r="AB8" s="39" t="n">
        <x:f>IF(A8="","",IF(N8="SETUP",IFERROR(INDEX('04_KE_HOACH_CD'!$K$6:$K$305,MATCH(K8,'04_KE_HOACH_CD'!$G$6:$G$305,0)),0),IF(OR(N8="PRODUCTION",N8="REWORK"),IFERROR(INDEX('04_KE_HOACH_CD'!$L$6:$L$305,MATCH(K8,'04_KE_HOACH_CD'!$G$6:$G$305,0))*V8,0),0)))</x:f>
        <x:v>20</x:v>
      </x:c>
      <x:c r="AC8" s="39" t="n">
        <x:f>IF(A8="","",MAX(0,(P8-O8)*1440-Q8))</x:f>
        <x:v>49.99999999534339</x:v>
      </x:c>
      <x:c r="AD8" s="37" t="n">
        <x:f>IF(A8="","",IFERROR(AB8/AC8,0))</x:f>
        <x:v>0.4000000000372529</x:v>
      </x:c>
      <x:c r="AE8" s="33" t="n">
        <x:f>IF(A8="","",AC8/60*SUMIF(DM_NHAN_SU!$A$6:$A$105,L8,DM_NHAN_SU!$E$6:$E$105))</x:f>
        <x:v>58333.33332790062</x:v>
      </x:c>
      <x:c r="AF8" s="33" t="n">
        <x:f>IF(A8="","",AC8/60*SUMIF(DM_MAY!$A$6:$A$105,M8,DM_MAY!$F$6:$F$105))</x:f>
        <x:v>233333.33331160247</x:v>
      </x:c>
      <x:c r="AG8" s="33" t="n">
        <x:f>IF(A8="","",AE8+AF8)</x:f>
        <x:v>291666.6666395031</x:v>
      </x:c>
      <x:c r="AH8" s="21" t="str">
        <x:v>Đã duyệt</x:v>
      </x:c>
      <x:c r="AI8" s="29" t="str">
        <x:f>IF(A8="","",IF(OR(B8="",D8="",E8="",I8="",L8="",N8="",O8="",P8=""),"Thiếu dữ liệu",IF(AND(OR(N8="PRODUCTION",N8="REWORK",N8="SETUP"),M8=""),"Thiếu máy",IF(P8&lt;O8,"Sai thời gian",IF(AA8&lt;&gt;0,"Sai cân đối SL","Hợp lệ")))))</x:f>
        <x:v>Hợp lệ</x:v>
      </x:c>
      <x:c r="AJ8" s="21" t="str">
        <x:v>Setup NC1</x:v>
      </x:c>
    </x:row>
    <x:row r="9">
      <x:c r="A9" s="21" t="str">
        <x:v>RUN-004</x:v>
      </x:c>
      <x:c r="B9" s="35" t="n">
        <x:v>46268</x:v>
      </x:c>
      <x:c r="C9" s="21" t="str">
        <x:v>CA1</x:v>
      </x:c>
      <x:c r="D9" s="21" t="str">
        <x:v>PRC2602-003</x:v>
      </x:c>
      <x:c r="E9" s="21" t="str">
        <x:v>22-219803-00</x:v>
      </x:c>
      <x:c r="F9" s="21" t="str">
        <x:v>A</x:v>
      </x:c>
      <x:c r="G9" s="21" t="str">
        <x:v>01</x:v>
      </x:c>
      <x:c r="H9" s="29" t="str">
        <x:f>IF(OR(D9="",E9=""),"",D9&amp;"|"&amp;E9&amp;"|"&amp;IF(F9="","00",F9)&amp;"|"&amp;IF(G9="","01",G9))</x:f>
        <x:v>PRC2602-003|22-219803-00|A|01</x:v>
      </x:c>
      <x:c r="I9" s="21" t="n">
        <x:v>20</x:v>
      </x:c>
      <x:c r="J9" s="29" t="str">
        <x:f>IF(K9="","",IFERROR(INDEX('04_KE_HOACH_CD'!$I$6:$I$305,MATCH(K9,'04_KE_HOACH_CD'!$G$6:$G$305,0)),""))</x:f>
        <x:v>TAO_PHOI</x:v>
      </x:c>
      <x:c r="K9" s="29" t="str">
        <x:f>IF(OR(H9="",I9=""),"",H9&amp;"|"&amp;TEXT(I9,"000"))</x:f>
        <x:v>PRC2602-003|22-219803-00|A|01|020</x:v>
      </x:c>
      <x:c r="L9" s="21" t="str">
        <x:v>NV-1624</x:v>
      </x:c>
      <x:c r="M9" s="21" t="str">
        <x:v>MC-LATHE-01</x:v>
      </x:c>
      <x:c r="N9" s="21" t="str">
        <x:v>PRODUCTION</x:v>
      </x:c>
      <x:c r="O9" s="43" t="n">
        <x:v>46268.243055555555</x:v>
      </x:c>
      <x:c r="P9" s="43" t="n">
        <x:v>46268.520833333336</x:v>
      </x:c>
      <x:c r="Q9" s="25" t="n">
        <x:v>45</x:v>
      </x:c>
      <x:c r="R9" s="25" t="n">
        <x:v>0</x:v>
      </x:c>
      <x:c r="S9" s="39" t="n">
        <x:f>IF(A9="","",SUMIF('07_DUNG_CHO'!$B$6:$B$505,A9,'07_DUNG_CHO'!$E$6:$E$505))</x:f>
        <x:v>24.999999997671694</x:v>
      </x:c>
      <x:c r="T9" s="39" t="n">
        <x:f>IF(A9="","",IF(N9="SETUP",0,MAX(0,(P9-O9)*1440-Q9-S9)))</x:f>
        <x:v>330.0000000069849</x:v>
      </x:c>
      <x:c r="U9" s="25" t="n">
        <x:v>20</x:v>
      </x:c>
      <x:c r="V9" s="25" t="n">
        <x:v>18</x:v>
      </x:c>
      <x:c r="W9" s="25" t="n">
        <x:v>18</x:v>
      </x:c>
      <x:c r="X9" s="25" t="n">
        <x:v>2</x:v>
      </x:c>
      <x:c r="Y9" s="25" t="n">
        <x:v>0</x:v>
      </x:c>
      <x:c r="Z9" s="25" t="n">
        <x:v>0</x:v>
      </x:c>
      <x:c r="AA9" s="39" t="n">
        <x:f>IF(A9="","",U9-SUM(V9,X9:Z9))</x:f>
        <x:v>0</x:v>
      </x:c>
      <x:c r="AB9" s="39" t="n">
        <x:f>IF(A9="","",IF(N9="SETUP",IFERROR(INDEX('04_KE_HOACH_CD'!$K$6:$K$305,MATCH(K9,'04_KE_HOACH_CD'!$G$6:$G$305,0)),0),IF(OR(N9="PRODUCTION",N9="REWORK"),IFERROR(INDEX('04_KE_HOACH_CD'!$L$6:$L$305,MATCH(K9,'04_KE_HOACH_CD'!$G$6:$G$305,0))*V9,0),0)))</x:f>
        <x:v>90</x:v>
      </x:c>
      <x:c r="AC9" s="39" t="n">
        <x:f>IF(A9="","",MAX(0,(P9-O9)*1440-Q9))</x:f>
        <x:v>355.0000000046566</x:v>
      </x:c>
      <x:c r="AD9" s="37" t="n">
        <x:f>IF(A9="","",IFERROR(AB9/AC9,0))</x:f>
        <x:v>0.25352112675723787</x:v>
      </x:c>
      <x:c r="AE9" s="33" t="n">
        <x:f>IF(A9="","",AC9/60*SUMIF(DM_NHAN_SU!$A$6:$A$105,L9,DM_NHAN_SU!$E$6:$E$105))</x:f>
        <x:v>414166.6666720994</x:v>
      </x:c>
      <x:c r="AF9" s="33" t="n">
        <x:f>IF(A9="","",AC9/60*SUMIF(DM_MAY!$A$6:$A$105,M9,DM_MAY!$F$6:$F$105))</x:f>
        <x:v>1656666.6666883975</x:v>
      </x:c>
      <x:c r="AG9" s="33" t="n">
        <x:f>IF(A9="","",AE9+AF9)</x:f>
        <x:v>2070833.333360497</x:v>
      </x:c>
      <x:c r="AH9" s="21" t="str">
        <x:v>Đã duyệt</x:v>
      </x:c>
      <x:c r="AI9" s="29" t="str">
        <x:f>IF(A9="","",IF(OR(B9="",D9="",E9="",I9="",L9="",N9="",O9="",P9=""),"Thiếu dữ liệu",IF(AND(OR(N9="PRODUCTION",N9="REWORK",N9="SETUP"),M9=""),"Thiếu máy",IF(P9&lt;O9,"Sai thời gian",IF(AA9&lt;&gt;0,"Sai cân đối SL","Hợp lệ")))))</x:f>
        <x:v>Hợp lệ</x:v>
      </x:c>
      <x:c r="AJ9" s="21" t="str">
        <x:v>Chờ dao 25 phút</x:v>
      </x:c>
    </x:row>
    <x:row r="10">
      <x:c r="A10" s="21" t="str">
        <x:v>RUN-005</x:v>
      </x:c>
      <x:c r="B10" s="35" t="n">
        <x:v>46269</x:v>
      </x:c>
      <x:c r="C10" s="21" t="str">
        <x:v>CA1</x:v>
      </x:c>
      <x:c r="D10" s="21" t="str">
        <x:v>PRC2602-003</x:v>
      </x:c>
      <x:c r="E10" s="21" t="str">
        <x:v>22-219803-00</x:v>
      </x:c>
      <x:c r="F10" s="21" t="str">
        <x:v>A</x:v>
      </x:c>
      <x:c r="G10" s="21" t="str">
        <x:v>01</x:v>
      </x:c>
      <x:c r="H10" s="29" t="str">
        <x:f>IF(OR(D10="",E10=""),"",D10&amp;"|"&amp;E10&amp;"|"&amp;IF(F10="","00",F10)&amp;"|"&amp;IF(G10="","01",G10))</x:f>
        <x:v>PRC2602-003|22-219803-00|A|01</x:v>
      </x:c>
      <x:c r="I10" s="21" t="n">
        <x:v>20</x:v>
      </x:c>
      <x:c r="J10" s="29" t="str">
        <x:f>IF(K10="","",IFERROR(INDEX('04_KE_HOACH_CD'!$I$6:$I$305,MATCH(K10,'04_KE_HOACH_CD'!$G$6:$G$305,0)),""))</x:f>
        <x:v>TAO_PHOI</x:v>
      </x:c>
      <x:c r="K10" s="29" t="str">
        <x:f>IF(OR(H10="",I10=""),"",H10&amp;"|"&amp;TEXT(I10,"000"))</x:f>
        <x:v>PRC2602-003|22-219803-00|A|01|020</x:v>
      </x:c>
      <x:c r="L10" s="21" t="str">
        <x:v>NV-1624</x:v>
      </x:c>
      <x:c r="M10" s="21" t="str">
        <x:v>MC-LATHE-01</x:v>
      </x:c>
      <x:c r="N10" s="21" t="str">
        <x:v>REWORK</x:v>
      </x:c>
      <x:c r="O10" s="43" t="n">
        <x:v>46269.208333333336</x:v>
      </x:c>
      <x:c r="P10" s="43" t="n">
        <x:v>46269.256944444445</x:v>
      </x:c>
      <x:c r="Q10" s="25" t="n">
        <x:v>0</x:v>
      </x:c>
      <x:c r="R10" s="25" t="n">
        <x:v>0</x:v>
      </x:c>
      <x:c r="S10" s="39" t="n">
        <x:f>IF(A10="","",SUMIF('07_DUNG_CHO'!$B$6:$B$505,A10,'07_DUNG_CHO'!$E$6:$E$505))</x:f>
        <x:v>0</x:v>
      </x:c>
      <x:c r="T10" s="39" t="n">
        <x:f>IF(A10="","",IF(N10="SETUP",0,MAX(0,(P10-O10)*1440-Q10-S10)))</x:f>
        <x:v>69.9999999976717</x:v>
      </x:c>
      <x:c r="U10" s="25" t="n">
        <x:v>2</x:v>
      </x:c>
      <x:c r="V10" s="25" t="n">
        <x:v>2</x:v>
      </x:c>
      <x:c r="W10" s="25" t="n">
        <x:v>0</x:v>
      </x:c>
      <x:c r="X10" s="25" t="n">
        <x:v>0</x:v>
      </x:c>
      <x:c r="Y10" s="25" t="n">
        <x:v>0</x:v>
      </x:c>
      <x:c r="Z10" s="25" t="n">
        <x:v>0</x:v>
      </x:c>
      <x:c r="AA10" s="39" t="n">
        <x:f>IF(A10="","",U10-SUM(V10,X10:Z10))</x:f>
        <x:v>0</x:v>
      </x:c>
      <x:c r="AB10" s="39" t="n">
        <x:f>IF(A10="","",IF(N10="SETUP",IFERROR(INDEX('04_KE_HOACH_CD'!$K$6:$K$305,MATCH(K10,'04_KE_HOACH_CD'!$G$6:$G$305,0)),0),IF(OR(N10="PRODUCTION",N10="REWORK"),IFERROR(INDEX('04_KE_HOACH_CD'!$L$6:$L$305,MATCH(K10,'04_KE_HOACH_CD'!$G$6:$G$305,0))*V10,0),0)))</x:f>
        <x:v>10</x:v>
      </x:c>
      <x:c r="AC10" s="39" t="n">
        <x:f>IF(A10="","",MAX(0,(P10-O10)*1440-Q10))</x:f>
        <x:v>69.9999999976717</x:v>
      </x:c>
      <x:c r="AD10" s="37" t="n">
        <x:f>IF(A10="","",IFERROR(AB10/AC10,0))</x:f>
        <x:v>0.1428571428618945</x:v>
      </x:c>
      <x:c r="AE10" s="33" t="n">
        <x:f>IF(A10="","",AC10/60*SUMIF(DM_NHAN_SU!$A$6:$A$105,L10,DM_NHAN_SU!$E$6:$E$105))</x:f>
        <x:v>81666.66666395031</x:v>
      </x:c>
      <x:c r="AF10" s="33" t="n">
        <x:f>IF(A10="","",AC10/60*SUMIF(DM_MAY!$A$6:$A$105,M10,DM_MAY!$F$6:$F$105))</x:f>
        <x:v>326666.66665580124</x:v>
      </x:c>
      <x:c r="AG10" s="33" t="n">
        <x:f>IF(A10="","",AE10+AF10)</x:f>
        <x:v>408333.33331975155</x:v>
      </x:c>
      <x:c r="AH10" s="21" t="str">
        <x:v>Đã duyệt</x:v>
      </x:c>
      <x:c r="AI10" s="29" t="str">
        <x:f>IF(A10="","",IF(OR(B10="",D10="",E10="",I10="",L10="",N10="",O10="",P10=""),"Thiếu dữ liệu",IF(AND(OR(N10="PRODUCTION",N10="REWORK",N10="SETUP"),M10=""),"Thiếu máy",IF(P10&lt;O10,"Sai thời gian",IF(AA10&lt;&gt;0,"Sai cân đối SL","Hợp lệ")))))</x:f>
        <x:v>Hợp lệ</x:v>
      </x:c>
      <x:c r="AJ10" s="21" t="str">
        <x:v>Sửa 2 chi tiết</x:v>
      </x:c>
    </x:row>
    <x:row r="11">
      <x:c r="A11" s="21" t="str">
        <x:v>RUN-006</x:v>
      </x:c>
      <x:c r="B11" s="35" t="n">
        <x:v>46275</x:v>
      </x:c>
      <x:c r="C11" s="21" t="str">
        <x:v>CA1</x:v>
      </x:c>
      <x:c r="D11" s="21" t="str">
        <x:v>PRC2602-003</x:v>
      </x:c>
      <x:c r="E11" s="21" t="str">
        <x:v>22-219803-00</x:v>
      </x:c>
      <x:c r="F11" s="21" t="str">
        <x:v>A</x:v>
      </x:c>
      <x:c r="G11" s="21" t="str">
        <x:v>01</x:v>
      </x:c>
      <x:c r="H11" s="29" t="str">
        <x:f>IF(OR(D11="",E11=""),"",D11&amp;"|"&amp;E11&amp;"|"&amp;IF(F11="","00",F11)&amp;"|"&amp;IF(G11="","01",G11))</x:f>
        <x:v>PRC2602-003|22-219803-00|A|01</x:v>
      </x:c>
      <x:c r="I11" s="21" t="n">
        <x:v>30</x:v>
      </x:c>
      <x:c r="J11" s="29" t="str">
        <x:f>IF(K11="","",IFERROR(INDEX('04_KE_HOACH_CD'!$I$6:$I$305,MATCH(K11,'04_KE_HOACH_CD'!$G$6:$G$305,0)),""))</x:f>
        <x:v>TAO_PHOI</x:v>
      </x:c>
      <x:c r="K11" s="29" t="str">
        <x:f>IF(OR(H11="",I11=""),"",H11&amp;"|"&amp;TEXT(I11,"000"))</x:f>
        <x:v>PRC2602-003|22-219803-00|A|01|030</x:v>
      </x:c>
      <x:c r="L11" s="21" t="str">
        <x:v>NV-1624</x:v>
      </x:c>
      <x:c r="M11" s="21" t="str">
        <x:v>MC-LATHE-01</x:v>
      </x:c>
      <x:c r="N11" s="21" t="str">
        <x:v>PRODUCTION</x:v>
      </x:c>
      <x:c r="O11" s="43" t="n">
        <x:v>46275.208333333336</x:v>
      </x:c>
      <x:c r="P11" s="43" t="n">
        <x:v>46275.375</x:v>
      </x:c>
      <x:c r="Q11" s="25" t="n">
        <x:v>15</x:v>
      </x:c>
      <x:c r="R11" s="25" t="n">
        <x:v>0</x:v>
      </x:c>
      <x:c r="S11" s="39" t="n">
        <x:f>IF(A11="","",SUMIF('07_DUNG_CHO'!$B$6:$B$505,A11,'07_DUNG_CHO'!$E$6:$E$505))</x:f>
        <x:v>20.000000002328306</x:v>
      </x:c>
      <x:c r="T11" s="39" t="n">
        <x:f>IF(A11="","",IF(N11="SETUP",0,MAX(0,(P11-O11)*1440-Q11-S11)))</x:f>
        <x:v>204.99999999417923</x:v>
      </x:c>
      <x:c r="U11" s="25" t="n">
        <x:v>12</x:v>
      </x:c>
      <x:c r="V11" s="25" t="n">
        <x:v>12</x:v>
      </x:c>
      <x:c r="W11" s="25" t="n">
        <x:v>12</x:v>
      </x:c>
      <x:c r="X11" s="25" t="n">
        <x:v>0</x:v>
      </x:c>
      <x:c r="Y11" s="25" t="n">
        <x:v>0</x:v>
      </x:c>
      <x:c r="Z11" s="25" t="n">
        <x:v>0</x:v>
      </x:c>
      <x:c r="AA11" s="39" t="n">
        <x:f>IF(A11="","",U11-SUM(V11,X11:Z11))</x:f>
        <x:v>0</x:v>
      </x:c>
      <x:c r="AB11" s="39" t="n">
        <x:f>IF(A11="","",IF(N11="SETUP",IFERROR(INDEX('04_KE_HOACH_CD'!$K$6:$K$305,MATCH(K11,'04_KE_HOACH_CD'!$G$6:$G$305,0)),0),IF(OR(N11="PRODUCTION",N11="REWORK"),IFERROR(INDEX('04_KE_HOACH_CD'!$L$6:$L$305,MATCH(K11,'04_KE_HOACH_CD'!$G$6:$G$305,0))*V11,0),0)))</x:f>
        <x:v>60</x:v>
      </x:c>
      <x:c r="AC11" s="39" t="n">
        <x:f>IF(A11="","",MAX(0,(P11-O11)*1440-Q11))</x:f>
        <x:v>224.99999999650754</x:v>
      </x:c>
      <x:c r="AD11" s="37" t="n">
        <x:f>IF(A11="","",IFERROR(AB11/AC11,0))</x:f>
        <x:v>0.26666666667080585</x:v>
      </x:c>
      <x:c r="AE11" s="33" t="n">
        <x:f>IF(A11="","",AC11/60*SUMIF(DM_NHAN_SU!$A$6:$A$105,L11,DM_NHAN_SU!$E$6:$E$105))</x:f>
        <x:v>262499.99999592546</x:v>
      </x:c>
      <x:c r="AF11" s="33" t="n">
        <x:f>IF(A11="","",AC11/60*SUMIF(DM_MAY!$A$6:$A$105,M11,DM_MAY!$F$6:$F$105))</x:f>
        <x:v>1049999.9999837019</x:v>
      </x:c>
      <x:c r="AG11" s="33" t="n">
        <x:f>IF(A11="","",AE11+AF11)</x:f>
        <x:v>1312499.9999796273</x:v>
      </x:c>
      <x:c r="AH11" s="21" t="str">
        <x:v>Đã duyệt</x:v>
      </x:c>
      <x:c r="AI11" s="29" t="str">
        <x:f>IF(A11="","",IF(OR(B11="",D11="",E11="",I11="",L11="",N11="",O11="",P11=""),"Thiếu dữ liệu",IF(AND(OR(N11="PRODUCTION",N11="REWORK",N11="SETUP"),M11=""),"Thiếu máy",IF(P11&lt;O11,"Sai thời gian",IF(AA11&lt;&gt;0,"Sai cân đối SL","Hợp lệ")))))</x:f>
        <x:v>Hợp lệ</x:v>
      </x:c>
      <x:c r="AJ11" s="21" t="str">
        <x:v>Tiện NC2</x:v>
      </x:c>
    </x:row>
    <x:row r="12">
      <x:c r="A12" s="21" t="str">
        <x:v>RUN-007</x:v>
      </x:c>
      <x:c r="B12" s="35" t="n">
        <x:v>46267</x:v>
      </x:c>
      <x:c r="C12" s="21" t="str">
        <x:v>CA1</x:v>
      </x:c>
      <x:c r="D12" s="21" t="str">
        <x:v>PRC2602-003</x:v>
      </x:c>
      <x:c r="E12" s="21" t="str">
        <x:v>22-219807-00</x:v>
      </x:c>
      <x:c r="F12" s="21" t="str">
        <x:v>A</x:v>
      </x:c>
      <x:c r="G12" s="21" t="str">
        <x:v>02</x:v>
      </x:c>
      <x:c r="H12" s="29" t="str">
        <x:f>IF(OR(D12="",E12=""),"",D12&amp;"|"&amp;E12&amp;"|"&amp;IF(F12="","00",F12)&amp;"|"&amp;IF(G12="","01",G12))</x:f>
        <x:v>PRC2602-003|22-219807-00|A|02</x:v>
      </x:c>
      <x:c r="I12" s="21" t="n">
        <x:v>10</x:v>
      </x:c>
      <x:c r="J12" s="29" t="str">
        <x:f>IF(K12="","",IFERROR(INDEX('04_KE_HOACH_CD'!$I$6:$I$305,MATCH(K12,'04_KE_HOACH_CD'!$G$6:$G$305,0)),""))</x:f>
        <x:v>TAO_PHOI</x:v>
      </x:c>
      <x:c r="K12" s="29" t="str">
        <x:f>IF(OR(H12="",I12=""),"",H12&amp;"|"&amp;TEXT(I12,"000"))</x:f>
        <x:v>PRC2602-003|22-219807-00|A|02|010</x:v>
      </x:c>
      <x:c r="L12" s="21" t="str">
        <x:v>NV-1624</x:v>
      </x:c>
      <x:c r="M12" s="21" t="str">
        <x:v>MC-SAW-01</x:v>
      </x:c>
      <x:c r="N12" s="21" t="str">
        <x:v>PRODUCTION</x:v>
      </x:c>
      <x:c r="O12" s="43" t="n">
        <x:v>46267.416666666664</x:v>
      </x:c>
      <x:c r="P12" s="43" t="n">
        <x:v>46267.47222222222</x:v>
      </x:c>
      <x:c r="Q12" s="25" t="n">
        <x:v>0</x:v>
      </x:c>
      <x:c r="R12" s="25" t="n">
        <x:v>0</x:v>
      </x:c>
      <x:c r="S12" s="39" t="n">
        <x:f>IF(A12="","",SUMIF('07_DUNG_CHO'!$B$6:$B$505,A12,'07_DUNG_CHO'!$E$6:$E$505))</x:f>
        <x:v>0</x:v>
      </x:c>
      <x:c r="T12" s="39" t="n">
        <x:f>IF(A12="","",IF(N12="SETUP",0,MAX(0,(P12-O12)*1440-Q12-S12)))</x:f>
        <x:v>79.99999999883585</x:v>
      </x:c>
      <x:c r="U12" s="25" t="n">
        <x:v>10</x:v>
      </x:c>
      <x:c r="V12" s="25" t="n">
        <x:v>10</x:v>
      </x:c>
      <x:c r="W12" s="25" t="n">
        <x:v>10</x:v>
      </x:c>
      <x:c r="X12" s="25" t="n">
        <x:v>0</x:v>
      </x:c>
      <x:c r="Y12" s="25" t="n">
        <x:v>0</x:v>
      </x:c>
      <x:c r="Z12" s="25" t="n">
        <x:v>0</x:v>
      </x:c>
      <x:c r="AA12" s="39" t="n">
        <x:f>IF(A12="","",U12-SUM(V12,X12:Z12))</x:f>
        <x:v>0</x:v>
      </x:c>
      <x:c r="AB12" s="39" t="n">
        <x:f>IF(A12="","",IF(N12="SETUP",IFERROR(INDEX('04_KE_HOACH_CD'!$K$6:$K$305,MATCH(K12,'04_KE_HOACH_CD'!$G$6:$G$305,0)),0),IF(OR(N12="PRODUCTION",N12="REWORK"),IFERROR(INDEX('04_KE_HOACH_CD'!$L$6:$L$305,MATCH(K12,'04_KE_HOACH_CD'!$G$6:$G$305,0))*V12,0),0)))</x:f>
        <x:v>50</x:v>
      </x:c>
      <x:c r="AC12" s="39" t="n">
        <x:f>IF(A12="","",MAX(0,(P12-O12)*1440-Q12))</x:f>
        <x:v>79.99999999883585</x:v>
      </x:c>
      <x:c r="AD12" s="37" t="n">
        <x:f>IF(A12="","",IFERROR(AB12/AC12,0))</x:f>
        <x:v>0.625000000009095</x:v>
      </x:c>
      <x:c r="AE12" s="33" t="n">
        <x:f>IF(A12="","",AC12/60*SUMIF(DM_NHAN_SU!$A$6:$A$105,L12,DM_NHAN_SU!$E$6:$E$105))</x:f>
        <x:v>93333.33333197515</x:v>
      </x:c>
      <x:c r="AF12" s="33" t="n">
        <x:f>IF(A12="","",AC12/60*SUMIF(DM_MAY!$A$6:$A$105,M12,DM_MAY!$F$6:$F$105))</x:f>
        <x:v>119999.99999825377</x:v>
      </x:c>
      <x:c r="AG12" s="33" t="n">
        <x:f>IF(A12="","",AE12+AF12)</x:f>
        <x:v>213333.33333022892</x:v>
      </x:c>
      <x:c r="AH12" s="21" t="str">
        <x:v>Đã duyệt</x:v>
      </x:c>
      <x:c r="AI12" s="29" t="str">
        <x:f>IF(A12="","",IF(OR(B12="",D12="",E12="",I12="",L12="",N12="",O12="",P12=""),"Thiếu dữ liệu",IF(AND(OR(N12="PRODUCTION",N12="REWORK",N12="SETUP"),M12=""),"Thiếu máy",IF(P12&lt;O12,"Sai thời gian",IF(AA12&lt;&gt;0,"Sai cân đối SL","Hợp lệ")))))</x:f>
        <x:v>Hợp lệ</x:v>
      </x:c>
      <x:c r="AJ12" s="21" t="str">
        <x:v>Tạo phôi bản vẽ 2</x:v>
      </x:c>
    </x:row>
    <x:row r="13">
      <x:c r="A13" s="21" t="str">
        <x:v>RUN-008</x:v>
      </x:c>
      <x:c r="B13" s="35" t="n">
        <x:v>46268</x:v>
      </x:c>
      <x:c r="C13" s="21" t="str">
        <x:v>CA1</x:v>
      </x:c>
      <x:c r="D13" s="21" t="str">
        <x:v>SWT2603-001</x:v>
      </x:c>
      <x:c r="E13" s="21" t="str">
        <x:v>950340030</x:v>
      </x:c>
      <x:c r="F13" s="21" t="str">
        <x:v>A</x:v>
      </x:c>
      <x:c r="G13" s="21" t="str">
        <x:v>01</x:v>
      </x:c>
      <x:c r="H13" s="29" t="str">
        <x:f>IF(OR(D13="",E13=""),"",D13&amp;"|"&amp;E13&amp;"|"&amp;IF(F13="","00",F13)&amp;"|"&amp;IF(G13="","01",G13))</x:f>
        <x:v>SWT2603-001|950340030|A|01</x:v>
      </x:c>
      <x:c r="I13" s="21" t="n">
        <x:v>10</x:v>
      </x:c>
      <x:c r="J13" s="29" t="str">
        <x:f>IF(K13="","",IFERROR(INDEX('04_KE_HOACH_CD'!$I$6:$I$305,MATCH(K13,'04_KE_HOACH_CD'!$G$6:$G$305,0)),""))</x:f>
        <x:v>TAO_PHOI</x:v>
      </x:c>
      <x:c r="K13" s="29" t="str">
        <x:f>IF(OR(H13="",I13=""),"",H13&amp;"|"&amp;TEXT(I13,"000"))</x:f>
        <x:v>SWT2603-001|950340030|A|01|010</x:v>
      </x:c>
      <x:c r="L13" s="21" t="str">
        <x:v>NV-1575</x:v>
      </x:c>
      <x:c r="M13" s="21" t="str">
        <x:v>MC-SAW-01</x:v>
      </x:c>
      <x:c r="N13" s="21" t="str">
        <x:v>PRODUCTION</x:v>
      </x:c>
      <x:c r="O13" s="43" t="n">
        <x:v>46268.416666666664</x:v>
      </x:c>
      <x:c r="P13" s="43" t="n">
        <x:v>46268.520833333336</x:v>
      </x:c>
      <x:c r="Q13" s="25" t="n">
        <x:v>15</x:v>
      </x:c>
      <x:c r="R13" s="25" t="n">
        <x:v>0</x:v>
      </x:c>
      <x:c r="S13" s="39" t="n">
        <x:f>IF(A13="","",SUMIF('07_DUNG_CHO'!$B$6:$B$505,A13,'07_DUNG_CHO'!$E$6:$E$505))</x:f>
        <x:v>0</x:v>
      </x:c>
      <x:c r="T13" s="39" t="n">
        <x:f>IF(A13="","",IF(N13="SETUP",0,MAX(0,(P13-O13)*1440-Q13-S13)))</x:f>
        <x:v>135.00000000698492</x:v>
      </x:c>
      <x:c r="U13" s="25" t="n">
        <x:v>30</x:v>
      </x:c>
      <x:c r="V13" s="25" t="n">
        <x:v>30</x:v>
      </x:c>
      <x:c r="W13" s="25" t="n">
        <x:v>30</x:v>
      </x:c>
      <x:c r="X13" s="25" t="n">
        <x:v>0</x:v>
      </x:c>
      <x:c r="Y13" s="25" t="n">
        <x:v>0</x:v>
      </x:c>
      <x:c r="Z13" s="25" t="n">
        <x:v>0</x:v>
      </x:c>
      <x:c r="AA13" s="39" t="n">
        <x:f>IF(A13="","",U13-SUM(V13,X13:Z13))</x:f>
        <x:v>0</x:v>
      </x:c>
      <x:c r="AB13" s="39" t="n">
        <x:f>IF(A13="","",IF(N13="SETUP",IFERROR(INDEX('04_KE_HOACH_CD'!$K$6:$K$305,MATCH(K13,'04_KE_HOACH_CD'!$G$6:$G$305,0)),0),IF(OR(N13="PRODUCTION",N13="REWORK"),IFERROR(INDEX('04_KE_HOACH_CD'!$L$6:$L$305,MATCH(K13,'04_KE_HOACH_CD'!$G$6:$G$305,0))*V13,0),0)))</x:f>
        <x:v>150</x:v>
      </x:c>
      <x:c r="AC13" s="39" t="n">
        <x:f>IF(A13="","",MAX(0,(P13-O13)*1440-Q13))</x:f>
        <x:v>135.00000000698492</x:v>
      </x:c>
      <x:c r="AD13" s="37" t="n">
        <x:f>IF(A13="","",IFERROR(AB13/AC13,0))</x:f>
        <x:v>1.111111111053622</x:v>
      </x:c>
      <x:c r="AE13" s="33" t="n">
        <x:f>IF(A13="","",AC13/60*SUMIF(DM_NHAN_SU!$A$6:$A$105,L13,DM_NHAN_SU!$E$6:$E$105))</x:f>
        <x:v>157500.00000814907</x:v>
      </x:c>
      <x:c r="AF13" s="33" t="n">
        <x:f>IF(A13="","",AC13/60*SUMIF(DM_MAY!$A$6:$A$105,M13,DM_MAY!$F$6:$F$105))</x:f>
        <x:v>202500.00001047738</x:v>
      </x:c>
      <x:c r="AG13" s="33" t="n">
        <x:f>IF(A13="","",AE13+AF13)</x:f>
        <x:v>360000.00001862645</x:v>
      </x:c>
      <x:c r="AH13" s="21" t="str">
        <x:v>Đã duyệt</x:v>
      </x:c>
      <x:c r="AI13" s="29" t="str">
        <x:f>IF(A13="","",IF(OR(B13="",D13="",E13="",I13="",L13="",N13="",O13="",P13=""),"Thiếu dữ liệu",IF(AND(OR(N13="PRODUCTION",N13="REWORK",N13="SETUP"),M13=""),"Thiếu máy",IF(P13&lt;O13,"Sai thời gian",IF(AA13&lt;&gt;0,"Sai cân đối SL","Hợp lệ")))))</x:f>
        <x:v>Hợp lệ</x:v>
      </x:c>
      <x:c r="AJ13" s="21" t="str">
        <x:v>Tạo phôi</x:v>
      </x:c>
    </x:row>
    <x:row r="14">
      <x:c r="A14" s="21" t="str">
        <x:v>RUN-009</x:v>
      </x:c>
      <x:c r="B14" s="35" t="n">
        <x:v>46270</x:v>
      </x:c>
      <x:c r="C14" s="21" t="str">
        <x:v>CA1</x:v>
      </x:c>
      <x:c r="D14" s="21" t="str">
        <x:v>SWT2603-001</x:v>
      </x:c>
      <x:c r="E14" s="21" t="str">
        <x:v>950340030</x:v>
      </x:c>
      <x:c r="F14" s="21" t="str">
        <x:v>A</x:v>
      </x:c>
      <x:c r="G14" s="21" t="str">
        <x:v>01</x:v>
      </x:c>
      <x:c r="H14" s="29" t="str">
        <x:f>IF(OR(D14="",E14=""),"",D14&amp;"|"&amp;E14&amp;"|"&amp;IF(F14="","00",F14)&amp;"|"&amp;IF(G14="","01",G14))</x:f>
        <x:v>SWT2603-001|950340030|A|01</x:v>
      </x:c>
      <x:c r="I14" s="21" t="n">
        <x:v>20</x:v>
      </x:c>
      <x:c r="J14" s="29" t="str">
        <x:f>IF(K14="","",IFERROR(INDEX('04_KE_HOACH_CD'!$I$6:$I$305,MATCH(K14,'04_KE_HOACH_CD'!$G$6:$G$305,0)),""))</x:f>
        <x:v>TAO_PHOI</x:v>
      </x:c>
      <x:c r="K14" s="29" t="str">
        <x:f>IF(OR(H14="",I14=""),"",H14&amp;"|"&amp;TEXT(I14,"000"))</x:f>
        <x:v>SWT2603-001|950340030|A|01|020</x:v>
      </x:c>
      <x:c r="L14" s="21" t="str">
        <x:v>NV-1575</x:v>
      </x:c>
      <x:c r="M14" s="21" t="str">
        <x:v>MC-MILL-01</x:v>
      </x:c>
      <x:c r="N14" s="21" t="str">
        <x:v>PRODUCTION</x:v>
      </x:c>
      <x:c r="O14" s="43" t="n">
        <x:v>46270.256944444445</x:v>
      </x:c>
      <x:c r="P14" s="43" t="n">
        <x:v>46270.5625</x:v>
      </x:c>
      <x:c r="Q14" s="25" t="n">
        <x:v>45</x:v>
      </x:c>
      <x:c r="R14" s="25" t="n">
        <x:v>0</x:v>
      </x:c>
      <x:c r="S14" s="39" t="n">
        <x:f>IF(A14="","",SUMIF('07_DUNG_CHO'!$B$6:$B$505,A14,'07_DUNG_CHO'!$E$6:$E$505))</x:f>
        <x:v>30.00000000349246</x:v>
      </x:c>
      <x:c r="T14" s="39" t="n">
        <x:f>IF(A14="","",IF(N14="SETUP",0,MAX(0,(P14-O14)*1440-Q14-S14)))</x:f>
        <x:v>364.9999999953434</x:v>
      </x:c>
      <x:c r="U14" s="25" t="n">
        <x:v>25</x:v>
      </x:c>
      <x:c r="V14" s="25" t="n">
        <x:v>24</x:v>
      </x:c>
      <x:c r="W14" s="25" t="n">
        <x:v>24</x:v>
      </x:c>
      <x:c r="X14" s="25" t="n">
        <x:v>1</x:v>
      </x:c>
      <x:c r="Y14" s="25" t="n">
        <x:v>0</x:v>
      </x:c>
      <x:c r="Z14" s="25" t="n">
        <x:v>0</x:v>
      </x:c>
      <x:c r="AA14" s="39" t="n">
        <x:f>IF(A14="","",U14-SUM(V14,X14:Z14))</x:f>
        <x:v>0</x:v>
      </x:c>
      <x:c r="AB14" s="39" t="n">
        <x:f>IF(A14="","",IF(N14="SETUP",IFERROR(INDEX('04_KE_HOACH_CD'!$K$6:$K$305,MATCH(K14,'04_KE_HOACH_CD'!$G$6:$G$305,0)),0),IF(OR(N14="PRODUCTION",N14="REWORK"),IFERROR(INDEX('04_KE_HOACH_CD'!$L$6:$L$305,MATCH(K14,'04_KE_HOACH_CD'!$G$6:$G$305,0))*V14,0),0)))</x:f>
        <x:v>120</x:v>
      </x:c>
      <x:c r="AC14" s="39" t="n">
        <x:f>IF(A14="","",MAX(0,(P14-O14)*1440-Q14))</x:f>
        <x:v>394.99999999883585</x:v>
      </x:c>
      <x:c r="AD14" s="37" t="n">
        <x:f>IF(A14="","",IFERROR(AB14/AC14,0))</x:f>
        <x:v>0.30379746835532573</x:v>
      </x:c>
      <x:c r="AE14" s="33" t="n">
        <x:f>IF(A14="","",AC14/60*SUMIF(DM_NHAN_SU!$A$6:$A$105,L14,DM_NHAN_SU!$E$6:$E$105))</x:f>
        <x:v>460833.33333197515</x:v>
      </x:c>
      <x:c r="AF14" s="33" t="n">
        <x:f>IF(A14="","",AC14/60*SUMIF(DM_MAY!$A$6:$A$105,M14,DM_MAY!$F$6:$F$105))</x:f>
        <x:v>1974999.9999941792</x:v>
      </x:c>
      <x:c r="AG14" s="33" t="n">
        <x:f>IF(A14="","",AE14+AF14)</x:f>
        <x:v>2435833.3333261544</x:v>
      </x:c>
      <x:c r="AH14" s="21" t="str">
        <x:v>Đã duyệt</x:v>
      </x:c>
      <x:c r="AI14" s="29" t="str">
        <x:f>IF(A14="","",IF(OR(B14="",D14="",E14="",I14="",L14="",N14="",O14="",P14=""),"Thiếu dữ liệu",IF(AND(OR(N14="PRODUCTION",N14="REWORK",N14="SETUP"),M14=""),"Thiếu máy",IF(P14&lt;O14,"Sai thời gian",IF(AA14&lt;&gt;0,"Sai cân đối SL","Hợp lệ")))))</x:f>
        <x:v>Hợp lệ</x:v>
      </x:c>
      <x:c r="AJ14" s="21" t="str">
        <x:v>Còn 5 chi tiết</x:v>
      </x:c>
    </x:row>
    <x:row r="15">
      <x:c r="A15" s="21"/>
      <x:c r="B15" s="35"/>
      <x:c r="C15" s="21"/>
      <x:c r="D15" s="21"/>
      <x:c r="E15" s="21"/>
      <x:c r="F15" s="21"/>
      <x:c r="G15" s="21"/>
      <x:c r="H15" s="29" t="str">
        <x:f>IF(OR(D15="",E15=""),"",D15&amp;"|"&amp;E15&amp;"|"&amp;IF(F15="","00",F15)&amp;"|"&amp;IF(G15="","01",G15))</x:f>
      </x:c>
      <x:c r="I15" s="21"/>
      <x:c r="J15" s="29" t="str">
        <x:f>IF(K15="","",IFERROR(INDEX('04_KE_HOACH_CD'!$I$6:$I$305,MATCH(K15,'04_KE_HOACH_CD'!$G$6:$G$305,0)),""))</x:f>
      </x:c>
      <x:c r="K15" s="29" t="str">
        <x:f>IF(OR(H15="",I15=""),"",H15&amp;"|"&amp;TEXT(I15,"000"))</x:f>
      </x:c>
      <x:c r="L15" s="21"/>
      <x:c r="M15" s="21"/>
      <x:c r="N15" s="21"/>
      <x:c r="O15" s="43"/>
      <x:c r="P15" s="43"/>
      <x:c r="Q15" s="25"/>
      <x:c r="R15" s="25"/>
      <x:c r="S15" s="39" t="str">
        <x:f>IF(A15="","",SUMIF('07_DUNG_CHO'!$B$6:$B$505,A15,'07_DUNG_CHO'!$E$6:$E$505))</x:f>
      </x:c>
      <x:c r="T15" s="39" t="str">
        <x:f>IF(A15="","",IF(N15="SETUP",0,MAX(0,(P15-O15)*1440-Q15-S15)))</x:f>
      </x:c>
      <x:c r="U15" s="25"/>
      <x:c r="V15" s="25"/>
      <x:c r="W15" s="25"/>
      <x:c r="X15" s="25"/>
      <x:c r="Y15" s="25"/>
      <x:c r="Z15" s="25"/>
      <x:c r="AA15" s="39" t="str">
        <x:f>IF(A15="","",U15-SUM(V15,X15:Z15))</x:f>
      </x:c>
      <x:c r="AB15" s="39" t="str">
        <x:f>IF(A15="","",IF(N15="SETUP",IFERROR(INDEX('04_KE_HOACH_CD'!$K$6:$K$305,MATCH(K15,'04_KE_HOACH_CD'!$G$6:$G$305,0)),0),IF(OR(N15="PRODUCTION",N15="REWORK"),IFERROR(INDEX('04_KE_HOACH_CD'!$L$6:$L$305,MATCH(K15,'04_KE_HOACH_CD'!$G$6:$G$305,0))*V15,0),0)))</x:f>
      </x:c>
      <x:c r="AC15" s="39" t="str">
        <x:f>IF(A15="","",MAX(0,(P15-O15)*1440-Q15))</x:f>
      </x:c>
      <x:c r="AD15" s="37" t="str">
        <x:f>IF(A15="","",IFERROR(AB15/AC15,0))</x:f>
      </x:c>
      <x:c r="AE15" s="33" t="str">
        <x:f>IF(A15="","",AC15/60*SUMIF(DM_NHAN_SU!$A$6:$A$105,L15,DM_NHAN_SU!$E$6:$E$105))</x:f>
      </x:c>
      <x:c r="AF15" s="33" t="str">
        <x:f>IF(A15="","",AC15/60*SUMIF(DM_MAY!$A$6:$A$105,M15,DM_MAY!$F$6:$F$105))</x:f>
      </x:c>
      <x:c r="AG15" s="33" t="str">
        <x:f>IF(A15="","",AE15+AF15)</x:f>
      </x:c>
      <x:c r="AH15" s="21"/>
      <x:c r="AI15" s="29" t="str">
        <x:f>IF(A15="","",IF(OR(B15="",D15="",E15="",I15="",L15="",N15="",O15="",P15=""),"Thiếu dữ liệu",IF(AND(OR(N15="PRODUCTION",N15="REWORK",N15="SETUP"),M15=""),"Thiếu máy",IF(P15&lt;O15,"Sai thời gian",IF(AA15&lt;&gt;0,"Sai cân đối SL","Hợp lệ")))))</x:f>
      </x:c>
      <x:c r="AJ15" s="21"/>
    </x:row>
    <x:row r="16">
      <x:c r="A16" s="21"/>
      <x:c r="B16" s="35"/>
      <x:c r="C16" s="21"/>
      <x:c r="D16" s="21"/>
      <x:c r="E16" s="21"/>
      <x:c r="F16" s="21"/>
      <x:c r="G16" s="21"/>
      <x:c r="H16" s="29" t="str">
        <x:f>IF(OR(D16="",E16=""),"",D16&amp;"|"&amp;E16&amp;"|"&amp;IF(F16="","00",F16)&amp;"|"&amp;IF(G16="","01",G16))</x:f>
      </x:c>
      <x:c r="I16" s="21"/>
      <x:c r="J16" s="29" t="str">
        <x:f>IF(K16="","",IFERROR(INDEX('04_KE_HOACH_CD'!$I$6:$I$305,MATCH(K16,'04_KE_HOACH_CD'!$G$6:$G$305,0)),""))</x:f>
      </x:c>
      <x:c r="K16" s="29" t="str">
        <x:f>IF(OR(H16="",I16=""),"",H16&amp;"|"&amp;TEXT(I16,"000"))</x:f>
      </x:c>
      <x:c r="L16" s="21"/>
      <x:c r="M16" s="21"/>
      <x:c r="N16" s="21"/>
      <x:c r="O16" s="43"/>
      <x:c r="P16" s="43"/>
      <x:c r="Q16" s="25"/>
      <x:c r="R16" s="25"/>
      <x:c r="S16" s="39" t="str">
        <x:f>IF(A16="","",SUMIF('07_DUNG_CHO'!$B$6:$B$505,A16,'07_DUNG_CHO'!$E$6:$E$505))</x:f>
      </x:c>
      <x:c r="T16" s="39" t="str">
        <x:f>IF(A16="","",IF(N16="SETUP",0,MAX(0,(P16-O16)*1440-Q16-S16)))</x:f>
      </x:c>
      <x:c r="U16" s="25"/>
      <x:c r="V16" s="25"/>
      <x:c r="W16" s="25"/>
      <x:c r="X16" s="25"/>
      <x:c r="Y16" s="25"/>
      <x:c r="Z16" s="25"/>
      <x:c r="AA16" s="39" t="str">
        <x:f>IF(A16="","",U16-SUM(V16,X16:Z16))</x:f>
      </x:c>
      <x:c r="AB16" s="39" t="str">
        <x:f>IF(A16="","",IF(N16="SETUP",IFERROR(INDEX('04_KE_HOACH_CD'!$K$6:$K$305,MATCH(K16,'04_KE_HOACH_CD'!$G$6:$G$305,0)),0),IF(OR(N16="PRODUCTION",N16="REWORK"),IFERROR(INDEX('04_KE_HOACH_CD'!$L$6:$L$305,MATCH(K16,'04_KE_HOACH_CD'!$G$6:$G$305,0))*V16,0),0)))</x:f>
      </x:c>
      <x:c r="AC16" s="39" t="str">
        <x:f>IF(A16="","",MAX(0,(P16-O16)*1440-Q16))</x:f>
      </x:c>
      <x:c r="AD16" s="37" t="str">
        <x:f>IF(A16="","",IFERROR(AB16/AC16,0))</x:f>
      </x:c>
      <x:c r="AE16" s="33" t="str">
        <x:f>IF(A16="","",AC16/60*SUMIF(DM_NHAN_SU!$A$6:$A$105,L16,DM_NHAN_SU!$E$6:$E$105))</x:f>
      </x:c>
      <x:c r="AF16" s="33" t="str">
        <x:f>IF(A16="","",AC16/60*SUMIF(DM_MAY!$A$6:$A$105,M16,DM_MAY!$F$6:$F$105))</x:f>
      </x:c>
      <x:c r="AG16" s="33" t="str">
        <x:f>IF(A16="","",AE16+AF16)</x:f>
      </x:c>
      <x:c r="AH16" s="21"/>
      <x:c r="AI16" s="29" t="str">
        <x:f>IF(A16="","",IF(OR(B16="",D16="",E16="",I16="",L16="",N16="",O16="",P16=""),"Thiếu dữ liệu",IF(AND(OR(N16="PRODUCTION",N16="REWORK",N16="SETUP"),M16=""),"Thiếu máy",IF(P16&lt;O16,"Sai thời gian",IF(AA16&lt;&gt;0,"Sai cân đối SL","Hợp lệ")))))</x:f>
      </x:c>
      <x:c r="AJ16" s="21"/>
    </x:row>
    <x:row r="17">
      <x:c r="A17" s="21"/>
      <x:c r="B17" s="35"/>
      <x:c r="C17" s="21"/>
      <x:c r="D17" s="21"/>
      <x:c r="E17" s="21"/>
      <x:c r="F17" s="21"/>
      <x:c r="G17" s="21"/>
      <x:c r="H17" s="29" t="str">
        <x:f>IF(OR(D17="",E17=""),"",D17&amp;"|"&amp;E17&amp;"|"&amp;IF(F17="","00",F17)&amp;"|"&amp;IF(G17="","01",G17))</x:f>
      </x:c>
      <x:c r="I17" s="21"/>
      <x:c r="J17" s="29" t="str">
        <x:f>IF(K17="","",IFERROR(INDEX('04_KE_HOACH_CD'!$I$6:$I$305,MATCH(K17,'04_KE_HOACH_CD'!$G$6:$G$305,0)),""))</x:f>
      </x:c>
      <x:c r="K17" s="29" t="str">
        <x:f>IF(OR(H17="",I17=""),"",H17&amp;"|"&amp;TEXT(I17,"000"))</x:f>
      </x:c>
      <x:c r="L17" s="21"/>
      <x:c r="M17" s="21"/>
      <x:c r="N17" s="21"/>
      <x:c r="O17" s="43"/>
      <x:c r="P17" s="43"/>
      <x:c r="Q17" s="25"/>
      <x:c r="R17" s="25"/>
      <x:c r="S17" s="39" t="str">
        <x:f>IF(A17="","",SUMIF('07_DUNG_CHO'!$B$6:$B$505,A17,'07_DUNG_CHO'!$E$6:$E$505))</x:f>
      </x:c>
      <x:c r="T17" s="39" t="str">
        <x:f>IF(A17="","",IF(N17="SETUP",0,MAX(0,(P17-O17)*1440-Q17-S17)))</x:f>
      </x:c>
      <x:c r="U17" s="25"/>
      <x:c r="V17" s="25"/>
      <x:c r="W17" s="25"/>
      <x:c r="X17" s="25"/>
      <x:c r="Y17" s="25"/>
      <x:c r="Z17" s="25"/>
      <x:c r="AA17" s="39" t="str">
        <x:f>IF(A17="","",U17-SUM(V17,X17:Z17))</x:f>
      </x:c>
      <x:c r="AB17" s="39" t="str">
        <x:f>IF(A17="","",IF(N17="SETUP",IFERROR(INDEX('04_KE_HOACH_CD'!$K$6:$K$305,MATCH(K17,'04_KE_HOACH_CD'!$G$6:$G$305,0)),0),IF(OR(N17="PRODUCTION",N17="REWORK"),IFERROR(INDEX('04_KE_HOACH_CD'!$L$6:$L$305,MATCH(K17,'04_KE_HOACH_CD'!$G$6:$G$305,0))*V17,0),0)))</x:f>
      </x:c>
      <x:c r="AC17" s="39" t="str">
        <x:f>IF(A17="","",MAX(0,(P17-O17)*1440-Q17))</x:f>
      </x:c>
      <x:c r="AD17" s="37" t="str">
        <x:f>IF(A17="","",IFERROR(AB17/AC17,0))</x:f>
      </x:c>
      <x:c r="AE17" s="33" t="str">
        <x:f>IF(A17="","",AC17/60*SUMIF(DM_NHAN_SU!$A$6:$A$105,L17,DM_NHAN_SU!$E$6:$E$105))</x:f>
      </x:c>
      <x:c r="AF17" s="33" t="str">
        <x:f>IF(A17="","",AC17/60*SUMIF(DM_MAY!$A$6:$A$105,M17,DM_MAY!$F$6:$F$105))</x:f>
      </x:c>
      <x:c r="AG17" s="33" t="str">
        <x:f>IF(A17="","",AE17+AF17)</x:f>
      </x:c>
      <x:c r="AH17" s="21"/>
      <x:c r="AI17" s="29" t="str">
        <x:f>IF(A17="","",IF(OR(B17="",D17="",E17="",I17="",L17="",N17="",O17="",P17=""),"Thiếu dữ liệu",IF(AND(OR(N17="PRODUCTION",N17="REWORK",N17="SETUP"),M17=""),"Thiếu máy",IF(P17&lt;O17,"Sai thời gian",IF(AA17&lt;&gt;0,"Sai cân đối SL","Hợp lệ")))))</x:f>
      </x:c>
      <x:c r="AJ17" s="21"/>
    </x:row>
    <x:row r="18">
      <x:c r="A18" s="21"/>
      <x:c r="B18" s="35"/>
      <x:c r="C18" s="21"/>
      <x:c r="D18" s="21"/>
      <x:c r="E18" s="21"/>
      <x:c r="F18" s="21"/>
      <x:c r="G18" s="21"/>
      <x:c r="H18" s="29" t="str">
        <x:f>IF(OR(D18="",E18=""),"",D18&amp;"|"&amp;E18&amp;"|"&amp;IF(F18="","00",F18)&amp;"|"&amp;IF(G18="","01",G18))</x:f>
      </x:c>
      <x:c r="I18" s="21"/>
      <x:c r="J18" s="29" t="str">
        <x:f>IF(K18="","",IFERROR(INDEX('04_KE_HOACH_CD'!$I$6:$I$305,MATCH(K18,'04_KE_HOACH_CD'!$G$6:$G$305,0)),""))</x:f>
      </x:c>
      <x:c r="K18" s="29" t="str">
        <x:f>IF(OR(H18="",I18=""),"",H18&amp;"|"&amp;TEXT(I18,"000"))</x:f>
      </x:c>
      <x:c r="L18" s="21"/>
      <x:c r="M18" s="21"/>
      <x:c r="N18" s="21"/>
      <x:c r="O18" s="43"/>
      <x:c r="P18" s="43"/>
      <x:c r="Q18" s="25"/>
      <x:c r="R18" s="25"/>
      <x:c r="S18" s="39" t="str">
        <x:f>IF(A18="","",SUMIF('07_DUNG_CHO'!$B$6:$B$505,A18,'07_DUNG_CHO'!$E$6:$E$505))</x:f>
      </x:c>
      <x:c r="T18" s="39" t="str">
        <x:f>IF(A18="","",IF(N18="SETUP",0,MAX(0,(P18-O18)*1440-Q18-S18)))</x:f>
      </x:c>
      <x:c r="U18" s="25"/>
      <x:c r="V18" s="25"/>
      <x:c r="W18" s="25"/>
      <x:c r="X18" s="25"/>
      <x:c r="Y18" s="25"/>
      <x:c r="Z18" s="25"/>
      <x:c r="AA18" s="39" t="str">
        <x:f>IF(A18="","",U18-SUM(V18,X18:Z18))</x:f>
      </x:c>
      <x:c r="AB18" s="39" t="str">
        <x:f>IF(A18="","",IF(N18="SETUP",IFERROR(INDEX('04_KE_HOACH_CD'!$K$6:$K$305,MATCH(K18,'04_KE_HOACH_CD'!$G$6:$G$305,0)),0),IF(OR(N18="PRODUCTION",N18="REWORK"),IFERROR(INDEX('04_KE_HOACH_CD'!$L$6:$L$305,MATCH(K18,'04_KE_HOACH_CD'!$G$6:$G$305,0))*V18,0),0)))</x:f>
      </x:c>
      <x:c r="AC18" s="39" t="str">
        <x:f>IF(A18="","",MAX(0,(P18-O18)*1440-Q18))</x:f>
      </x:c>
      <x:c r="AD18" s="37" t="str">
        <x:f>IF(A18="","",IFERROR(AB18/AC18,0))</x:f>
      </x:c>
      <x:c r="AE18" s="33" t="str">
        <x:f>IF(A18="","",AC18/60*SUMIF(DM_NHAN_SU!$A$6:$A$105,L18,DM_NHAN_SU!$E$6:$E$105))</x:f>
      </x:c>
      <x:c r="AF18" s="33" t="str">
        <x:f>IF(A18="","",AC18/60*SUMIF(DM_MAY!$A$6:$A$105,M18,DM_MAY!$F$6:$F$105))</x:f>
      </x:c>
      <x:c r="AG18" s="33" t="str">
        <x:f>IF(A18="","",AE18+AF18)</x:f>
      </x:c>
      <x:c r="AH18" s="21"/>
      <x:c r="AI18" s="29" t="str">
        <x:f>IF(A18="","",IF(OR(B18="",D18="",E18="",I18="",L18="",N18="",O18="",P18=""),"Thiếu dữ liệu",IF(AND(OR(N18="PRODUCTION",N18="REWORK",N18="SETUP"),M18=""),"Thiếu máy",IF(P18&lt;O18,"Sai thời gian",IF(AA18&lt;&gt;0,"Sai cân đối SL","Hợp lệ")))))</x:f>
      </x:c>
      <x:c r="AJ18" s="21"/>
    </x:row>
    <x:row r="19">
      <x:c r="A19" s="21"/>
      <x:c r="B19" s="35"/>
      <x:c r="C19" s="21"/>
      <x:c r="D19" s="21"/>
      <x:c r="E19" s="21"/>
      <x:c r="F19" s="21"/>
      <x:c r="G19" s="21"/>
      <x:c r="H19" s="29" t="str">
        <x:f>IF(OR(D19="",E19=""),"",D19&amp;"|"&amp;E19&amp;"|"&amp;IF(F19="","00",F19)&amp;"|"&amp;IF(G19="","01",G19))</x:f>
      </x:c>
      <x:c r="I19" s="21"/>
      <x:c r="J19" s="29" t="str">
        <x:f>IF(K19="","",IFERROR(INDEX('04_KE_HOACH_CD'!$I$6:$I$305,MATCH(K19,'04_KE_HOACH_CD'!$G$6:$G$305,0)),""))</x:f>
      </x:c>
      <x:c r="K19" s="29" t="str">
        <x:f>IF(OR(H19="",I19=""),"",H19&amp;"|"&amp;TEXT(I19,"000"))</x:f>
      </x:c>
      <x:c r="L19" s="21"/>
      <x:c r="M19" s="21"/>
      <x:c r="N19" s="21"/>
      <x:c r="O19" s="43"/>
      <x:c r="P19" s="43"/>
      <x:c r="Q19" s="25"/>
      <x:c r="R19" s="25"/>
      <x:c r="S19" s="39" t="str">
        <x:f>IF(A19="","",SUMIF('07_DUNG_CHO'!$B$6:$B$505,A19,'07_DUNG_CHO'!$E$6:$E$505))</x:f>
      </x:c>
      <x:c r="T19" s="39" t="str">
        <x:f>IF(A19="","",IF(N19="SETUP",0,MAX(0,(P19-O19)*1440-Q19-S19)))</x:f>
      </x:c>
      <x:c r="U19" s="25"/>
      <x:c r="V19" s="25"/>
      <x:c r="W19" s="25"/>
      <x:c r="X19" s="25"/>
      <x:c r="Y19" s="25"/>
      <x:c r="Z19" s="25"/>
      <x:c r="AA19" s="39" t="str">
        <x:f>IF(A19="","",U19-SUM(V19,X19:Z19))</x:f>
      </x:c>
      <x:c r="AB19" s="39" t="str">
        <x:f>IF(A19="","",IF(N19="SETUP",IFERROR(INDEX('04_KE_HOACH_CD'!$K$6:$K$305,MATCH(K19,'04_KE_HOACH_CD'!$G$6:$G$305,0)),0),IF(OR(N19="PRODUCTION",N19="REWORK"),IFERROR(INDEX('04_KE_HOACH_CD'!$L$6:$L$305,MATCH(K19,'04_KE_HOACH_CD'!$G$6:$G$305,0))*V19,0),0)))</x:f>
      </x:c>
      <x:c r="AC19" s="39" t="str">
        <x:f>IF(A19="","",MAX(0,(P19-O19)*1440-Q19))</x:f>
      </x:c>
      <x:c r="AD19" s="37" t="str">
        <x:f>IF(A19="","",IFERROR(AB19/AC19,0))</x:f>
      </x:c>
      <x:c r="AE19" s="33" t="str">
        <x:f>IF(A19="","",AC19/60*SUMIF(DM_NHAN_SU!$A$6:$A$105,L19,DM_NHAN_SU!$E$6:$E$105))</x:f>
      </x:c>
      <x:c r="AF19" s="33" t="str">
        <x:f>IF(A19="","",AC19/60*SUMIF(DM_MAY!$A$6:$A$105,M19,DM_MAY!$F$6:$F$105))</x:f>
      </x:c>
      <x:c r="AG19" s="33" t="str">
        <x:f>IF(A19="","",AE19+AF19)</x:f>
      </x:c>
      <x:c r="AH19" s="21"/>
      <x:c r="AI19" s="29" t="str">
        <x:f>IF(A19="","",IF(OR(B19="",D19="",E19="",I19="",L19="",N19="",O19="",P19=""),"Thiếu dữ liệu",IF(AND(OR(N19="PRODUCTION",N19="REWORK",N19="SETUP"),M19=""),"Thiếu máy",IF(P19&lt;O19,"Sai thời gian",IF(AA19&lt;&gt;0,"Sai cân đối SL","Hợp lệ")))))</x:f>
      </x:c>
      <x:c r="AJ19" s="21"/>
    </x:row>
    <x:row r="20">
      <x:c r="A20" s="21"/>
      <x:c r="B20" s="35"/>
      <x:c r="C20" s="21"/>
      <x:c r="D20" s="21"/>
      <x:c r="E20" s="21"/>
      <x:c r="F20" s="21"/>
      <x:c r="G20" s="21"/>
      <x:c r="H20" s="29" t="str">
        <x:f>IF(OR(D20="",E20=""),"",D20&amp;"|"&amp;E20&amp;"|"&amp;IF(F20="","00",F20)&amp;"|"&amp;IF(G20="","01",G20))</x:f>
      </x:c>
      <x:c r="I20" s="21"/>
      <x:c r="J20" s="29" t="str">
        <x:f>IF(K20="","",IFERROR(INDEX('04_KE_HOACH_CD'!$I$6:$I$305,MATCH(K20,'04_KE_HOACH_CD'!$G$6:$G$305,0)),""))</x:f>
      </x:c>
      <x:c r="K20" s="29" t="str">
        <x:f>IF(OR(H20="",I20=""),"",H20&amp;"|"&amp;TEXT(I20,"000"))</x:f>
      </x:c>
      <x:c r="L20" s="21"/>
      <x:c r="M20" s="21"/>
      <x:c r="N20" s="21"/>
      <x:c r="O20" s="43"/>
      <x:c r="P20" s="43"/>
      <x:c r="Q20" s="25"/>
      <x:c r="R20" s="25"/>
      <x:c r="S20" s="39" t="str">
        <x:f>IF(A20="","",SUMIF('07_DUNG_CHO'!$B$6:$B$505,A20,'07_DUNG_CHO'!$E$6:$E$505))</x:f>
      </x:c>
      <x:c r="T20" s="39" t="str">
        <x:f>IF(A20="","",IF(N20="SETUP",0,MAX(0,(P20-O20)*1440-Q20-S20)))</x:f>
      </x:c>
      <x:c r="U20" s="25"/>
      <x:c r="V20" s="25"/>
      <x:c r="W20" s="25"/>
      <x:c r="X20" s="25"/>
      <x:c r="Y20" s="25"/>
      <x:c r="Z20" s="25"/>
      <x:c r="AA20" s="39" t="str">
        <x:f>IF(A20="","",U20-SUM(V20,X20:Z20))</x:f>
      </x:c>
      <x:c r="AB20" s="39" t="str">
        <x:f>IF(A20="","",IF(N20="SETUP",IFERROR(INDEX('04_KE_HOACH_CD'!$K$6:$K$305,MATCH(K20,'04_KE_HOACH_CD'!$G$6:$G$305,0)),0),IF(OR(N20="PRODUCTION",N20="REWORK"),IFERROR(INDEX('04_KE_HOACH_CD'!$L$6:$L$305,MATCH(K20,'04_KE_HOACH_CD'!$G$6:$G$305,0))*V20,0),0)))</x:f>
      </x:c>
      <x:c r="AC20" s="39" t="str">
        <x:f>IF(A20="","",MAX(0,(P20-O20)*1440-Q20))</x:f>
      </x:c>
      <x:c r="AD20" s="37" t="str">
        <x:f>IF(A20="","",IFERROR(AB20/AC20,0))</x:f>
      </x:c>
      <x:c r="AE20" s="33" t="str">
        <x:f>IF(A20="","",AC20/60*SUMIF(DM_NHAN_SU!$A$6:$A$105,L20,DM_NHAN_SU!$E$6:$E$105))</x:f>
      </x:c>
      <x:c r="AF20" s="33" t="str">
        <x:f>IF(A20="","",AC20/60*SUMIF(DM_MAY!$A$6:$A$105,M20,DM_MAY!$F$6:$F$105))</x:f>
      </x:c>
      <x:c r="AG20" s="33" t="str">
        <x:f>IF(A20="","",AE20+AF20)</x:f>
      </x:c>
      <x:c r="AH20" s="21"/>
      <x:c r="AI20" s="29" t="str">
        <x:f>IF(A20="","",IF(OR(B20="",D20="",E20="",I20="",L20="",N20="",O20="",P20=""),"Thiếu dữ liệu",IF(AND(OR(N20="PRODUCTION",N20="REWORK",N20="SETUP"),M20=""),"Thiếu máy",IF(P20&lt;O20,"Sai thời gian",IF(AA20&lt;&gt;0,"Sai cân đối SL","Hợp lệ")))))</x:f>
      </x:c>
      <x:c r="AJ20" s="21"/>
    </x:row>
    <x:row r="21">
      <x:c r="A21" s="21"/>
      <x:c r="B21" s="35"/>
      <x:c r="C21" s="21"/>
      <x:c r="D21" s="21"/>
      <x:c r="E21" s="21"/>
      <x:c r="F21" s="21"/>
      <x:c r="G21" s="21"/>
      <x:c r="H21" s="29" t="str">
        <x:f>IF(OR(D21="",E21=""),"",D21&amp;"|"&amp;E21&amp;"|"&amp;IF(F21="","00",F21)&amp;"|"&amp;IF(G21="","01",G21))</x:f>
      </x:c>
      <x:c r="I21" s="21"/>
      <x:c r="J21" s="29" t="str">
        <x:f>IF(K21="","",IFERROR(INDEX('04_KE_HOACH_CD'!$I$6:$I$305,MATCH(K21,'04_KE_HOACH_CD'!$G$6:$G$305,0)),""))</x:f>
      </x:c>
      <x:c r="K21" s="29" t="str">
        <x:f>IF(OR(H21="",I21=""),"",H21&amp;"|"&amp;TEXT(I21,"000"))</x:f>
      </x:c>
      <x:c r="L21" s="21"/>
      <x:c r="M21" s="21"/>
      <x:c r="N21" s="21"/>
      <x:c r="O21" s="43"/>
      <x:c r="P21" s="43"/>
      <x:c r="Q21" s="25"/>
      <x:c r="R21" s="25"/>
      <x:c r="S21" s="39" t="str">
        <x:f>IF(A21="","",SUMIF('07_DUNG_CHO'!$B$6:$B$505,A21,'07_DUNG_CHO'!$E$6:$E$505))</x:f>
      </x:c>
      <x:c r="T21" s="39" t="str">
        <x:f>IF(A21="","",IF(N21="SETUP",0,MAX(0,(P21-O21)*1440-Q21-S21)))</x:f>
      </x:c>
      <x:c r="U21" s="25"/>
      <x:c r="V21" s="25"/>
      <x:c r="W21" s="25"/>
      <x:c r="X21" s="25"/>
      <x:c r="Y21" s="25"/>
      <x:c r="Z21" s="25"/>
      <x:c r="AA21" s="39" t="str">
        <x:f>IF(A21="","",U21-SUM(V21,X21:Z21))</x:f>
      </x:c>
      <x:c r="AB21" s="39" t="str">
        <x:f>IF(A21="","",IF(N21="SETUP",IFERROR(INDEX('04_KE_HOACH_CD'!$K$6:$K$305,MATCH(K21,'04_KE_HOACH_CD'!$G$6:$G$305,0)),0),IF(OR(N21="PRODUCTION",N21="REWORK"),IFERROR(INDEX('04_KE_HOACH_CD'!$L$6:$L$305,MATCH(K21,'04_KE_HOACH_CD'!$G$6:$G$305,0))*V21,0),0)))</x:f>
      </x:c>
      <x:c r="AC21" s="39" t="str">
        <x:f>IF(A21="","",MAX(0,(P21-O21)*1440-Q21))</x:f>
      </x:c>
      <x:c r="AD21" s="37" t="str">
        <x:f>IF(A21="","",IFERROR(AB21/AC21,0))</x:f>
      </x:c>
      <x:c r="AE21" s="33" t="str">
        <x:f>IF(A21="","",AC21/60*SUMIF(DM_NHAN_SU!$A$6:$A$105,L21,DM_NHAN_SU!$E$6:$E$105))</x:f>
      </x:c>
      <x:c r="AF21" s="33" t="str">
        <x:f>IF(A21="","",AC21/60*SUMIF(DM_MAY!$A$6:$A$105,M21,DM_MAY!$F$6:$F$105))</x:f>
      </x:c>
      <x:c r="AG21" s="33" t="str">
        <x:f>IF(A21="","",AE21+AF21)</x:f>
      </x:c>
      <x:c r="AH21" s="21"/>
      <x:c r="AI21" s="29" t="str">
        <x:f>IF(A21="","",IF(OR(B21="",D21="",E21="",I21="",L21="",N21="",O21="",P21=""),"Thiếu dữ liệu",IF(AND(OR(N21="PRODUCTION",N21="REWORK",N21="SETUP"),M21=""),"Thiếu máy",IF(P21&lt;O21,"Sai thời gian",IF(AA21&lt;&gt;0,"Sai cân đối SL","Hợp lệ")))))</x:f>
      </x:c>
      <x:c r="AJ21" s="21"/>
    </x:row>
    <x:row r="22">
      <x:c r="A22" s="21"/>
      <x:c r="B22" s="35"/>
      <x:c r="C22" s="21"/>
      <x:c r="D22" s="21"/>
      <x:c r="E22" s="21"/>
      <x:c r="F22" s="21"/>
      <x:c r="G22" s="21"/>
      <x:c r="H22" s="29" t="str">
        <x:f>IF(OR(D22="",E22=""),"",D22&amp;"|"&amp;E22&amp;"|"&amp;IF(F22="","00",F22)&amp;"|"&amp;IF(G22="","01",G22))</x:f>
      </x:c>
      <x:c r="I22" s="21"/>
      <x:c r="J22" s="29" t="str">
        <x:f>IF(K22="","",IFERROR(INDEX('04_KE_HOACH_CD'!$I$6:$I$305,MATCH(K22,'04_KE_HOACH_CD'!$G$6:$G$305,0)),""))</x:f>
      </x:c>
      <x:c r="K22" s="29" t="str">
        <x:f>IF(OR(H22="",I22=""),"",H22&amp;"|"&amp;TEXT(I22,"000"))</x:f>
      </x:c>
      <x:c r="L22" s="21"/>
      <x:c r="M22" s="21"/>
      <x:c r="N22" s="21"/>
      <x:c r="O22" s="43"/>
      <x:c r="P22" s="43"/>
      <x:c r="Q22" s="25"/>
      <x:c r="R22" s="25"/>
      <x:c r="S22" s="39" t="str">
        <x:f>IF(A22="","",SUMIF('07_DUNG_CHO'!$B$6:$B$505,A22,'07_DUNG_CHO'!$E$6:$E$505))</x:f>
      </x:c>
      <x:c r="T22" s="39" t="str">
        <x:f>IF(A22="","",IF(N22="SETUP",0,MAX(0,(P22-O22)*1440-Q22-S22)))</x:f>
      </x:c>
      <x:c r="U22" s="25"/>
      <x:c r="V22" s="25"/>
      <x:c r="W22" s="25"/>
      <x:c r="X22" s="25"/>
      <x:c r="Y22" s="25"/>
      <x:c r="Z22" s="25"/>
      <x:c r="AA22" s="39" t="str">
        <x:f>IF(A22="","",U22-SUM(V22,X22:Z22))</x:f>
      </x:c>
      <x:c r="AB22" s="39" t="str">
        <x:f>IF(A22="","",IF(N22="SETUP",IFERROR(INDEX('04_KE_HOACH_CD'!$K$6:$K$305,MATCH(K22,'04_KE_HOACH_CD'!$G$6:$G$305,0)),0),IF(OR(N22="PRODUCTION",N22="REWORK"),IFERROR(INDEX('04_KE_HOACH_CD'!$L$6:$L$305,MATCH(K22,'04_KE_HOACH_CD'!$G$6:$G$305,0))*V22,0),0)))</x:f>
      </x:c>
      <x:c r="AC22" s="39" t="str">
        <x:f>IF(A22="","",MAX(0,(P22-O22)*1440-Q22))</x:f>
      </x:c>
      <x:c r="AD22" s="37" t="str">
        <x:f>IF(A22="","",IFERROR(AB22/AC22,0))</x:f>
      </x:c>
      <x:c r="AE22" s="33" t="str">
        <x:f>IF(A22="","",AC22/60*SUMIF(DM_NHAN_SU!$A$6:$A$105,L22,DM_NHAN_SU!$E$6:$E$105))</x:f>
      </x:c>
      <x:c r="AF22" s="33" t="str">
        <x:f>IF(A22="","",AC22/60*SUMIF(DM_MAY!$A$6:$A$105,M22,DM_MAY!$F$6:$F$105))</x:f>
      </x:c>
      <x:c r="AG22" s="33" t="str">
        <x:f>IF(A22="","",AE22+AF22)</x:f>
      </x:c>
      <x:c r="AH22" s="21"/>
      <x:c r="AI22" s="29" t="str">
        <x:f>IF(A22="","",IF(OR(B22="",D22="",E22="",I22="",L22="",N22="",O22="",P22=""),"Thiếu dữ liệu",IF(AND(OR(N22="PRODUCTION",N22="REWORK",N22="SETUP"),M22=""),"Thiếu máy",IF(P22&lt;O22,"Sai thời gian",IF(AA22&lt;&gt;0,"Sai cân đối SL","Hợp lệ")))))</x:f>
      </x:c>
      <x:c r="AJ22" s="21"/>
    </x:row>
    <x:row r="23">
      <x:c r="A23" s="21"/>
      <x:c r="B23" s="35"/>
      <x:c r="C23" s="21"/>
      <x:c r="D23" s="21"/>
      <x:c r="E23" s="21"/>
      <x:c r="F23" s="21"/>
      <x:c r="G23" s="21"/>
      <x:c r="H23" s="29" t="str">
        <x:f>IF(OR(D23="",E23=""),"",D23&amp;"|"&amp;E23&amp;"|"&amp;IF(F23="","00",F23)&amp;"|"&amp;IF(G23="","01",G23))</x:f>
      </x:c>
      <x:c r="I23" s="21"/>
      <x:c r="J23" s="29" t="str">
        <x:f>IF(K23="","",IFERROR(INDEX('04_KE_HOACH_CD'!$I$6:$I$305,MATCH(K23,'04_KE_HOACH_CD'!$G$6:$G$305,0)),""))</x:f>
      </x:c>
      <x:c r="K23" s="29" t="str">
        <x:f>IF(OR(H23="",I23=""),"",H23&amp;"|"&amp;TEXT(I23,"000"))</x:f>
      </x:c>
      <x:c r="L23" s="21"/>
      <x:c r="M23" s="21"/>
      <x:c r="N23" s="21"/>
      <x:c r="O23" s="43"/>
      <x:c r="P23" s="43"/>
      <x:c r="Q23" s="25"/>
      <x:c r="R23" s="25"/>
      <x:c r="S23" s="39" t="str">
        <x:f>IF(A23="","",SUMIF('07_DUNG_CHO'!$B$6:$B$505,A23,'07_DUNG_CHO'!$E$6:$E$505))</x:f>
      </x:c>
      <x:c r="T23" s="39" t="str">
        <x:f>IF(A23="","",IF(N23="SETUP",0,MAX(0,(P23-O23)*1440-Q23-S23)))</x:f>
      </x:c>
      <x:c r="U23" s="25"/>
      <x:c r="V23" s="25"/>
      <x:c r="W23" s="25"/>
      <x:c r="X23" s="25"/>
      <x:c r="Y23" s="25"/>
      <x:c r="Z23" s="25"/>
      <x:c r="AA23" s="39" t="str">
        <x:f>IF(A23="","",U23-SUM(V23,X23:Z23))</x:f>
      </x:c>
      <x:c r="AB23" s="39" t="str">
        <x:f>IF(A23="","",IF(N23="SETUP",IFERROR(INDEX('04_KE_HOACH_CD'!$K$6:$K$305,MATCH(K23,'04_KE_HOACH_CD'!$G$6:$G$305,0)),0),IF(OR(N23="PRODUCTION",N23="REWORK"),IFERROR(INDEX('04_KE_HOACH_CD'!$L$6:$L$305,MATCH(K23,'04_KE_HOACH_CD'!$G$6:$G$305,0))*V23,0),0)))</x:f>
      </x:c>
      <x:c r="AC23" s="39" t="str">
        <x:f>IF(A23="","",MAX(0,(P23-O23)*1440-Q23))</x:f>
      </x:c>
      <x:c r="AD23" s="37" t="str">
        <x:f>IF(A23="","",IFERROR(AB23/AC23,0))</x:f>
      </x:c>
      <x:c r="AE23" s="33" t="str">
        <x:f>IF(A23="","",AC23/60*SUMIF(DM_NHAN_SU!$A$6:$A$105,L23,DM_NHAN_SU!$E$6:$E$105))</x:f>
      </x:c>
      <x:c r="AF23" s="33" t="str">
        <x:f>IF(A23="","",AC23/60*SUMIF(DM_MAY!$A$6:$A$105,M23,DM_MAY!$F$6:$F$105))</x:f>
      </x:c>
      <x:c r="AG23" s="33" t="str">
        <x:f>IF(A23="","",AE23+AF23)</x:f>
      </x:c>
      <x:c r="AH23" s="21"/>
      <x:c r="AI23" s="29" t="str">
        <x:f>IF(A23="","",IF(OR(B23="",D23="",E23="",I23="",L23="",N23="",O23="",P23=""),"Thiếu dữ liệu",IF(AND(OR(N23="PRODUCTION",N23="REWORK",N23="SETUP"),M23=""),"Thiếu máy",IF(P23&lt;O23,"Sai thời gian",IF(AA23&lt;&gt;0,"Sai cân đối SL","Hợp lệ")))))</x:f>
      </x:c>
      <x:c r="AJ23" s="21"/>
    </x:row>
    <x:row r="24">
      <x:c r="A24" s="21"/>
      <x:c r="B24" s="35"/>
      <x:c r="C24" s="21"/>
      <x:c r="D24" s="21"/>
      <x:c r="E24" s="21"/>
      <x:c r="F24" s="21"/>
      <x:c r="G24" s="21"/>
      <x:c r="H24" s="29" t="str">
        <x:f>IF(OR(D24="",E24=""),"",D24&amp;"|"&amp;E24&amp;"|"&amp;IF(F24="","00",F24)&amp;"|"&amp;IF(G24="","01",G24))</x:f>
      </x:c>
      <x:c r="I24" s="21"/>
      <x:c r="J24" s="29" t="str">
        <x:f>IF(K24="","",IFERROR(INDEX('04_KE_HOACH_CD'!$I$6:$I$305,MATCH(K24,'04_KE_HOACH_CD'!$G$6:$G$305,0)),""))</x:f>
      </x:c>
      <x:c r="K24" s="29" t="str">
        <x:f>IF(OR(H24="",I24=""),"",H24&amp;"|"&amp;TEXT(I24,"000"))</x:f>
      </x:c>
      <x:c r="L24" s="21"/>
      <x:c r="M24" s="21"/>
      <x:c r="N24" s="21"/>
      <x:c r="O24" s="43"/>
      <x:c r="P24" s="43"/>
      <x:c r="Q24" s="25"/>
      <x:c r="R24" s="25"/>
      <x:c r="S24" s="39" t="str">
        <x:f>IF(A24="","",SUMIF('07_DUNG_CHO'!$B$6:$B$505,A24,'07_DUNG_CHO'!$E$6:$E$505))</x:f>
      </x:c>
      <x:c r="T24" s="39" t="str">
        <x:f>IF(A24="","",IF(N24="SETUP",0,MAX(0,(P24-O24)*1440-Q24-S24)))</x:f>
      </x:c>
      <x:c r="U24" s="25"/>
      <x:c r="V24" s="25"/>
      <x:c r="W24" s="25"/>
      <x:c r="X24" s="25"/>
      <x:c r="Y24" s="25"/>
      <x:c r="Z24" s="25"/>
      <x:c r="AA24" s="39" t="str">
        <x:f>IF(A24="","",U24-SUM(V24,X24:Z24))</x:f>
      </x:c>
      <x:c r="AB24" s="39" t="str">
        <x:f>IF(A24="","",IF(N24="SETUP",IFERROR(INDEX('04_KE_HOACH_CD'!$K$6:$K$305,MATCH(K24,'04_KE_HOACH_CD'!$G$6:$G$305,0)),0),IF(OR(N24="PRODUCTION",N24="REWORK"),IFERROR(INDEX('04_KE_HOACH_CD'!$L$6:$L$305,MATCH(K24,'04_KE_HOACH_CD'!$G$6:$G$305,0))*V24,0),0)))</x:f>
      </x:c>
      <x:c r="AC24" s="39" t="str">
        <x:f>IF(A24="","",MAX(0,(P24-O24)*1440-Q24))</x:f>
      </x:c>
      <x:c r="AD24" s="37" t="str">
        <x:f>IF(A24="","",IFERROR(AB24/AC24,0))</x:f>
      </x:c>
      <x:c r="AE24" s="33" t="str">
        <x:f>IF(A24="","",AC24/60*SUMIF(DM_NHAN_SU!$A$6:$A$105,L24,DM_NHAN_SU!$E$6:$E$105))</x:f>
      </x:c>
      <x:c r="AF24" s="33" t="str">
        <x:f>IF(A24="","",AC24/60*SUMIF(DM_MAY!$A$6:$A$105,M24,DM_MAY!$F$6:$F$105))</x:f>
      </x:c>
      <x:c r="AG24" s="33" t="str">
        <x:f>IF(A24="","",AE24+AF24)</x:f>
      </x:c>
      <x:c r="AH24" s="21"/>
      <x:c r="AI24" s="29" t="str">
        <x:f>IF(A24="","",IF(OR(B24="",D24="",E24="",I24="",L24="",N24="",O24="",P24=""),"Thiếu dữ liệu",IF(AND(OR(N24="PRODUCTION",N24="REWORK",N24="SETUP"),M24=""),"Thiếu máy",IF(P24&lt;O24,"Sai thời gian",IF(AA24&lt;&gt;0,"Sai cân đối SL","Hợp lệ")))))</x:f>
      </x:c>
      <x:c r="AJ24" s="21"/>
    </x:row>
    <x:row r="25">
      <x:c r="A25" s="21"/>
      <x:c r="B25" s="35"/>
      <x:c r="C25" s="21"/>
      <x:c r="D25" s="21"/>
      <x:c r="E25" s="21"/>
      <x:c r="F25" s="21"/>
      <x:c r="G25" s="21"/>
      <x:c r="H25" s="29" t="str">
        <x:f>IF(OR(D25="",E25=""),"",D25&amp;"|"&amp;E25&amp;"|"&amp;IF(F25="","00",F25)&amp;"|"&amp;IF(G25="","01",G25))</x:f>
      </x:c>
      <x:c r="I25" s="21"/>
      <x:c r="J25" s="29" t="str">
        <x:f>IF(K25="","",IFERROR(INDEX('04_KE_HOACH_CD'!$I$6:$I$305,MATCH(K25,'04_KE_HOACH_CD'!$G$6:$G$305,0)),""))</x:f>
      </x:c>
      <x:c r="K25" s="29" t="str">
        <x:f>IF(OR(H25="",I25=""),"",H25&amp;"|"&amp;TEXT(I25,"000"))</x:f>
      </x:c>
      <x:c r="L25" s="21"/>
      <x:c r="M25" s="21"/>
      <x:c r="N25" s="21"/>
      <x:c r="O25" s="43"/>
      <x:c r="P25" s="43"/>
      <x:c r="Q25" s="25"/>
      <x:c r="R25" s="25"/>
      <x:c r="S25" s="39" t="str">
        <x:f>IF(A25="","",SUMIF('07_DUNG_CHO'!$B$6:$B$505,A25,'07_DUNG_CHO'!$E$6:$E$505))</x:f>
      </x:c>
      <x:c r="T25" s="39" t="str">
        <x:f>IF(A25="","",IF(N25="SETUP",0,MAX(0,(P25-O25)*1440-Q25-S25)))</x:f>
      </x:c>
      <x:c r="U25" s="25"/>
      <x:c r="V25" s="25"/>
      <x:c r="W25" s="25"/>
      <x:c r="X25" s="25"/>
      <x:c r="Y25" s="25"/>
      <x:c r="Z25" s="25"/>
      <x:c r="AA25" s="39" t="str">
        <x:f>IF(A25="","",U25-SUM(V25,X25:Z25))</x:f>
      </x:c>
      <x:c r="AB25" s="39" t="str">
        <x:f>IF(A25="","",IF(N25="SETUP",IFERROR(INDEX('04_KE_HOACH_CD'!$K$6:$K$305,MATCH(K25,'04_KE_HOACH_CD'!$G$6:$G$305,0)),0),IF(OR(N25="PRODUCTION",N25="REWORK"),IFERROR(INDEX('04_KE_HOACH_CD'!$L$6:$L$305,MATCH(K25,'04_KE_HOACH_CD'!$G$6:$G$305,0))*V25,0),0)))</x:f>
      </x:c>
      <x:c r="AC25" s="39" t="str">
        <x:f>IF(A25="","",MAX(0,(P25-O25)*1440-Q25))</x:f>
      </x:c>
      <x:c r="AD25" s="37" t="str">
        <x:f>IF(A25="","",IFERROR(AB25/AC25,0))</x:f>
      </x:c>
      <x:c r="AE25" s="33" t="str">
        <x:f>IF(A25="","",AC25/60*SUMIF(DM_NHAN_SU!$A$6:$A$105,L25,DM_NHAN_SU!$E$6:$E$105))</x:f>
      </x:c>
      <x:c r="AF25" s="33" t="str">
        <x:f>IF(A25="","",AC25/60*SUMIF(DM_MAY!$A$6:$A$105,M25,DM_MAY!$F$6:$F$105))</x:f>
      </x:c>
      <x:c r="AG25" s="33" t="str">
        <x:f>IF(A25="","",AE25+AF25)</x:f>
      </x:c>
      <x:c r="AH25" s="21"/>
      <x:c r="AI25" s="29" t="str">
        <x:f>IF(A25="","",IF(OR(B25="",D25="",E25="",I25="",L25="",N25="",O25="",P25=""),"Thiếu dữ liệu",IF(AND(OR(N25="PRODUCTION",N25="REWORK",N25="SETUP"),M25=""),"Thiếu máy",IF(P25&lt;O25,"Sai thời gian",IF(AA25&lt;&gt;0,"Sai cân đối SL","Hợp lệ")))))</x:f>
      </x:c>
      <x:c r="AJ25" s="21"/>
    </x:row>
    <x:row r="26">
      <x:c r="A26" s="21"/>
      <x:c r="B26" s="35"/>
      <x:c r="C26" s="21"/>
      <x:c r="D26" s="21"/>
      <x:c r="E26" s="21"/>
      <x:c r="F26" s="21"/>
      <x:c r="G26" s="21"/>
      <x:c r="H26" s="29" t="str">
        <x:f>IF(OR(D26="",E26=""),"",D26&amp;"|"&amp;E26&amp;"|"&amp;IF(F26="","00",F26)&amp;"|"&amp;IF(G26="","01",G26))</x:f>
      </x:c>
      <x:c r="I26" s="21"/>
      <x:c r="J26" s="29" t="str">
        <x:f>IF(K26="","",IFERROR(INDEX('04_KE_HOACH_CD'!$I$6:$I$305,MATCH(K26,'04_KE_HOACH_CD'!$G$6:$G$305,0)),""))</x:f>
      </x:c>
      <x:c r="K26" s="29" t="str">
        <x:f>IF(OR(H26="",I26=""),"",H26&amp;"|"&amp;TEXT(I26,"000"))</x:f>
      </x:c>
      <x:c r="L26" s="21"/>
      <x:c r="M26" s="21"/>
      <x:c r="N26" s="21"/>
      <x:c r="O26" s="43"/>
      <x:c r="P26" s="43"/>
      <x:c r="Q26" s="25"/>
      <x:c r="R26" s="25"/>
      <x:c r="S26" s="39" t="str">
        <x:f>IF(A26="","",SUMIF('07_DUNG_CHO'!$B$6:$B$505,A26,'07_DUNG_CHO'!$E$6:$E$505))</x:f>
      </x:c>
      <x:c r="T26" s="39" t="str">
        <x:f>IF(A26="","",IF(N26="SETUP",0,MAX(0,(P26-O26)*1440-Q26-S26)))</x:f>
      </x:c>
      <x:c r="U26" s="25"/>
      <x:c r="V26" s="25"/>
      <x:c r="W26" s="25"/>
      <x:c r="X26" s="25"/>
      <x:c r="Y26" s="25"/>
      <x:c r="Z26" s="25"/>
      <x:c r="AA26" s="39" t="str">
        <x:f>IF(A26="","",U26-SUM(V26,X26:Z26))</x:f>
      </x:c>
      <x:c r="AB26" s="39" t="str">
        <x:f>IF(A26="","",IF(N26="SETUP",IFERROR(INDEX('04_KE_HOACH_CD'!$K$6:$K$305,MATCH(K26,'04_KE_HOACH_CD'!$G$6:$G$305,0)),0),IF(OR(N26="PRODUCTION",N26="REWORK"),IFERROR(INDEX('04_KE_HOACH_CD'!$L$6:$L$305,MATCH(K26,'04_KE_HOACH_CD'!$G$6:$G$305,0))*V26,0),0)))</x:f>
      </x:c>
      <x:c r="AC26" s="39" t="str">
        <x:f>IF(A26="","",MAX(0,(P26-O26)*1440-Q26))</x:f>
      </x:c>
      <x:c r="AD26" s="37" t="str">
        <x:f>IF(A26="","",IFERROR(AB26/AC26,0))</x:f>
      </x:c>
      <x:c r="AE26" s="33" t="str">
        <x:f>IF(A26="","",AC26/60*SUMIF(DM_NHAN_SU!$A$6:$A$105,L26,DM_NHAN_SU!$E$6:$E$105))</x:f>
      </x:c>
      <x:c r="AF26" s="33" t="str">
        <x:f>IF(A26="","",AC26/60*SUMIF(DM_MAY!$A$6:$A$105,M26,DM_MAY!$F$6:$F$105))</x:f>
      </x:c>
      <x:c r="AG26" s="33" t="str">
        <x:f>IF(A26="","",AE26+AF26)</x:f>
      </x:c>
      <x:c r="AH26" s="21"/>
      <x:c r="AI26" s="29" t="str">
        <x:f>IF(A26="","",IF(OR(B26="",D26="",E26="",I26="",L26="",N26="",O26="",P26=""),"Thiếu dữ liệu",IF(AND(OR(N26="PRODUCTION",N26="REWORK",N26="SETUP"),M26=""),"Thiếu máy",IF(P26&lt;O26,"Sai thời gian",IF(AA26&lt;&gt;0,"Sai cân đối SL","Hợp lệ")))))</x:f>
      </x:c>
      <x:c r="AJ26" s="21"/>
    </x:row>
    <x:row r="27">
      <x:c r="A27" s="21"/>
      <x:c r="B27" s="35"/>
      <x:c r="C27" s="21"/>
      <x:c r="D27" s="21"/>
      <x:c r="E27" s="21"/>
      <x:c r="F27" s="21"/>
      <x:c r="G27" s="21"/>
      <x:c r="H27" s="29" t="str">
        <x:f>IF(OR(D27="",E27=""),"",D27&amp;"|"&amp;E27&amp;"|"&amp;IF(F27="","00",F27)&amp;"|"&amp;IF(G27="","01",G27))</x:f>
      </x:c>
      <x:c r="I27" s="21"/>
      <x:c r="J27" s="29" t="str">
        <x:f>IF(K27="","",IFERROR(INDEX('04_KE_HOACH_CD'!$I$6:$I$305,MATCH(K27,'04_KE_HOACH_CD'!$G$6:$G$305,0)),""))</x:f>
      </x:c>
      <x:c r="K27" s="29" t="str">
        <x:f>IF(OR(H27="",I27=""),"",H27&amp;"|"&amp;TEXT(I27,"000"))</x:f>
      </x:c>
      <x:c r="L27" s="21"/>
      <x:c r="M27" s="21"/>
      <x:c r="N27" s="21"/>
      <x:c r="O27" s="43"/>
      <x:c r="P27" s="43"/>
      <x:c r="Q27" s="25"/>
      <x:c r="R27" s="25"/>
      <x:c r="S27" s="39" t="str">
        <x:f>IF(A27="","",SUMIF('07_DUNG_CHO'!$B$6:$B$505,A27,'07_DUNG_CHO'!$E$6:$E$505))</x:f>
      </x:c>
      <x:c r="T27" s="39" t="str">
        <x:f>IF(A27="","",IF(N27="SETUP",0,MAX(0,(P27-O27)*1440-Q27-S27)))</x:f>
      </x:c>
      <x:c r="U27" s="25"/>
      <x:c r="V27" s="25"/>
      <x:c r="W27" s="25"/>
      <x:c r="X27" s="25"/>
      <x:c r="Y27" s="25"/>
      <x:c r="Z27" s="25"/>
      <x:c r="AA27" s="39" t="str">
        <x:f>IF(A27="","",U27-SUM(V27,X27:Z27))</x:f>
      </x:c>
      <x:c r="AB27" s="39" t="str">
        <x:f>IF(A27="","",IF(N27="SETUP",IFERROR(INDEX('04_KE_HOACH_CD'!$K$6:$K$305,MATCH(K27,'04_KE_HOACH_CD'!$G$6:$G$305,0)),0),IF(OR(N27="PRODUCTION",N27="REWORK"),IFERROR(INDEX('04_KE_HOACH_CD'!$L$6:$L$305,MATCH(K27,'04_KE_HOACH_CD'!$G$6:$G$305,0))*V27,0),0)))</x:f>
      </x:c>
      <x:c r="AC27" s="39" t="str">
        <x:f>IF(A27="","",MAX(0,(P27-O27)*1440-Q27))</x:f>
      </x:c>
      <x:c r="AD27" s="37" t="str">
        <x:f>IF(A27="","",IFERROR(AB27/AC27,0))</x:f>
      </x:c>
      <x:c r="AE27" s="33" t="str">
        <x:f>IF(A27="","",AC27/60*SUMIF(DM_NHAN_SU!$A$6:$A$105,L27,DM_NHAN_SU!$E$6:$E$105))</x:f>
      </x:c>
      <x:c r="AF27" s="33" t="str">
        <x:f>IF(A27="","",AC27/60*SUMIF(DM_MAY!$A$6:$A$105,M27,DM_MAY!$F$6:$F$105))</x:f>
      </x:c>
      <x:c r="AG27" s="33" t="str">
        <x:f>IF(A27="","",AE27+AF27)</x:f>
      </x:c>
      <x:c r="AH27" s="21"/>
      <x:c r="AI27" s="29" t="str">
        <x:f>IF(A27="","",IF(OR(B27="",D27="",E27="",I27="",L27="",N27="",O27="",P27=""),"Thiếu dữ liệu",IF(AND(OR(N27="PRODUCTION",N27="REWORK",N27="SETUP"),M27=""),"Thiếu máy",IF(P27&lt;O27,"Sai thời gian",IF(AA27&lt;&gt;0,"Sai cân đối SL","Hợp lệ")))))</x:f>
      </x:c>
      <x:c r="AJ27" s="21"/>
    </x:row>
    <x:row r="28">
      <x:c r="A28" s="21"/>
      <x:c r="B28" s="35"/>
      <x:c r="C28" s="21"/>
      <x:c r="D28" s="21"/>
      <x:c r="E28" s="21"/>
      <x:c r="F28" s="21"/>
      <x:c r="G28" s="21"/>
      <x:c r="H28" s="29" t="str">
        <x:f>IF(OR(D28="",E28=""),"",D28&amp;"|"&amp;E28&amp;"|"&amp;IF(F28="","00",F28)&amp;"|"&amp;IF(G28="","01",G28))</x:f>
      </x:c>
      <x:c r="I28" s="21"/>
      <x:c r="J28" s="29" t="str">
        <x:f>IF(K28="","",IFERROR(INDEX('04_KE_HOACH_CD'!$I$6:$I$305,MATCH(K28,'04_KE_HOACH_CD'!$G$6:$G$305,0)),""))</x:f>
      </x:c>
      <x:c r="K28" s="29" t="str">
        <x:f>IF(OR(H28="",I28=""),"",H28&amp;"|"&amp;TEXT(I28,"000"))</x:f>
      </x:c>
      <x:c r="L28" s="21"/>
      <x:c r="M28" s="21"/>
      <x:c r="N28" s="21"/>
      <x:c r="O28" s="43"/>
      <x:c r="P28" s="43"/>
      <x:c r="Q28" s="25"/>
      <x:c r="R28" s="25"/>
      <x:c r="S28" s="39" t="str">
        <x:f>IF(A28="","",SUMIF('07_DUNG_CHO'!$B$6:$B$505,A28,'07_DUNG_CHO'!$E$6:$E$505))</x:f>
      </x:c>
      <x:c r="T28" s="39" t="str">
        <x:f>IF(A28="","",IF(N28="SETUP",0,MAX(0,(P28-O28)*1440-Q28-S28)))</x:f>
      </x:c>
      <x:c r="U28" s="25"/>
      <x:c r="V28" s="25"/>
      <x:c r="W28" s="25"/>
      <x:c r="X28" s="25"/>
      <x:c r="Y28" s="25"/>
      <x:c r="Z28" s="25"/>
      <x:c r="AA28" s="39" t="str">
        <x:f>IF(A28="","",U28-SUM(V28,X28:Z28))</x:f>
      </x:c>
      <x:c r="AB28" s="39" t="str">
        <x:f>IF(A28="","",IF(N28="SETUP",IFERROR(INDEX('04_KE_HOACH_CD'!$K$6:$K$305,MATCH(K28,'04_KE_HOACH_CD'!$G$6:$G$305,0)),0),IF(OR(N28="PRODUCTION",N28="REWORK"),IFERROR(INDEX('04_KE_HOACH_CD'!$L$6:$L$305,MATCH(K28,'04_KE_HOACH_CD'!$G$6:$G$305,0))*V28,0),0)))</x:f>
      </x:c>
      <x:c r="AC28" s="39" t="str">
        <x:f>IF(A28="","",MAX(0,(P28-O28)*1440-Q28))</x:f>
      </x:c>
      <x:c r="AD28" s="37" t="str">
        <x:f>IF(A28="","",IFERROR(AB28/AC28,0))</x:f>
      </x:c>
      <x:c r="AE28" s="33" t="str">
        <x:f>IF(A28="","",AC28/60*SUMIF(DM_NHAN_SU!$A$6:$A$105,L28,DM_NHAN_SU!$E$6:$E$105))</x:f>
      </x:c>
      <x:c r="AF28" s="33" t="str">
        <x:f>IF(A28="","",AC28/60*SUMIF(DM_MAY!$A$6:$A$105,M28,DM_MAY!$F$6:$F$105))</x:f>
      </x:c>
      <x:c r="AG28" s="33" t="str">
        <x:f>IF(A28="","",AE28+AF28)</x:f>
      </x:c>
      <x:c r="AH28" s="21"/>
      <x:c r="AI28" s="29" t="str">
        <x:f>IF(A28="","",IF(OR(B28="",D28="",E28="",I28="",L28="",N28="",O28="",P28=""),"Thiếu dữ liệu",IF(AND(OR(N28="PRODUCTION",N28="REWORK",N28="SETUP"),M28=""),"Thiếu máy",IF(P28&lt;O28,"Sai thời gian",IF(AA28&lt;&gt;0,"Sai cân đối SL","Hợp lệ")))))</x:f>
      </x:c>
      <x:c r="AJ28" s="21"/>
    </x:row>
    <x:row r="29">
      <x:c r="A29" s="21"/>
      <x:c r="B29" s="35"/>
      <x:c r="C29" s="21"/>
      <x:c r="D29" s="21"/>
      <x:c r="E29" s="21"/>
      <x:c r="F29" s="21"/>
      <x:c r="G29" s="21"/>
      <x:c r="H29" s="29" t="str">
        <x:f>IF(OR(D29="",E29=""),"",D29&amp;"|"&amp;E29&amp;"|"&amp;IF(F29="","00",F29)&amp;"|"&amp;IF(G29="","01",G29))</x:f>
      </x:c>
      <x:c r="I29" s="21"/>
      <x:c r="J29" s="29" t="str">
        <x:f>IF(K29="","",IFERROR(INDEX('04_KE_HOACH_CD'!$I$6:$I$305,MATCH(K29,'04_KE_HOACH_CD'!$G$6:$G$305,0)),""))</x:f>
      </x:c>
      <x:c r="K29" s="29" t="str">
        <x:f>IF(OR(H29="",I29=""),"",H29&amp;"|"&amp;TEXT(I29,"000"))</x:f>
      </x:c>
      <x:c r="L29" s="21"/>
      <x:c r="M29" s="21"/>
      <x:c r="N29" s="21"/>
      <x:c r="O29" s="43"/>
      <x:c r="P29" s="43"/>
      <x:c r="Q29" s="25"/>
      <x:c r="R29" s="25"/>
      <x:c r="S29" s="39" t="str">
        <x:f>IF(A29="","",SUMIF('07_DUNG_CHO'!$B$6:$B$505,A29,'07_DUNG_CHO'!$E$6:$E$505))</x:f>
      </x:c>
      <x:c r="T29" s="39" t="str">
        <x:f>IF(A29="","",IF(N29="SETUP",0,MAX(0,(P29-O29)*1440-Q29-S29)))</x:f>
      </x:c>
      <x:c r="U29" s="25"/>
      <x:c r="V29" s="25"/>
      <x:c r="W29" s="25"/>
      <x:c r="X29" s="25"/>
      <x:c r="Y29" s="25"/>
      <x:c r="Z29" s="25"/>
      <x:c r="AA29" s="39" t="str">
        <x:f>IF(A29="","",U29-SUM(V29,X29:Z29))</x:f>
      </x:c>
      <x:c r="AB29" s="39" t="str">
        <x:f>IF(A29="","",IF(N29="SETUP",IFERROR(INDEX('04_KE_HOACH_CD'!$K$6:$K$305,MATCH(K29,'04_KE_HOACH_CD'!$G$6:$G$305,0)),0),IF(OR(N29="PRODUCTION",N29="REWORK"),IFERROR(INDEX('04_KE_HOACH_CD'!$L$6:$L$305,MATCH(K29,'04_KE_HOACH_CD'!$G$6:$G$305,0))*V29,0),0)))</x:f>
      </x:c>
      <x:c r="AC29" s="39" t="str">
        <x:f>IF(A29="","",MAX(0,(P29-O29)*1440-Q29))</x:f>
      </x:c>
      <x:c r="AD29" s="37" t="str">
        <x:f>IF(A29="","",IFERROR(AB29/AC29,0))</x:f>
      </x:c>
      <x:c r="AE29" s="33" t="str">
        <x:f>IF(A29="","",AC29/60*SUMIF(DM_NHAN_SU!$A$6:$A$105,L29,DM_NHAN_SU!$E$6:$E$105))</x:f>
      </x:c>
      <x:c r="AF29" s="33" t="str">
        <x:f>IF(A29="","",AC29/60*SUMIF(DM_MAY!$A$6:$A$105,M29,DM_MAY!$F$6:$F$105))</x:f>
      </x:c>
      <x:c r="AG29" s="33" t="str">
        <x:f>IF(A29="","",AE29+AF29)</x:f>
      </x:c>
      <x:c r="AH29" s="21"/>
      <x:c r="AI29" s="29" t="str">
        <x:f>IF(A29="","",IF(OR(B29="",D29="",E29="",I29="",L29="",N29="",O29="",P29=""),"Thiếu dữ liệu",IF(AND(OR(N29="PRODUCTION",N29="REWORK",N29="SETUP"),M29=""),"Thiếu máy",IF(P29&lt;O29,"Sai thời gian",IF(AA29&lt;&gt;0,"Sai cân đối SL","Hợp lệ")))))</x:f>
      </x:c>
      <x:c r="AJ29" s="21"/>
    </x:row>
    <x:row r="30">
      <x:c r="A30" s="21"/>
      <x:c r="B30" s="35"/>
      <x:c r="C30" s="21"/>
      <x:c r="D30" s="21"/>
      <x:c r="E30" s="21"/>
      <x:c r="F30" s="21"/>
      <x:c r="G30" s="21"/>
      <x:c r="H30" s="29" t="str">
        <x:f>IF(OR(D30="",E30=""),"",D30&amp;"|"&amp;E30&amp;"|"&amp;IF(F30="","00",F30)&amp;"|"&amp;IF(G30="","01",G30))</x:f>
      </x:c>
      <x:c r="I30" s="21"/>
      <x:c r="J30" s="29" t="str">
        <x:f>IF(K30="","",IFERROR(INDEX('04_KE_HOACH_CD'!$I$6:$I$305,MATCH(K30,'04_KE_HOACH_CD'!$G$6:$G$305,0)),""))</x:f>
      </x:c>
      <x:c r="K30" s="29" t="str">
        <x:f>IF(OR(H30="",I30=""),"",H30&amp;"|"&amp;TEXT(I30,"000"))</x:f>
      </x:c>
      <x:c r="L30" s="21"/>
      <x:c r="M30" s="21"/>
      <x:c r="N30" s="21"/>
      <x:c r="O30" s="43"/>
      <x:c r="P30" s="43"/>
      <x:c r="Q30" s="25"/>
      <x:c r="R30" s="25"/>
      <x:c r="S30" s="39" t="str">
        <x:f>IF(A30="","",SUMIF('07_DUNG_CHO'!$B$6:$B$505,A30,'07_DUNG_CHO'!$E$6:$E$505))</x:f>
      </x:c>
      <x:c r="T30" s="39" t="str">
        <x:f>IF(A30="","",IF(N30="SETUP",0,MAX(0,(P30-O30)*1440-Q30-S30)))</x:f>
      </x:c>
      <x:c r="U30" s="25"/>
      <x:c r="V30" s="25"/>
      <x:c r="W30" s="25"/>
      <x:c r="X30" s="25"/>
      <x:c r="Y30" s="25"/>
      <x:c r="Z30" s="25"/>
      <x:c r="AA30" s="39" t="str">
        <x:f>IF(A30="","",U30-SUM(V30,X30:Z30))</x:f>
      </x:c>
      <x:c r="AB30" s="39" t="str">
        <x:f>IF(A30="","",IF(N30="SETUP",IFERROR(INDEX('04_KE_HOACH_CD'!$K$6:$K$305,MATCH(K30,'04_KE_HOACH_CD'!$G$6:$G$305,0)),0),IF(OR(N30="PRODUCTION",N30="REWORK"),IFERROR(INDEX('04_KE_HOACH_CD'!$L$6:$L$305,MATCH(K30,'04_KE_HOACH_CD'!$G$6:$G$305,0))*V30,0),0)))</x:f>
      </x:c>
      <x:c r="AC30" s="39" t="str">
        <x:f>IF(A30="","",MAX(0,(P30-O30)*1440-Q30))</x:f>
      </x:c>
      <x:c r="AD30" s="37" t="str">
        <x:f>IF(A30="","",IFERROR(AB30/AC30,0))</x:f>
      </x:c>
      <x:c r="AE30" s="33" t="str">
        <x:f>IF(A30="","",AC30/60*SUMIF(DM_NHAN_SU!$A$6:$A$105,L30,DM_NHAN_SU!$E$6:$E$105))</x:f>
      </x:c>
      <x:c r="AF30" s="33" t="str">
        <x:f>IF(A30="","",AC30/60*SUMIF(DM_MAY!$A$6:$A$105,M30,DM_MAY!$F$6:$F$105))</x:f>
      </x:c>
      <x:c r="AG30" s="33" t="str">
        <x:f>IF(A30="","",AE30+AF30)</x:f>
      </x:c>
      <x:c r="AH30" s="21"/>
      <x:c r="AI30" s="29" t="str">
        <x:f>IF(A30="","",IF(OR(B30="",D30="",E30="",I30="",L30="",N30="",O30="",P30=""),"Thiếu dữ liệu",IF(AND(OR(N30="PRODUCTION",N30="REWORK",N30="SETUP"),M30=""),"Thiếu máy",IF(P30&lt;O30,"Sai thời gian",IF(AA30&lt;&gt;0,"Sai cân đối SL","Hợp lệ")))))</x:f>
      </x:c>
      <x:c r="AJ30" s="21"/>
    </x:row>
    <x:row r="31">
      <x:c r="A31" s="21"/>
      <x:c r="B31" s="35"/>
      <x:c r="C31" s="21"/>
      <x:c r="D31" s="21"/>
      <x:c r="E31" s="21"/>
      <x:c r="F31" s="21"/>
      <x:c r="G31" s="21"/>
      <x:c r="H31" s="29" t="str">
        <x:f>IF(OR(D31="",E31=""),"",D31&amp;"|"&amp;E31&amp;"|"&amp;IF(F31="","00",F31)&amp;"|"&amp;IF(G31="","01",G31))</x:f>
      </x:c>
      <x:c r="I31" s="21"/>
      <x:c r="J31" s="29" t="str">
        <x:f>IF(K31="","",IFERROR(INDEX('04_KE_HOACH_CD'!$I$6:$I$305,MATCH(K31,'04_KE_HOACH_CD'!$G$6:$G$305,0)),""))</x:f>
      </x:c>
      <x:c r="K31" s="29" t="str">
        <x:f>IF(OR(H31="",I31=""),"",H31&amp;"|"&amp;TEXT(I31,"000"))</x:f>
      </x:c>
      <x:c r="L31" s="21"/>
      <x:c r="M31" s="21"/>
      <x:c r="N31" s="21"/>
      <x:c r="O31" s="43"/>
      <x:c r="P31" s="43"/>
      <x:c r="Q31" s="25"/>
      <x:c r="R31" s="25"/>
      <x:c r="S31" s="39" t="str">
        <x:f>IF(A31="","",SUMIF('07_DUNG_CHO'!$B$6:$B$505,A31,'07_DUNG_CHO'!$E$6:$E$505))</x:f>
      </x:c>
      <x:c r="T31" s="39" t="str">
        <x:f>IF(A31="","",IF(N31="SETUP",0,MAX(0,(P31-O31)*1440-Q31-S31)))</x:f>
      </x:c>
      <x:c r="U31" s="25"/>
      <x:c r="V31" s="25"/>
      <x:c r="W31" s="25"/>
      <x:c r="X31" s="25"/>
      <x:c r="Y31" s="25"/>
      <x:c r="Z31" s="25"/>
      <x:c r="AA31" s="39" t="str">
        <x:f>IF(A31="","",U31-SUM(V31,X31:Z31))</x:f>
      </x:c>
      <x:c r="AB31" s="39" t="str">
        <x:f>IF(A31="","",IF(N31="SETUP",IFERROR(INDEX('04_KE_HOACH_CD'!$K$6:$K$305,MATCH(K31,'04_KE_HOACH_CD'!$G$6:$G$305,0)),0),IF(OR(N31="PRODUCTION",N31="REWORK"),IFERROR(INDEX('04_KE_HOACH_CD'!$L$6:$L$305,MATCH(K31,'04_KE_HOACH_CD'!$G$6:$G$305,0))*V31,0),0)))</x:f>
      </x:c>
      <x:c r="AC31" s="39" t="str">
        <x:f>IF(A31="","",MAX(0,(P31-O31)*1440-Q31))</x:f>
      </x:c>
      <x:c r="AD31" s="37" t="str">
        <x:f>IF(A31="","",IFERROR(AB31/AC31,0))</x:f>
      </x:c>
      <x:c r="AE31" s="33" t="str">
        <x:f>IF(A31="","",AC31/60*SUMIF(DM_NHAN_SU!$A$6:$A$105,L31,DM_NHAN_SU!$E$6:$E$105))</x:f>
      </x:c>
      <x:c r="AF31" s="33" t="str">
        <x:f>IF(A31="","",AC31/60*SUMIF(DM_MAY!$A$6:$A$105,M31,DM_MAY!$F$6:$F$105))</x:f>
      </x:c>
      <x:c r="AG31" s="33" t="str">
        <x:f>IF(A31="","",AE31+AF31)</x:f>
      </x:c>
      <x:c r="AH31" s="21"/>
      <x:c r="AI31" s="29" t="str">
        <x:f>IF(A31="","",IF(OR(B31="",D31="",E31="",I31="",L31="",N31="",O31="",P31=""),"Thiếu dữ liệu",IF(AND(OR(N31="PRODUCTION",N31="REWORK",N31="SETUP"),M31=""),"Thiếu máy",IF(P31&lt;O31,"Sai thời gian",IF(AA31&lt;&gt;0,"Sai cân đối SL","Hợp lệ")))))</x:f>
      </x:c>
      <x:c r="AJ31" s="21"/>
    </x:row>
    <x:row r="32">
      <x:c r="A32" s="21"/>
      <x:c r="B32" s="35"/>
      <x:c r="C32" s="21"/>
      <x:c r="D32" s="21"/>
      <x:c r="E32" s="21"/>
      <x:c r="F32" s="21"/>
      <x:c r="G32" s="21"/>
      <x:c r="H32" s="29" t="str">
        <x:f>IF(OR(D32="",E32=""),"",D32&amp;"|"&amp;E32&amp;"|"&amp;IF(F32="","00",F32)&amp;"|"&amp;IF(G32="","01",G32))</x:f>
      </x:c>
      <x:c r="I32" s="21"/>
      <x:c r="J32" s="29" t="str">
        <x:f>IF(K32="","",IFERROR(INDEX('04_KE_HOACH_CD'!$I$6:$I$305,MATCH(K32,'04_KE_HOACH_CD'!$G$6:$G$305,0)),""))</x:f>
      </x:c>
      <x:c r="K32" s="29" t="str">
        <x:f>IF(OR(H32="",I32=""),"",H32&amp;"|"&amp;TEXT(I32,"000"))</x:f>
      </x:c>
      <x:c r="L32" s="21"/>
      <x:c r="M32" s="21"/>
      <x:c r="N32" s="21"/>
      <x:c r="O32" s="43"/>
      <x:c r="P32" s="43"/>
      <x:c r="Q32" s="25"/>
      <x:c r="R32" s="25"/>
      <x:c r="S32" s="39" t="str">
        <x:f>IF(A32="","",SUMIF('07_DUNG_CHO'!$B$6:$B$505,A32,'07_DUNG_CHO'!$E$6:$E$505))</x:f>
      </x:c>
      <x:c r="T32" s="39" t="str">
        <x:f>IF(A32="","",IF(N32="SETUP",0,MAX(0,(P32-O32)*1440-Q32-S32)))</x:f>
      </x:c>
      <x:c r="U32" s="25"/>
      <x:c r="V32" s="25"/>
      <x:c r="W32" s="25"/>
      <x:c r="X32" s="25"/>
      <x:c r="Y32" s="25"/>
      <x:c r="Z32" s="25"/>
      <x:c r="AA32" s="39" t="str">
        <x:f>IF(A32="","",U32-SUM(V32,X32:Z32))</x:f>
      </x:c>
      <x:c r="AB32" s="39" t="str">
        <x:f>IF(A32="","",IF(N32="SETUP",IFERROR(INDEX('04_KE_HOACH_CD'!$K$6:$K$305,MATCH(K32,'04_KE_HOACH_CD'!$G$6:$G$305,0)),0),IF(OR(N32="PRODUCTION",N32="REWORK"),IFERROR(INDEX('04_KE_HOACH_CD'!$L$6:$L$305,MATCH(K32,'04_KE_HOACH_CD'!$G$6:$G$305,0))*V32,0),0)))</x:f>
      </x:c>
      <x:c r="AC32" s="39" t="str">
        <x:f>IF(A32="","",MAX(0,(P32-O32)*1440-Q32))</x:f>
      </x:c>
      <x:c r="AD32" s="37" t="str">
        <x:f>IF(A32="","",IFERROR(AB32/AC32,0))</x:f>
      </x:c>
      <x:c r="AE32" s="33" t="str">
        <x:f>IF(A32="","",AC32/60*SUMIF(DM_NHAN_SU!$A$6:$A$105,L32,DM_NHAN_SU!$E$6:$E$105))</x:f>
      </x:c>
      <x:c r="AF32" s="33" t="str">
        <x:f>IF(A32="","",AC32/60*SUMIF(DM_MAY!$A$6:$A$105,M32,DM_MAY!$F$6:$F$105))</x:f>
      </x:c>
      <x:c r="AG32" s="33" t="str">
        <x:f>IF(A32="","",AE32+AF32)</x:f>
      </x:c>
      <x:c r="AH32" s="21"/>
      <x:c r="AI32" s="29" t="str">
        <x:f>IF(A32="","",IF(OR(B32="",D32="",E32="",I32="",L32="",N32="",O32="",P32=""),"Thiếu dữ liệu",IF(AND(OR(N32="PRODUCTION",N32="REWORK",N32="SETUP"),M32=""),"Thiếu máy",IF(P32&lt;O32,"Sai thời gian",IF(AA32&lt;&gt;0,"Sai cân đối SL","Hợp lệ")))))</x:f>
      </x:c>
      <x:c r="AJ32" s="21"/>
    </x:row>
    <x:row r="33">
      <x:c r="A33" s="21"/>
      <x:c r="B33" s="35"/>
      <x:c r="C33" s="21"/>
      <x:c r="D33" s="21"/>
      <x:c r="E33" s="21"/>
      <x:c r="F33" s="21"/>
      <x:c r="G33" s="21"/>
      <x:c r="H33" s="29" t="str">
        <x:f>IF(OR(D33="",E33=""),"",D33&amp;"|"&amp;E33&amp;"|"&amp;IF(F33="","00",F33)&amp;"|"&amp;IF(G33="","01",G33))</x:f>
      </x:c>
      <x:c r="I33" s="21"/>
      <x:c r="J33" s="29" t="str">
        <x:f>IF(K33="","",IFERROR(INDEX('04_KE_HOACH_CD'!$I$6:$I$305,MATCH(K33,'04_KE_HOACH_CD'!$G$6:$G$305,0)),""))</x:f>
      </x:c>
      <x:c r="K33" s="29" t="str">
        <x:f>IF(OR(H33="",I33=""),"",H33&amp;"|"&amp;TEXT(I33,"000"))</x:f>
      </x:c>
      <x:c r="L33" s="21"/>
      <x:c r="M33" s="21"/>
      <x:c r="N33" s="21"/>
      <x:c r="O33" s="43"/>
      <x:c r="P33" s="43"/>
      <x:c r="Q33" s="25"/>
      <x:c r="R33" s="25"/>
      <x:c r="S33" s="39" t="str">
        <x:f>IF(A33="","",SUMIF('07_DUNG_CHO'!$B$6:$B$505,A33,'07_DUNG_CHO'!$E$6:$E$505))</x:f>
      </x:c>
      <x:c r="T33" s="39" t="str">
        <x:f>IF(A33="","",IF(N33="SETUP",0,MAX(0,(P33-O33)*1440-Q33-S33)))</x:f>
      </x:c>
      <x:c r="U33" s="25"/>
      <x:c r="V33" s="25"/>
      <x:c r="W33" s="25"/>
      <x:c r="X33" s="25"/>
      <x:c r="Y33" s="25"/>
      <x:c r="Z33" s="25"/>
      <x:c r="AA33" s="39" t="str">
        <x:f>IF(A33="","",U33-SUM(V33,X33:Z33))</x:f>
      </x:c>
      <x:c r="AB33" s="39" t="str">
        <x:f>IF(A33="","",IF(N33="SETUP",IFERROR(INDEX('04_KE_HOACH_CD'!$K$6:$K$305,MATCH(K33,'04_KE_HOACH_CD'!$G$6:$G$305,0)),0),IF(OR(N33="PRODUCTION",N33="REWORK"),IFERROR(INDEX('04_KE_HOACH_CD'!$L$6:$L$305,MATCH(K33,'04_KE_HOACH_CD'!$G$6:$G$305,0))*V33,0),0)))</x:f>
      </x:c>
      <x:c r="AC33" s="39" t="str">
        <x:f>IF(A33="","",MAX(0,(P33-O33)*1440-Q33))</x:f>
      </x:c>
      <x:c r="AD33" s="37" t="str">
        <x:f>IF(A33="","",IFERROR(AB33/AC33,0))</x:f>
      </x:c>
      <x:c r="AE33" s="33" t="str">
        <x:f>IF(A33="","",AC33/60*SUMIF(DM_NHAN_SU!$A$6:$A$105,L33,DM_NHAN_SU!$E$6:$E$105))</x:f>
      </x:c>
      <x:c r="AF33" s="33" t="str">
        <x:f>IF(A33="","",AC33/60*SUMIF(DM_MAY!$A$6:$A$105,M33,DM_MAY!$F$6:$F$105))</x:f>
      </x:c>
      <x:c r="AG33" s="33" t="str">
        <x:f>IF(A33="","",AE33+AF33)</x:f>
      </x:c>
      <x:c r="AH33" s="21"/>
      <x:c r="AI33" s="29" t="str">
        <x:f>IF(A33="","",IF(OR(B33="",D33="",E33="",I33="",L33="",N33="",O33="",P33=""),"Thiếu dữ liệu",IF(AND(OR(N33="PRODUCTION",N33="REWORK",N33="SETUP"),M33=""),"Thiếu máy",IF(P33&lt;O33,"Sai thời gian",IF(AA33&lt;&gt;0,"Sai cân đối SL","Hợp lệ")))))</x:f>
      </x:c>
      <x:c r="AJ33" s="21"/>
    </x:row>
    <x:row r="34">
      <x:c r="A34" s="21"/>
      <x:c r="B34" s="35"/>
      <x:c r="C34" s="21"/>
      <x:c r="D34" s="21"/>
      <x:c r="E34" s="21"/>
      <x:c r="F34" s="21"/>
      <x:c r="G34" s="21"/>
      <x:c r="H34" s="29" t="str">
        <x:f>IF(OR(D34="",E34=""),"",D34&amp;"|"&amp;E34&amp;"|"&amp;IF(F34="","00",F34)&amp;"|"&amp;IF(G34="","01",G34))</x:f>
      </x:c>
      <x:c r="I34" s="21"/>
      <x:c r="J34" s="29" t="str">
        <x:f>IF(K34="","",IFERROR(INDEX('04_KE_HOACH_CD'!$I$6:$I$305,MATCH(K34,'04_KE_HOACH_CD'!$G$6:$G$305,0)),""))</x:f>
      </x:c>
      <x:c r="K34" s="29" t="str">
        <x:f>IF(OR(H34="",I34=""),"",H34&amp;"|"&amp;TEXT(I34,"000"))</x:f>
      </x:c>
      <x:c r="L34" s="21"/>
      <x:c r="M34" s="21"/>
      <x:c r="N34" s="21"/>
      <x:c r="O34" s="43"/>
      <x:c r="P34" s="43"/>
      <x:c r="Q34" s="25"/>
      <x:c r="R34" s="25"/>
      <x:c r="S34" s="39" t="str">
        <x:f>IF(A34="","",SUMIF('07_DUNG_CHO'!$B$6:$B$505,A34,'07_DUNG_CHO'!$E$6:$E$505))</x:f>
      </x:c>
      <x:c r="T34" s="39" t="str">
        <x:f>IF(A34="","",IF(N34="SETUP",0,MAX(0,(P34-O34)*1440-Q34-S34)))</x:f>
      </x:c>
      <x:c r="U34" s="25"/>
      <x:c r="V34" s="25"/>
      <x:c r="W34" s="25"/>
      <x:c r="X34" s="25"/>
      <x:c r="Y34" s="25"/>
      <x:c r="Z34" s="25"/>
      <x:c r="AA34" s="39" t="str">
        <x:f>IF(A34="","",U34-SUM(V34,X34:Z34))</x:f>
      </x:c>
      <x:c r="AB34" s="39" t="str">
        <x:f>IF(A34="","",IF(N34="SETUP",IFERROR(INDEX('04_KE_HOACH_CD'!$K$6:$K$305,MATCH(K34,'04_KE_HOACH_CD'!$G$6:$G$305,0)),0),IF(OR(N34="PRODUCTION",N34="REWORK"),IFERROR(INDEX('04_KE_HOACH_CD'!$L$6:$L$305,MATCH(K34,'04_KE_HOACH_CD'!$G$6:$G$305,0))*V34,0),0)))</x:f>
      </x:c>
      <x:c r="AC34" s="39" t="str">
        <x:f>IF(A34="","",MAX(0,(P34-O34)*1440-Q34))</x:f>
      </x:c>
      <x:c r="AD34" s="37" t="str">
        <x:f>IF(A34="","",IFERROR(AB34/AC34,0))</x:f>
      </x:c>
      <x:c r="AE34" s="33" t="str">
        <x:f>IF(A34="","",AC34/60*SUMIF(DM_NHAN_SU!$A$6:$A$105,L34,DM_NHAN_SU!$E$6:$E$105))</x:f>
      </x:c>
      <x:c r="AF34" s="33" t="str">
        <x:f>IF(A34="","",AC34/60*SUMIF(DM_MAY!$A$6:$A$105,M34,DM_MAY!$F$6:$F$105))</x:f>
      </x:c>
      <x:c r="AG34" s="33" t="str">
        <x:f>IF(A34="","",AE34+AF34)</x:f>
      </x:c>
      <x:c r="AH34" s="21"/>
      <x:c r="AI34" s="29" t="str">
        <x:f>IF(A34="","",IF(OR(B34="",D34="",E34="",I34="",L34="",N34="",O34="",P34=""),"Thiếu dữ liệu",IF(AND(OR(N34="PRODUCTION",N34="REWORK",N34="SETUP"),M34=""),"Thiếu máy",IF(P34&lt;O34,"Sai thời gian",IF(AA34&lt;&gt;0,"Sai cân đối SL","Hợp lệ")))))</x:f>
      </x:c>
      <x:c r="AJ34" s="21"/>
    </x:row>
    <x:row r="35">
      <x:c r="A35" s="21"/>
      <x:c r="B35" s="35"/>
      <x:c r="C35" s="21"/>
      <x:c r="D35" s="21"/>
      <x:c r="E35" s="21"/>
      <x:c r="F35" s="21"/>
      <x:c r="G35" s="21"/>
      <x:c r="H35" s="29" t="str">
        <x:f>IF(OR(D35="",E35=""),"",D35&amp;"|"&amp;E35&amp;"|"&amp;IF(F35="","00",F35)&amp;"|"&amp;IF(G35="","01",G35))</x:f>
      </x:c>
      <x:c r="I35" s="21"/>
      <x:c r="J35" s="29" t="str">
        <x:f>IF(K35="","",IFERROR(INDEX('04_KE_HOACH_CD'!$I$6:$I$305,MATCH(K35,'04_KE_HOACH_CD'!$G$6:$G$305,0)),""))</x:f>
      </x:c>
      <x:c r="K35" s="29" t="str">
        <x:f>IF(OR(H35="",I35=""),"",H35&amp;"|"&amp;TEXT(I35,"000"))</x:f>
      </x:c>
      <x:c r="L35" s="21"/>
      <x:c r="M35" s="21"/>
      <x:c r="N35" s="21"/>
      <x:c r="O35" s="43"/>
      <x:c r="P35" s="43"/>
      <x:c r="Q35" s="25"/>
      <x:c r="R35" s="25"/>
      <x:c r="S35" s="39" t="str">
        <x:f>IF(A35="","",SUMIF('07_DUNG_CHO'!$B$6:$B$505,A35,'07_DUNG_CHO'!$E$6:$E$505))</x:f>
      </x:c>
      <x:c r="T35" s="39" t="str">
        <x:f>IF(A35="","",IF(N35="SETUP",0,MAX(0,(P35-O35)*1440-Q35-S35)))</x:f>
      </x:c>
      <x:c r="U35" s="25"/>
      <x:c r="V35" s="25"/>
      <x:c r="W35" s="25"/>
      <x:c r="X35" s="25"/>
      <x:c r="Y35" s="25"/>
      <x:c r="Z35" s="25"/>
      <x:c r="AA35" s="39" t="str">
        <x:f>IF(A35="","",U35-SUM(V35,X35:Z35))</x:f>
      </x:c>
      <x:c r="AB35" s="39" t="str">
        <x:f>IF(A35="","",IF(N35="SETUP",IFERROR(INDEX('04_KE_HOACH_CD'!$K$6:$K$305,MATCH(K35,'04_KE_HOACH_CD'!$G$6:$G$305,0)),0),IF(OR(N35="PRODUCTION",N35="REWORK"),IFERROR(INDEX('04_KE_HOACH_CD'!$L$6:$L$305,MATCH(K35,'04_KE_HOACH_CD'!$G$6:$G$305,0))*V35,0),0)))</x:f>
      </x:c>
      <x:c r="AC35" s="39" t="str">
        <x:f>IF(A35="","",MAX(0,(P35-O35)*1440-Q35))</x:f>
      </x:c>
      <x:c r="AD35" s="37" t="str">
        <x:f>IF(A35="","",IFERROR(AB35/AC35,0))</x:f>
      </x:c>
      <x:c r="AE35" s="33" t="str">
        <x:f>IF(A35="","",AC35/60*SUMIF(DM_NHAN_SU!$A$6:$A$105,L35,DM_NHAN_SU!$E$6:$E$105))</x:f>
      </x:c>
      <x:c r="AF35" s="33" t="str">
        <x:f>IF(A35="","",AC35/60*SUMIF(DM_MAY!$A$6:$A$105,M35,DM_MAY!$F$6:$F$105))</x:f>
      </x:c>
      <x:c r="AG35" s="33" t="str">
        <x:f>IF(A35="","",AE35+AF35)</x:f>
      </x:c>
      <x:c r="AH35" s="21"/>
      <x:c r="AI35" s="29" t="str">
        <x:f>IF(A35="","",IF(OR(B35="",D35="",E35="",I35="",L35="",N35="",O35="",P35=""),"Thiếu dữ liệu",IF(AND(OR(N35="PRODUCTION",N35="REWORK",N35="SETUP"),M35=""),"Thiếu máy",IF(P35&lt;O35,"Sai thời gian",IF(AA35&lt;&gt;0,"Sai cân đối SL","Hợp lệ")))))</x:f>
      </x:c>
      <x:c r="AJ35" s="21"/>
    </x:row>
    <x:row r="36">
      <x:c r="A36" s="21"/>
      <x:c r="B36" s="35"/>
      <x:c r="C36" s="21"/>
      <x:c r="D36" s="21"/>
      <x:c r="E36" s="21"/>
      <x:c r="F36" s="21"/>
      <x:c r="G36" s="21"/>
      <x:c r="H36" s="29" t="str">
        <x:f>IF(OR(D36="",E36=""),"",D36&amp;"|"&amp;E36&amp;"|"&amp;IF(F36="","00",F36)&amp;"|"&amp;IF(G36="","01",G36))</x:f>
      </x:c>
      <x:c r="I36" s="21"/>
      <x:c r="J36" s="29" t="str">
        <x:f>IF(K36="","",IFERROR(INDEX('04_KE_HOACH_CD'!$I$6:$I$305,MATCH(K36,'04_KE_HOACH_CD'!$G$6:$G$305,0)),""))</x:f>
      </x:c>
      <x:c r="K36" s="29" t="str">
        <x:f>IF(OR(H36="",I36=""),"",H36&amp;"|"&amp;TEXT(I36,"000"))</x:f>
      </x:c>
      <x:c r="L36" s="21"/>
      <x:c r="M36" s="21"/>
      <x:c r="N36" s="21"/>
      <x:c r="O36" s="43"/>
      <x:c r="P36" s="43"/>
      <x:c r="Q36" s="25"/>
      <x:c r="R36" s="25"/>
      <x:c r="S36" s="39" t="str">
        <x:f>IF(A36="","",SUMIF('07_DUNG_CHO'!$B$6:$B$505,A36,'07_DUNG_CHO'!$E$6:$E$505))</x:f>
      </x:c>
      <x:c r="T36" s="39" t="str">
        <x:f>IF(A36="","",IF(N36="SETUP",0,MAX(0,(P36-O36)*1440-Q36-S36)))</x:f>
      </x:c>
      <x:c r="U36" s="25"/>
      <x:c r="V36" s="25"/>
      <x:c r="W36" s="25"/>
      <x:c r="X36" s="25"/>
      <x:c r="Y36" s="25"/>
      <x:c r="Z36" s="25"/>
      <x:c r="AA36" s="39" t="str">
        <x:f>IF(A36="","",U36-SUM(V36,X36:Z36))</x:f>
      </x:c>
      <x:c r="AB36" s="39" t="str">
        <x:f>IF(A36="","",IF(N36="SETUP",IFERROR(INDEX('04_KE_HOACH_CD'!$K$6:$K$305,MATCH(K36,'04_KE_HOACH_CD'!$G$6:$G$305,0)),0),IF(OR(N36="PRODUCTION",N36="REWORK"),IFERROR(INDEX('04_KE_HOACH_CD'!$L$6:$L$305,MATCH(K36,'04_KE_HOACH_CD'!$G$6:$G$305,0))*V36,0),0)))</x:f>
      </x:c>
      <x:c r="AC36" s="39" t="str">
        <x:f>IF(A36="","",MAX(0,(P36-O36)*1440-Q36))</x:f>
      </x:c>
      <x:c r="AD36" s="37" t="str">
        <x:f>IF(A36="","",IFERROR(AB36/AC36,0))</x:f>
      </x:c>
      <x:c r="AE36" s="33" t="str">
        <x:f>IF(A36="","",AC36/60*SUMIF(DM_NHAN_SU!$A$6:$A$105,L36,DM_NHAN_SU!$E$6:$E$105))</x:f>
      </x:c>
      <x:c r="AF36" s="33" t="str">
        <x:f>IF(A36="","",AC36/60*SUMIF(DM_MAY!$A$6:$A$105,M36,DM_MAY!$F$6:$F$105))</x:f>
      </x:c>
      <x:c r="AG36" s="33" t="str">
        <x:f>IF(A36="","",AE36+AF36)</x:f>
      </x:c>
      <x:c r="AH36" s="21"/>
      <x:c r="AI36" s="29" t="str">
        <x:f>IF(A36="","",IF(OR(B36="",D36="",E36="",I36="",L36="",N36="",O36="",P36=""),"Thiếu dữ liệu",IF(AND(OR(N36="PRODUCTION",N36="REWORK",N36="SETUP"),M36=""),"Thiếu máy",IF(P36&lt;O36,"Sai thời gian",IF(AA36&lt;&gt;0,"Sai cân đối SL","Hợp lệ")))))</x:f>
      </x:c>
      <x:c r="AJ36" s="21"/>
    </x:row>
    <x:row r="37">
      <x:c r="A37" s="21"/>
      <x:c r="B37" s="35"/>
      <x:c r="C37" s="21"/>
      <x:c r="D37" s="21"/>
      <x:c r="E37" s="21"/>
      <x:c r="F37" s="21"/>
      <x:c r="G37" s="21"/>
      <x:c r="H37" s="29" t="str">
        <x:f>IF(OR(D37="",E37=""),"",D37&amp;"|"&amp;E37&amp;"|"&amp;IF(F37="","00",F37)&amp;"|"&amp;IF(G37="","01",G37))</x:f>
      </x:c>
      <x:c r="I37" s="21"/>
      <x:c r="J37" s="29" t="str">
        <x:f>IF(K37="","",IFERROR(INDEX('04_KE_HOACH_CD'!$I$6:$I$305,MATCH(K37,'04_KE_HOACH_CD'!$G$6:$G$305,0)),""))</x:f>
      </x:c>
      <x:c r="K37" s="29" t="str">
        <x:f>IF(OR(H37="",I37=""),"",H37&amp;"|"&amp;TEXT(I37,"000"))</x:f>
      </x:c>
      <x:c r="L37" s="21"/>
      <x:c r="M37" s="21"/>
      <x:c r="N37" s="21"/>
      <x:c r="O37" s="43"/>
      <x:c r="P37" s="43"/>
      <x:c r="Q37" s="25"/>
      <x:c r="R37" s="25"/>
      <x:c r="S37" s="39" t="str">
        <x:f>IF(A37="","",SUMIF('07_DUNG_CHO'!$B$6:$B$505,A37,'07_DUNG_CHO'!$E$6:$E$505))</x:f>
      </x:c>
      <x:c r="T37" s="39" t="str">
        <x:f>IF(A37="","",IF(N37="SETUP",0,MAX(0,(P37-O37)*1440-Q37-S37)))</x:f>
      </x:c>
      <x:c r="U37" s="25"/>
      <x:c r="V37" s="25"/>
      <x:c r="W37" s="25"/>
      <x:c r="X37" s="25"/>
      <x:c r="Y37" s="25"/>
      <x:c r="Z37" s="25"/>
      <x:c r="AA37" s="39" t="str">
        <x:f>IF(A37="","",U37-SUM(V37,X37:Z37))</x:f>
      </x:c>
      <x:c r="AB37" s="39" t="str">
        <x:f>IF(A37="","",IF(N37="SETUP",IFERROR(INDEX('04_KE_HOACH_CD'!$K$6:$K$305,MATCH(K37,'04_KE_HOACH_CD'!$G$6:$G$305,0)),0),IF(OR(N37="PRODUCTION",N37="REWORK"),IFERROR(INDEX('04_KE_HOACH_CD'!$L$6:$L$305,MATCH(K37,'04_KE_HOACH_CD'!$G$6:$G$305,0))*V37,0),0)))</x:f>
      </x:c>
      <x:c r="AC37" s="39" t="str">
        <x:f>IF(A37="","",MAX(0,(P37-O37)*1440-Q37))</x:f>
      </x:c>
      <x:c r="AD37" s="37" t="str">
        <x:f>IF(A37="","",IFERROR(AB37/AC37,0))</x:f>
      </x:c>
      <x:c r="AE37" s="33" t="str">
        <x:f>IF(A37="","",AC37/60*SUMIF(DM_NHAN_SU!$A$6:$A$105,L37,DM_NHAN_SU!$E$6:$E$105))</x:f>
      </x:c>
      <x:c r="AF37" s="33" t="str">
        <x:f>IF(A37="","",AC37/60*SUMIF(DM_MAY!$A$6:$A$105,M37,DM_MAY!$F$6:$F$105))</x:f>
      </x:c>
      <x:c r="AG37" s="33" t="str">
        <x:f>IF(A37="","",AE37+AF37)</x:f>
      </x:c>
      <x:c r="AH37" s="21"/>
      <x:c r="AI37" s="29" t="str">
        <x:f>IF(A37="","",IF(OR(B37="",D37="",E37="",I37="",L37="",N37="",O37="",P37=""),"Thiếu dữ liệu",IF(AND(OR(N37="PRODUCTION",N37="REWORK",N37="SETUP"),M37=""),"Thiếu máy",IF(P37&lt;O37,"Sai thời gian",IF(AA37&lt;&gt;0,"Sai cân đối SL","Hợp lệ")))))</x:f>
      </x:c>
      <x:c r="AJ37" s="21"/>
    </x:row>
    <x:row r="38">
      <x:c r="A38" s="21"/>
      <x:c r="B38" s="35"/>
      <x:c r="C38" s="21"/>
      <x:c r="D38" s="21"/>
      <x:c r="E38" s="21"/>
      <x:c r="F38" s="21"/>
      <x:c r="G38" s="21"/>
      <x:c r="H38" s="29" t="str">
        <x:f>IF(OR(D38="",E38=""),"",D38&amp;"|"&amp;E38&amp;"|"&amp;IF(F38="","00",F38)&amp;"|"&amp;IF(G38="","01",G38))</x:f>
      </x:c>
      <x:c r="I38" s="21"/>
      <x:c r="J38" s="29" t="str">
        <x:f>IF(K38="","",IFERROR(INDEX('04_KE_HOACH_CD'!$I$6:$I$305,MATCH(K38,'04_KE_HOACH_CD'!$G$6:$G$305,0)),""))</x:f>
      </x:c>
      <x:c r="K38" s="29" t="str">
        <x:f>IF(OR(H38="",I38=""),"",H38&amp;"|"&amp;TEXT(I38,"000"))</x:f>
      </x:c>
      <x:c r="L38" s="21"/>
      <x:c r="M38" s="21"/>
      <x:c r="N38" s="21"/>
      <x:c r="O38" s="43"/>
      <x:c r="P38" s="43"/>
      <x:c r="Q38" s="25"/>
      <x:c r="R38" s="25"/>
      <x:c r="S38" s="39" t="str">
        <x:f>IF(A38="","",SUMIF('07_DUNG_CHO'!$B$6:$B$505,A38,'07_DUNG_CHO'!$E$6:$E$505))</x:f>
      </x:c>
      <x:c r="T38" s="39" t="str">
        <x:f>IF(A38="","",IF(N38="SETUP",0,MAX(0,(P38-O38)*1440-Q38-S38)))</x:f>
      </x:c>
      <x:c r="U38" s="25"/>
      <x:c r="V38" s="25"/>
      <x:c r="W38" s="25"/>
      <x:c r="X38" s="25"/>
      <x:c r="Y38" s="25"/>
      <x:c r="Z38" s="25"/>
      <x:c r="AA38" s="39" t="str">
        <x:f>IF(A38="","",U38-SUM(V38,X38:Z38))</x:f>
      </x:c>
      <x:c r="AB38" s="39" t="str">
        <x:f>IF(A38="","",IF(N38="SETUP",IFERROR(INDEX('04_KE_HOACH_CD'!$K$6:$K$305,MATCH(K38,'04_KE_HOACH_CD'!$G$6:$G$305,0)),0),IF(OR(N38="PRODUCTION",N38="REWORK"),IFERROR(INDEX('04_KE_HOACH_CD'!$L$6:$L$305,MATCH(K38,'04_KE_HOACH_CD'!$G$6:$G$305,0))*V38,0),0)))</x:f>
      </x:c>
      <x:c r="AC38" s="39" t="str">
        <x:f>IF(A38="","",MAX(0,(P38-O38)*1440-Q38))</x:f>
      </x:c>
      <x:c r="AD38" s="37" t="str">
        <x:f>IF(A38="","",IFERROR(AB38/AC38,0))</x:f>
      </x:c>
      <x:c r="AE38" s="33" t="str">
        <x:f>IF(A38="","",AC38/60*SUMIF(DM_NHAN_SU!$A$6:$A$105,L38,DM_NHAN_SU!$E$6:$E$105))</x:f>
      </x:c>
      <x:c r="AF38" s="33" t="str">
        <x:f>IF(A38="","",AC38/60*SUMIF(DM_MAY!$A$6:$A$105,M38,DM_MAY!$F$6:$F$105))</x:f>
      </x:c>
      <x:c r="AG38" s="33" t="str">
        <x:f>IF(A38="","",AE38+AF38)</x:f>
      </x:c>
      <x:c r="AH38" s="21"/>
      <x:c r="AI38" s="29" t="str">
        <x:f>IF(A38="","",IF(OR(B38="",D38="",E38="",I38="",L38="",N38="",O38="",P38=""),"Thiếu dữ liệu",IF(AND(OR(N38="PRODUCTION",N38="REWORK",N38="SETUP"),M38=""),"Thiếu máy",IF(P38&lt;O38,"Sai thời gian",IF(AA38&lt;&gt;0,"Sai cân đối SL","Hợp lệ")))))</x:f>
      </x:c>
      <x:c r="AJ38" s="21"/>
    </x:row>
    <x:row r="39">
      <x:c r="A39" s="21"/>
      <x:c r="B39" s="35"/>
      <x:c r="C39" s="21"/>
      <x:c r="D39" s="21"/>
      <x:c r="E39" s="21"/>
      <x:c r="F39" s="21"/>
      <x:c r="G39" s="21"/>
      <x:c r="H39" s="29" t="str">
        <x:f>IF(OR(D39="",E39=""),"",D39&amp;"|"&amp;E39&amp;"|"&amp;IF(F39="","00",F39)&amp;"|"&amp;IF(G39="","01",G39))</x:f>
      </x:c>
      <x:c r="I39" s="21"/>
      <x:c r="J39" s="29" t="str">
        <x:f>IF(K39="","",IFERROR(INDEX('04_KE_HOACH_CD'!$I$6:$I$305,MATCH(K39,'04_KE_HOACH_CD'!$G$6:$G$305,0)),""))</x:f>
      </x:c>
      <x:c r="K39" s="29" t="str">
        <x:f>IF(OR(H39="",I39=""),"",H39&amp;"|"&amp;TEXT(I39,"000"))</x:f>
      </x:c>
      <x:c r="L39" s="21"/>
      <x:c r="M39" s="21"/>
      <x:c r="N39" s="21"/>
      <x:c r="O39" s="43"/>
      <x:c r="P39" s="43"/>
      <x:c r="Q39" s="25"/>
      <x:c r="R39" s="25"/>
      <x:c r="S39" s="39" t="str">
        <x:f>IF(A39="","",SUMIF('07_DUNG_CHO'!$B$6:$B$505,A39,'07_DUNG_CHO'!$E$6:$E$505))</x:f>
      </x:c>
      <x:c r="T39" s="39" t="str">
        <x:f>IF(A39="","",IF(N39="SETUP",0,MAX(0,(P39-O39)*1440-Q39-S39)))</x:f>
      </x:c>
      <x:c r="U39" s="25"/>
      <x:c r="V39" s="25"/>
      <x:c r="W39" s="25"/>
      <x:c r="X39" s="25"/>
      <x:c r="Y39" s="25"/>
      <x:c r="Z39" s="25"/>
      <x:c r="AA39" s="39" t="str">
        <x:f>IF(A39="","",U39-SUM(V39,X39:Z39))</x:f>
      </x:c>
      <x:c r="AB39" s="39" t="str">
        <x:f>IF(A39="","",IF(N39="SETUP",IFERROR(INDEX('04_KE_HOACH_CD'!$K$6:$K$305,MATCH(K39,'04_KE_HOACH_CD'!$G$6:$G$305,0)),0),IF(OR(N39="PRODUCTION",N39="REWORK"),IFERROR(INDEX('04_KE_HOACH_CD'!$L$6:$L$305,MATCH(K39,'04_KE_HOACH_CD'!$G$6:$G$305,0))*V39,0),0)))</x:f>
      </x:c>
      <x:c r="AC39" s="39" t="str">
        <x:f>IF(A39="","",MAX(0,(P39-O39)*1440-Q39))</x:f>
      </x:c>
      <x:c r="AD39" s="37" t="str">
        <x:f>IF(A39="","",IFERROR(AB39/AC39,0))</x:f>
      </x:c>
      <x:c r="AE39" s="33" t="str">
        <x:f>IF(A39="","",AC39/60*SUMIF(DM_NHAN_SU!$A$6:$A$105,L39,DM_NHAN_SU!$E$6:$E$105))</x:f>
      </x:c>
      <x:c r="AF39" s="33" t="str">
        <x:f>IF(A39="","",AC39/60*SUMIF(DM_MAY!$A$6:$A$105,M39,DM_MAY!$F$6:$F$105))</x:f>
      </x:c>
      <x:c r="AG39" s="33" t="str">
        <x:f>IF(A39="","",AE39+AF39)</x:f>
      </x:c>
      <x:c r="AH39" s="21"/>
      <x:c r="AI39" s="29" t="str">
        <x:f>IF(A39="","",IF(OR(B39="",D39="",E39="",I39="",L39="",N39="",O39="",P39=""),"Thiếu dữ liệu",IF(AND(OR(N39="PRODUCTION",N39="REWORK",N39="SETUP"),M39=""),"Thiếu máy",IF(P39&lt;O39,"Sai thời gian",IF(AA39&lt;&gt;0,"Sai cân đối SL","Hợp lệ")))))</x:f>
      </x:c>
      <x:c r="AJ39" s="21"/>
    </x:row>
    <x:row r="40">
      <x:c r="A40" s="21"/>
      <x:c r="B40" s="35"/>
      <x:c r="C40" s="21"/>
      <x:c r="D40" s="21"/>
      <x:c r="E40" s="21"/>
      <x:c r="F40" s="21"/>
      <x:c r="G40" s="21"/>
      <x:c r="H40" s="29" t="str">
        <x:f>IF(OR(D40="",E40=""),"",D40&amp;"|"&amp;E40&amp;"|"&amp;IF(F40="","00",F40)&amp;"|"&amp;IF(G40="","01",G40))</x:f>
      </x:c>
      <x:c r="I40" s="21"/>
      <x:c r="J40" s="29" t="str">
        <x:f>IF(K40="","",IFERROR(INDEX('04_KE_HOACH_CD'!$I$6:$I$305,MATCH(K40,'04_KE_HOACH_CD'!$G$6:$G$305,0)),""))</x:f>
      </x:c>
      <x:c r="K40" s="29" t="str">
        <x:f>IF(OR(H40="",I40=""),"",H40&amp;"|"&amp;TEXT(I40,"000"))</x:f>
      </x:c>
      <x:c r="L40" s="21"/>
      <x:c r="M40" s="21"/>
      <x:c r="N40" s="21"/>
      <x:c r="O40" s="43"/>
      <x:c r="P40" s="43"/>
      <x:c r="Q40" s="25"/>
      <x:c r="R40" s="25"/>
      <x:c r="S40" s="39" t="str">
        <x:f>IF(A40="","",SUMIF('07_DUNG_CHO'!$B$6:$B$505,A40,'07_DUNG_CHO'!$E$6:$E$505))</x:f>
      </x:c>
      <x:c r="T40" s="39" t="str">
        <x:f>IF(A40="","",IF(N40="SETUP",0,MAX(0,(P40-O40)*1440-Q40-S40)))</x:f>
      </x:c>
      <x:c r="U40" s="25"/>
      <x:c r="V40" s="25"/>
      <x:c r="W40" s="25"/>
      <x:c r="X40" s="25"/>
      <x:c r="Y40" s="25"/>
      <x:c r="Z40" s="25"/>
      <x:c r="AA40" s="39" t="str">
        <x:f>IF(A40="","",U40-SUM(V40,X40:Z40))</x:f>
      </x:c>
      <x:c r="AB40" s="39" t="str">
        <x:f>IF(A40="","",IF(N40="SETUP",IFERROR(INDEX('04_KE_HOACH_CD'!$K$6:$K$305,MATCH(K40,'04_KE_HOACH_CD'!$G$6:$G$305,0)),0),IF(OR(N40="PRODUCTION",N40="REWORK"),IFERROR(INDEX('04_KE_HOACH_CD'!$L$6:$L$305,MATCH(K40,'04_KE_HOACH_CD'!$G$6:$G$305,0))*V40,0),0)))</x:f>
      </x:c>
      <x:c r="AC40" s="39" t="str">
        <x:f>IF(A40="","",MAX(0,(P40-O40)*1440-Q40))</x:f>
      </x:c>
      <x:c r="AD40" s="37" t="str">
        <x:f>IF(A40="","",IFERROR(AB40/AC40,0))</x:f>
      </x:c>
      <x:c r="AE40" s="33" t="str">
        <x:f>IF(A40="","",AC40/60*SUMIF(DM_NHAN_SU!$A$6:$A$105,L40,DM_NHAN_SU!$E$6:$E$105))</x:f>
      </x:c>
      <x:c r="AF40" s="33" t="str">
        <x:f>IF(A40="","",AC40/60*SUMIF(DM_MAY!$A$6:$A$105,M40,DM_MAY!$F$6:$F$105))</x:f>
      </x:c>
      <x:c r="AG40" s="33" t="str">
        <x:f>IF(A40="","",AE40+AF40)</x:f>
      </x:c>
      <x:c r="AH40" s="21"/>
      <x:c r="AI40" s="29" t="str">
        <x:f>IF(A40="","",IF(OR(B40="",D40="",E40="",I40="",L40="",N40="",O40="",P40=""),"Thiếu dữ liệu",IF(AND(OR(N40="PRODUCTION",N40="REWORK",N40="SETUP"),M40=""),"Thiếu máy",IF(P40&lt;O40,"Sai thời gian",IF(AA40&lt;&gt;0,"Sai cân đối SL","Hợp lệ")))))</x:f>
      </x:c>
      <x:c r="AJ40" s="21"/>
    </x:row>
    <x:row r="41">
      <x:c r="A41" s="21"/>
      <x:c r="B41" s="35"/>
      <x:c r="C41" s="21"/>
      <x:c r="D41" s="21"/>
      <x:c r="E41" s="21"/>
      <x:c r="F41" s="21"/>
      <x:c r="G41" s="21"/>
      <x:c r="H41" s="29" t="str">
        <x:f>IF(OR(D41="",E41=""),"",D41&amp;"|"&amp;E41&amp;"|"&amp;IF(F41="","00",F41)&amp;"|"&amp;IF(G41="","01",G41))</x:f>
      </x:c>
      <x:c r="I41" s="21"/>
      <x:c r="J41" s="29" t="str">
        <x:f>IF(K41="","",IFERROR(INDEX('04_KE_HOACH_CD'!$I$6:$I$305,MATCH(K41,'04_KE_HOACH_CD'!$G$6:$G$305,0)),""))</x:f>
      </x:c>
      <x:c r="K41" s="29" t="str">
        <x:f>IF(OR(H41="",I41=""),"",H41&amp;"|"&amp;TEXT(I41,"000"))</x:f>
      </x:c>
      <x:c r="L41" s="21"/>
      <x:c r="M41" s="21"/>
      <x:c r="N41" s="21"/>
      <x:c r="O41" s="43"/>
      <x:c r="P41" s="43"/>
      <x:c r="Q41" s="25"/>
      <x:c r="R41" s="25"/>
      <x:c r="S41" s="39" t="str">
        <x:f>IF(A41="","",SUMIF('07_DUNG_CHO'!$B$6:$B$505,A41,'07_DUNG_CHO'!$E$6:$E$505))</x:f>
      </x:c>
      <x:c r="T41" s="39" t="str">
        <x:f>IF(A41="","",IF(N41="SETUP",0,MAX(0,(P41-O41)*1440-Q41-S41)))</x:f>
      </x:c>
      <x:c r="U41" s="25"/>
      <x:c r="V41" s="25"/>
      <x:c r="W41" s="25"/>
      <x:c r="X41" s="25"/>
      <x:c r="Y41" s="25"/>
      <x:c r="Z41" s="25"/>
      <x:c r="AA41" s="39" t="str">
        <x:f>IF(A41="","",U41-SUM(V41,X41:Z41))</x:f>
      </x:c>
      <x:c r="AB41" s="39" t="str">
        <x:f>IF(A41="","",IF(N41="SETUP",IFERROR(INDEX('04_KE_HOACH_CD'!$K$6:$K$305,MATCH(K41,'04_KE_HOACH_CD'!$G$6:$G$305,0)),0),IF(OR(N41="PRODUCTION",N41="REWORK"),IFERROR(INDEX('04_KE_HOACH_CD'!$L$6:$L$305,MATCH(K41,'04_KE_HOACH_CD'!$G$6:$G$305,0))*V41,0),0)))</x:f>
      </x:c>
      <x:c r="AC41" s="39" t="str">
        <x:f>IF(A41="","",MAX(0,(P41-O41)*1440-Q41))</x:f>
      </x:c>
      <x:c r="AD41" s="37" t="str">
        <x:f>IF(A41="","",IFERROR(AB41/AC41,0))</x:f>
      </x:c>
      <x:c r="AE41" s="33" t="str">
        <x:f>IF(A41="","",AC41/60*SUMIF(DM_NHAN_SU!$A$6:$A$105,L41,DM_NHAN_SU!$E$6:$E$105))</x:f>
      </x:c>
      <x:c r="AF41" s="33" t="str">
        <x:f>IF(A41="","",AC41/60*SUMIF(DM_MAY!$A$6:$A$105,M41,DM_MAY!$F$6:$F$105))</x:f>
      </x:c>
      <x:c r="AG41" s="33" t="str">
        <x:f>IF(A41="","",AE41+AF41)</x:f>
      </x:c>
      <x:c r="AH41" s="21"/>
      <x:c r="AI41" s="29" t="str">
        <x:f>IF(A41="","",IF(OR(B41="",D41="",E41="",I41="",L41="",N41="",O41="",P41=""),"Thiếu dữ liệu",IF(AND(OR(N41="PRODUCTION",N41="REWORK",N41="SETUP"),M41=""),"Thiếu máy",IF(P41&lt;O41,"Sai thời gian",IF(AA41&lt;&gt;0,"Sai cân đối SL","Hợp lệ")))))</x:f>
      </x:c>
      <x:c r="AJ41" s="21"/>
    </x:row>
    <x:row r="42">
      <x:c r="A42" s="21"/>
      <x:c r="B42" s="35"/>
      <x:c r="C42" s="21"/>
      <x:c r="D42" s="21"/>
      <x:c r="E42" s="21"/>
      <x:c r="F42" s="21"/>
      <x:c r="G42" s="21"/>
      <x:c r="H42" s="29" t="str">
        <x:f>IF(OR(D42="",E42=""),"",D42&amp;"|"&amp;E42&amp;"|"&amp;IF(F42="","00",F42)&amp;"|"&amp;IF(G42="","01",G42))</x:f>
      </x:c>
      <x:c r="I42" s="21"/>
      <x:c r="J42" s="29" t="str">
        <x:f>IF(K42="","",IFERROR(INDEX('04_KE_HOACH_CD'!$I$6:$I$305,MATCH(K42,'04_KE_HOACH_CD'!$G$6:$G$305,0)),""))</x:f>
      </x:c>
      <x:c r="K42" s="29" t="str">
        <x:f>IF(OR(H42="",I42=""),"",H42&amp;"|"&amp;TEXT(I42,"000"))</x:f>
      </x:c>
      <x:c r="L42" s="21"/>
      <x:c r="M42" s="21"/>
      <x:c r="N42" s="21"/>
      <x:c r="O42" s="43"/>
      <x:c r="P42" s="43"/>
      <x:c r="Q42" s="25"/>
      <x:c r="R42" s="25"/>
      <x:c r="S42" s="39" t="str">
        <x:f>IF(A42="","",SUMIF('07_DUNG_CHO'!$B$6:$B$505,A42,'07_DUNG_CHO'!$E$6:$E$505))</x:f>
      </x:c>
      <x:c r="T42" s="39" t="str">
        <x:f>IF(A42="","",IF(N42="SETUP",0,MAX(0,(P42-O42)*1440-Q42-S42)))</x:f>
      </x:c>
      <x:c r="U42" s="25"/>
      <x:c r="V42" s="25"/>
      <x:c r="W42" s="25"/>
      <x:c r="X42" s="25"/>
      <x:c r="Y42" s="25"/>
      <x:c r="Z42" s="25"/>
      <x:c r="AA42" s="39" t="str">
        <x:f>IF(A42="","",U42-SUM(V42,X42:Z42))</x:f>
      </x:c>
      <x:c r="AB42" s="39" t="str">
        <x:f>IF(A42="","",IF(N42="SETUP",IFERROR(INDEX('04_KE_HOACH_CD'!$K$6:$K$305,MATCH(K42,'04_KE_HOACH_CD'!$G$6:$G$305,0)),0),IF(OR(N42="PRODUCTION",N42="REWORK"),IFERROR(INDEX('04_KE_HOACH_CD'!$L$6:$L$305,MATCH(K42,'04_KE_HOACH_CD'!$G$6:$G$305,0))*V42,0),0)))</x:f>
      </x:c>
      <x:c r="AC42" s="39" t="str">
        <x:f>IF(A42="","",MAX(0,(P42-O42)*1440-Q42))</x:f>
      </x:c>
      <x:c r="AD42" s="37" t="str">
        <x:f>IF(A42="","",IFERROR(AB42/AC42,0))</x:f>
      </x:c>
      <x:c r="AE42" s="33" t="str">
        <x:f>IF(A42="","",AC42/60*SUMIF(DM_NHAN_SU!$A$6:$A$105,L42,DM_NHAN_SU!$E$6:$E$105))</x:f>
      </x:c>
      <x:c r="AF42" s="33" t="str">
        <x:f>IF(A42="","",AC42/60*SUMIF(DM_MAY!$A$6:$A$105,M42,DM_MAY!$F$6:$F$105))</x:f>
      </x:c>
      <x:c r="AG42" s="33" t="str">
        <x:f>IF(A42="","",AE42+AF42)</x:f>
      </x:c>
      <x:c r="AH42" s="21"/>
      <x:c r="AI42" s="29" t="str">
        <x:f>IF(A42="","",IF(OR(B42="",D42="",E42="",I42="",L42="",N42="",O42="",P42=""),"Thiếu dữ liệu",IF(AND(OR(N42="PRODUCTION",N42="REWORK",N42="SETUP"),M42=""),"Thiếu máy",IF(P42&lt;O42,"Sai thời gian",IF(AA42&lt;&gt;0,"Sai cân đối SL","Hợp lệ")))))</x:f>
      </x:c>
      <x:c r="AJ42" s="21"/>
    </x:row>
    <x:row r="43">
      <x:c r="A43" s="21"/>
      <x:c r="B43" s="35"/>
      <x:c r="C43" s="21"/>
      <x:c r="D43" s="21"/>
      <x:c r="E43" s="21"/>
      <x:c r="F43" s="21"/>
      <x:c r="G43" s="21"/>
      <x:c r="H43" s="29" t="str">
        <x:f>IF(OR(D43="",E43=""),"",D43&amp;"|"&amp;E43&amp;"|"&amp;IF(F43="","00",F43)&amp;"|"&amp;IF(G43="","01",G43))</x:f>
      </x:c>
      <x:c r="I43" s="21"/>
      <x:c r="J43" s="29" t="str">
        <x:f>IF(K43="","",IFERROR(INDEX('04_KE_HOACH_CD'!$I$6:$I$305,MATCH(K43,'04_KE_HOACH_CD'!$G$6:$G$305,0)),""))</x:f>
      </x:c>
      <x:c r="K43" s="29" t="str">
        <x:f>IF(OR(H43="",I43=""),"",H43&amp;"|"&amp;TEXT(I43,"000"))</x:f>
      </x:c>
      <x:c r="L43" s="21"/>
      <x:c r="M43" s="21"/>
      <x:c r="N43" s="21"/>
      <x:c r="O43" s="43"/>
      <x:c r="P43" s="43"/>
      <x:c r="Q43" s="25"/>
      <x:c r="R43" s="25"/>
      <x:c r="S43" s="39" t="str">
        <x:f>IF(A43="","",SUMIF('07_DUNG_CHO'!$B$6:$B$505,A43,'07_DUNG_CHO'!$E$6:$E$505))</x:f>
      </x:c>
      <x:c r="T43" s="39" t="str">
        <x:f>IF(A43="","",IF(N43="SETUP",0,MAX(0,(P43-O43)*1440-Q43-S43)))</x:f>
      </x:c>
      <x:c r="U43" s="25"/>
      <x:c r="V43" s="25"/>
      <x:c r="W43" s="25"/>
      <x:c r="X43" s="25"/>
      <x:c r="Y43" s="25"/>
      <x:c r="Z43" s="25"/>
      <x:c r="AA43" s="39" t="str">
        <x:f>IF(A43="","",U43-SUM(V43,X43:Z43))</x:f>
      </x:c>
      <x:c r="AB43" s="39" t="str">
        <x:f>IF(A43="","",IF(N43="SETUP",IFERROR(INDEX('04_KE_HOACH_CD'!$K$6:$K$305,MATCH(K43,'04_KE_HOACH_CD'!$G$6:$G$305,0)),0),IF(OR(N43="PRODUCTION",N43="REWORK"),IFERROR(INDEX('04_KE_HOACH_CD'!$L$6:$L$305,MATCH(K43,'04_KE_HOACH_CD'!$G$6:$G$305,0))*V43,0),0)))</x:f>
      </x:c>
      <x:c r="AC43" s="39" t="str">
        <x:f>IF(A43="","",MAX(0,(P43-O43)*1440-Q43))</x:f>
      </x:c>
      <x:c r="AD43" s="37" t="str">
        <x:f>IF(A43="","",IFERROR(AB43/AC43,0))</x:f>
      </x:c>
      <x:c r="AE43" s="33" t="str">
        <x:f>IF(A43="","",AC43/60*SUMIF(DM_NHAN_SU!$A$6:$A$105,L43,DM_NHAN_SU!$E$6:$E$105))</x:f>
      </x:c>
      <x:c r="AF43" s="33" t="str">
        <x:f>IF(A43="","",AC43/60*SUMIF(DM_MAY!$A$6:$A$105,M43,DM_MAY!$F$6:$F$105))</x:f>
      </x:c>
      <x:c r="AG43" s="33" t="str">
        <x:f>IF(A43="","",AE43+AF43)</x:f>
      </x:c>
      <x:c r="AH43" s="21"/>
      <x:c r="AI43" s="29" t="str">
        <x:f>IF(A43="","",IF(OR(B43="",D43="",E43="",I43="",L43="",N43="",O43="",P43=""),"Thiếu dữ liệu",IF(AND(OR(N43="PRODUCTION",N43="REWORK",N43="SETUP"),M43=""),"Thiếu máy",IF(P43&lt;O43,"Sai thời gian",IF(AA43&lt;&gt;0,"Sai cân đối SL","Hợp lệ")))))</x:f>
      </x:c>
      <x:c r="AJ43" s="21"/>
    </x:row>
    <x:row r="44">
      <x:c r="A44" s="21"/>
      <x:c r="B44" s="35"/>
      <x:c r="C44" s="21"/>
      <x:c r="D44" s="21"/>
      <x:c r="E44" s="21"/>
      <x:c r="F44" s="21"/>
      <x:c r="G44" s="21"/>
      <x:c r="H44" s="29" t="str">
        <x:f>IF(OR(D44="",E44=""),"",D44&amp;"|"&amp;E44&amp;"|"&amp;IF(F44="","00",F44)&amp;"|"&amp;IF(G44="","01",G44))</x:f>
      </x:c>
      <x:c r="I44" s="21"/>
      <x:c r="J44" s="29" t="str">
        <x:f>IF(K44="","",IFERROR(INDEX('04_KE_HOACH_CD'!$I$6:$I$305,MATCH(K44,'04_KE_HOACH_CD'!$G$6:$G$305,0)),""))</x:f>
      </x:c>
      <x:c r="K44" s="29" t="str">
        <x:f>IF(OR(H44="",I44=""),"",H44&amp;"|"&amp;TEXT(I44,"000"))</x:f>
      </x:c>
      <x:c r="L44" s="21"/>
      <x:c r="M44" s="21"/>
      <x:c r="N44" s="21"/>
      <x:c r="O44" s="43"/>
      <x:c r="P44" s="43"/>
      <x:c r="Q44" s="25"/>
      <x:c r="R44" s="25"/>
      <x:c r="S44" s="39" t="str">
        <x:f>IF(A44="","",SUMIF('07_DUNG_CHO'!$B$6:$B$505,A44,'07_DUNG_CHO'!$E$6:$E$505))</x:f>
      </x:c>
      <x:c r="T44" s="39" t="str">
        <x:f>IF(A44="","",IF(N44="SETUP",0,MAX(0,(P44-O44)*1440-Q44-S44)))</x:f>
      </x:c>
      <x:c r="U44" s="25"/>
      <x:c r="V44" s="25"/>
      <x:c r="W44" s="25"/>
      <x:c r="X44" s="25"/>
      <x:c r="Y44" s="25"/>
      <x:c r="Z44" s="25"/>
      <x:c r="AA44" s="39" t="str">
        <x:f>IF(A44="","",U44-SUM(V44,X44:Z44))</x:f>
      </x:c>
      <x:c r="AB44" s="39" t="str">
        <x:f>IF(A44="","",IF(N44="SETUP",IFERROR(INDEX('04_KE_HOACH_CD'!$K$6:$K$305,MATCH(K44,'04_KE_HOACH_CD'!$G$6:$G$305,0)),0),IF(OR(N44="PRODUCTION",N44="REWORK"),IFERROR(INDEX('04_KE_HOACH_CD'!$L$6:$L$305,MATCH(K44,'04_KE_HOACH_CD'!$G$6:$G$305,0))*V44,0),0)))</x:f>
      </x:c>
      <x:c r="AC44" s="39" t="str">
        <x:f>IF(A44="","",MAX(0,(P44-O44)*1440-Q44))</x:f>
      </x:c>
      <x:c r="AD44" s="37" t="str">
        <x:f>IF(A44="","",IFERROR(AB44/AC44,0))</x:f>
      </x:c>
      <x:c r="AE44" s="33" t="str">
        <x:f>IF(A44="","",AC44/60*SUMIF(DM_NHAN_SU!$A$6:$A$105,L44,DM_NHAN_SU!$E$6:$E$105))</x:f>
      </x:c>
      <x:c r="AF44" s="33" t="str">
        <x:f>IF(A44="","",AC44/60*SUMIF(DM_MAY!$A$6:$A$105,M44,DM_MAY!$F$6:$F$105))</x:f>
      </x:c>
      <x:c r="AG44" s="33" t="str">
        <x:f>IF(A44="","",AE44+AF44)</x:f>
      </x:c>
      <x:c r="AH44" s="21"/>
      <x:c r="AI44" s="29" t="str">
        <x:f>IF(A44="","",IF(OR(B44="",D44="",E44="",I44="",L44="",N44="",O44="",P44=""),"Thiếu dữ liệu",IF(AND(OR(N44="PRODUCTION",N44="REWORK",N44="SETUP"),M44=""),"Thiếu máy",IF(P44&lt;O44,"Sai thời gian",IF(AA44&lt;&gt;0,"Sai cân đối SL","Hợp lệ")))))</x:f>
      </x:c>
      <x:c r="AJ44" s="21"/>
    </x:row>
    <x:row r="45">
      <x:c r="A45" s="21"/>
      <x:c r="B45" s="35"/>
      <x:c r="C45" s="21"/>
      <x:c r="D45" s="21"/>
      <x:c r="E45" s="21"/>
      <x:c r="F45" s="21"/>
      <x:c r="G45" s="21"/>
      <x:c r="H45" s="29" t="str">
        <x:f>IF(OR(D45="",E45=""),"",D45&amp;"|"&amp;E45&amp;"|"&amp;IF(F45="","00",F45)&amp;"|"&amp;IF(G45="","01",G45))</x:f>
      </x:c>
      <x:c r="I45" s="21"/>
      <x:c r="J45" s="29" t="str">
        <x:f>IF(K45="","",IFERROR(INDEX('04_KE_HOACH_CD'!$I$6:$I$305,MATCH(K45,'04_KE_HOACH_CD'!$G$6:$G$305,0)),""))</x:f>
      </x:c>
      <x:c r="K45" s="29" t="str">
        <x:f>IF(OR(H45="",I45=""),"",H45&amp;"|"&amp;TEXT(I45,"000"))</x:f>
      </x:c>
      <x:c r="L45" s="21"/>
      <x:c r="M45" s="21"/>
      <x:c r="N45" s="21"/>
      <x:c r="O45" s="43"/>
      <x:c r="P45" s="43"/>
      <x:c r="Q45" s="25"/>
      <x:c r="R45" s="25"/>
      <x:c r="S45" s="39" t="str">
        <x:f>IF(A45="","",SUMIF('07_DUNG_CHO'!$B$6:$B$505,A45,'07_DUNG_CHO'!$E$6:$E$505))</x:f>
      </x:c>
      <x:c r="T45" s="39" t="str">
        <x:f>IF(A45="","",IF(N45="SETUP",0,MAX(0,(P45-O45)*1440-Q45-S45)))</x:f>
      </x:c>
      <x:c r="U45" s="25"/>
      <x:c r="V45" s="25"/>
      <x:c r="W45" s="25"/>
      <x:c r="X45" s="25"/>
      <x:c r="Y45" s="25"/>
      <x:c r="Z45" s="25"/>
      <x:c r="AA45" s="39" t="str">
        <x:f>IF(A45="","",U45-SUM(V45,X45:Z45))</x:f>
      </x:c>
      <x:c r="AB45" s="39" t="str">
        <x:f>IF(A45="","",IF(N45="SETUP",IFERROR(INDEX('04_KE_HOACH_CD'!$K$6:$K$305,MATCH(K45,'04_KE_HOACH_CD'!$G$6:$G$305,0)),0),IF(OR(N45="PRODUCTION",N45="REWORK"),IFERROR(INDEX('04_KE_HOACH_CD'!$L$6:$L$305,MATCH(K45,'04_KE_HOACH_CD'!$G$6:$G$305,0))*V45,0),0)))</x:f>
      </x:c>
      <x:c r="AC45" s="39" t="str">
        <x:f>IF(A45="","",MAX(0,(P45-O45)*1440-Q45))</x:f>
      </x:c>
      <x:c r="AD45" s="37" t="str">
        <x:f>IF(A45="","",IFERROR(AB45/AC45,0))</x:f>
      </x:c>
      <x:c r="AE45" s="33" t="str">
        <x:f>IF(A45="","",AC45/60*SUMIF(DM_NHAN_SU!$A$6:$A$105,L45,DM_NHAN_SU!$E$6:$E$105))</x:f>
      </x:c>
      <x:c r="AF45" s="33" t="str">
        <x:f>IF(A45="","",AC45/60*SUMIF(DM_MAY!$A$6:$A$105,M45,DM_MAY!$F$6:$F$105))</x:f>
      </x:c>
      <x:c r="AG45" s="33" t="str">
        <x:f>IF(A45="","",AE45+AF45)</x:f>
      </x:c>
      <x:c r="AH45" s="21"/>
      <x:c r="AI45" s="29" t="str">
        <x:f>IF(A45="","",IF(OR(B45="",D45="",E45="",I45="",L45="",N45="",O45="",P45=""),"Thiếu dữ liệu",IF(AND(OR(N45="PRODUCTION",N45="REWORK",N45="SETUP"),M45=""),"Thiếu máy",IF(P45&lt;O45,"Sai thời gian",IF(AA45&lt;&gt;0,"Sai cân đối SL","Hợp lệ")))))</x:f>
      </x:c>
      <x:c r="AJ45" s="21"/>
    </x:row>
    <x:row r="46">
      <x:c r="A46" s="21"/>
      <x:c r="B46" s="35"/>
      <x:c r="C46" s="21"/>
      <x:c r="D46" s="21"/>
      <x:c r="E46" s="21"/>
      <x:c r="F46" s="21"/>
      <x:c r="G46" s="21"/>
      <x:c r="H46" s="29" t="str">
        <x:f>IF(OR(D46="",E46=""),"",D46&amp;"|"&amp;E46&amp;"|"&amp;IF(F46="","00",F46)&amp;"|"&amp;IF(G46="","01",G46))</x:f>
      </x:c>
      <x:c r="I46" s="21"/>
      <x:c r="J46" s="29" t="str">
        <x:f>IF(K46="","",IFERROR(INDEX('04_KE_HOACH_CD'!$I$6:$I$305,MATCH(K46,'04_KE_HOACH_CD'!$G$6:$G$305,0)),""))</x:f>
      </x:c>
      <x:c r="K46" s="29" t="str">
        <x:f>IF(OR(H46="",I46=""),"",H46&amp;"|"&amp;TEXT(I46,"000"))</x:f>
      </x:c>
      <x:c r="L46" s="21"/>
      <x:c r="M46" s="21"/>
      <x:c r="N46" s="21"/>
      <x:c r="O46" s="43"/>
      <x:c r="P46" s="43"/>
      <x:c r="Q46" s="25"/>
      <x:c r="R46" s="25"/>
      <x:c r="S46" s="39" t="str">
        <x:f>IF(A46="","",SUMIF('07_DUNG_CHO'!$B$6:$B$505,A46,'07_DUNG_CHO'!$E$6:$E$505))</x:f>
      </x:c>
      <x:c r="T46" s="39" t="str">
        <x:f>IF(A46="","",IF(N46="SETUP",0,MAX(0,(P46-O46)*1440-Q46-S46)))</x:f>
      </x:c>
      <x:c r="U46" s="25"/>
      <x:c r="V46" s="25"/>
      <x:c r="W46" s="25"/>
      <x:c r="X46" s="25"/>
      <x:c r="Y46" s="25"/>
      <x:c r="Z46" s="25"/>
      <x:c r="AA46" s="39" t="str">
        <x:f>IF(A46="","",U46-SUM(V46,X46:Z46))</x:f>
      </x:c>
      <x:c r="AB46" s="39" t="str">
        <x:f>IF(A46="","",IF(N46="SETUP",IFERROR(INDEX('04_KE_HOACH_CD'!$K$6:$K$305,MATCH(K46,'04_KE_HOACH_CD'!$G$6:$G$305,0)),0),IF(OR(N46="PRODUCTION",N46="REWORK"),IFERROR(INDEX('04_KE_HOACH_CD'!$L$6:$L$305,MATCH(K46,'04_KE_HOACH_CD'!$G$6:$G$305,0))*V46,0),0)))</x:f>
      </x:c>
      <x:c r="AC46" s="39" t="str">
        <x:f>IF(A46="","",MAX(0,(P46-O46)*1440-Q46))</x:f>
      </x:c>
      <x:c r="AD46" s="37" t="str">
        <x:f>IF(A46="","",IFERROR(AB46/AC46,0))</x:f>
      </x:c>
      <x:c r="AE46" s="33" t="str">
        <x:f>IF(A46="","",AC46/60*SUMIF(DM_NHAN_SU!$A$6:$A$105,L46,DM_NHAN_SU!$E$6:$E$105))</x:f>
      </x:c>
      <x:c r="AF46" s="33" t="str">
        <x:f>IF(A46="","",AC46/60*SUMIF(DM_MAY!$A$6:$A$105,M46,DM_MAY!$F$6:$F$105))</x:f>
      </x:c>
      <x:c r="AG46" s="33" t="str">
        <x:f>IF(A46="","",AE46+AF46)</x:f>
      </x:c>
      <x:c r="AH46" s="21"/>
      <x:c r="AI46" s="29" t="str">
        <x:f>IF(A46="","",IF(OR(B46="",D46="",E46="",I46="",L46="",N46="",O46="",P46=""),"Thiếu dữ liệu",IF(AND(OR(N46="PRODUCTION",N46="REWORK",N46="SETUP"),M46=""),"Thiếu máy",IF(P46&lt;O46,"Sai thời gian",IF(AA46&lt;&gt;0,"Sai cân đối SL","Hợp lệ")))))</x:f>
      </x:c>
      <x:c r="AJ46" s="21"/>
    </x:row>
    <x:row r="47">
      <x:c r="A47" s="21"/>
      <x:c r="B47" s="35"/>
      <x:c r="C47" s="21"/>
      <x:c r="D47" s="21"/>
      <x:c r="E47" s="21"/>
      <x:c r="F47" s="21"/>
      <x:c r="G47" s="21"/>
      <x:c r="H47" s="29" t="str">
        <x:f>IF(OR(D47="",E47=""),"",D47&amp;"|"&amp;E47&amp;"|"&amp;IF(F47="","00",F47)&amp;"|"&amp;IF(G47="","01",G47))</x:f>
      </x:c>
      <x:c r="I47" s="21"/>
      <x:c r="J47" s="29" t="str">
        <x:f>IF(K47="","",IFERROR(INDEX('04_KE_HOACH_CD'!$I$6:$I$305,MATCH(K47,'04_KE_HOACH_CD'!$G$6:$G$305,0)),""))</x:f>
      </x:c>
      <x:c r="K47" s="29" t="str">
        <x:f>IF(OR(H47="",I47=""),"",H47&amp;"|"&amp;TEXT(I47,"000"))</x:f>
      </x:c>
      <x:c r="L47" s="21"/>
      <x:c r="M47" s="21"/>
      <x:c r="N47" s="21"/>
      <x:c r="O47" s="43"/>
      <x:c r="P47" s="43"/>
      <x:c r="Q47" s="25"/>
      <x:c r="R47" s="25"/>
      <x:c r="S47" s="39" t="str">
        <x:f>IF(A47="","",SUMIF('07_DUNG_CHO'!$B$6:$B$505,A47,'07_DUNG_CHO'!$E$6:$E$505))</x:f>
      </x:c>
      <x:c r="T47" s="39" t="str">
        <x:f>IF(A47="","",IF(N47="SETUP",0,MAX(0,(P47-O47)*1440-Q47-S47)))</x:f>
      </x:c>
      <x:c r="U47" s="25"/>
      <x:c r="V47" s="25"/>
      <x:c r="W47" s="25"/>
      <x:c r="X47" s="25"/>
      <x:c r="Y47" s="25"/>
      <x:c r="Z47" s="25"/>
      <x:c r="AA47" s="39" t="str">
        <x:f>IF(A47="","",U47-SUM(V47,X47:Z47))</x:f>
      </x:c>
      <x:c r="AB47" s="39" t="str">
        <x:f>IF(A47="","",IF(N47="SETUP",IFERROR(INDEX('04_KE_HOACH_CD'!$K$6:$K$305,MATCH(K47,'04_KE_HOACH_CD'!$G$6:$G$305,0)),0),IF(OR(N47="PRODUCTION",N47="REWORK"),IFERROR(INDEX('04_KE_HOACH_CD'!$L$6:$L$305,MATCH(K47,'04_KE_HOACH_CD'!$G$6:$G$305,0))*V47,0),0)))</x:f>
      </x:c>
      <x:c r="AC47" s="39" t="str">
        <x:f>IF(A47="","",MAX(0,(P47-O47)*1440-Q47))</x:f>
      </x:c>
      <x:c r="AD47" s="37" t="str">
        <x:f>IF(A47="","",IFERROR(AB47/AC47,0))</x:f>
      </x:c>
      <x:c r="AE47" s="33" t="str">
        <x:f>IF(A47="","",AC47/60*SUMIF(DM_NHAN_SU!$A$6:$A$105,L47,DM_NHAN_SU!$E$6:$E$105))</x:f>
      </x:c>
      <x:c r="AF47" s="33" t="str">
        <x:f>IF(A47="","",AC47/60*SUMIF(DM_MAY!$A$6:$A$105,M47,DM_MAY!$F$6:$F$105))</x:f>
      </x:c>
      <x:c r="AG47" s="33" t="str">
        <x:f>IF(A47="","",AE47+AF47)</x:f>
      </x:c>
      <x:c r="AH47" s="21"/>
      <x:c r="AI47" s="29" t="str">
        <x:f>IF(A47="","",IF(OR(B47="",D47="",E47="",I47="",L47="",N47="",O47="",P47=""),"Thiếu dữ liệu",IF(AND(OR(N47="PRODUCTION",N47="REWORK",N47="SETUP"),M47=""),"Thiếu máy",IF(P47&lt;O47,"Sai thời gian",IF(AA47&lt;&gt;0,"Sai cân đối SL","Hợp lệ")))))</x:f>
      </x:c>
      <x:c r="AJ47" s="21"/>
    </x:row>
    <x:row r="48">
      <x:c r="A48" s="21"/>
      <x:c r="B48" s="35"/>
      <x:c r="C48" s="21"/>
      <x:c r="D48" s="21"/>
      <x:c r="E48" s="21"/>
      <x:c r="F48" s="21"/>
      <x:c r="G48" s="21"/>
      <x:c r="H48" s="29" t="str">
        <x:f>IF(OR(D48="",E48=""),"",D48&amp;"|"&amp;E48&amp;"|"&amp;IF(F48="","00",F48)&amp;"|"&amp;IF(G48="","01",G48))</x:f>
      </x:c>
      <x:c r="I48" s="21"/>
      <x:c r="J48" s="29" t="str">
        <x:f>IF(K48="","",IFERROR(INDEX('04_KE_HOACH_CD'!$I$6:$I$305,MATCH(K48,'04_KE_HOACH_CD'!$G$6:$G$305,0)),""))</x:f>
      </x:c>
      <x:c r="K48" s="29" t="str">
        <x:f>IF(OR(H48="",I48=""),"",H48&amp;"|"&amp;TEXT(I48,"000"))</x:f>
      </x:c>
      <x:c r="L48" s="21"/>
      <x:c r="M48" s="21"/>
      <x:c r="N48" s="21"/>
      <x:c r="O48" s="43"/>
      <x:c r="P48" s="43"/>
      <x:c r="Q48" s="25"/>
      <x:c r="R48" s="25"/>
      <x:c r="S48" s="39" t="str">
        <x:f>IF(A48="","",SUMIF('07_DUNG_CHO'!$B$6:$B$505,A48,'07_DUNG_CHO'!$E$6:$E$505))</x:f>
      </x:c>
      <x:c r="T48" s="39" t="str">
        <x:f>IF(A48="","",IF(N48="SETUP",0,MAX(0,(P48-O48)*1440-Q48-S48)))</x:f>
      </x:c>
      <x:c r="U48" s="25"/>
      <x:c r="V48" s="25"/>
      <x:c r="W48" s="25"/>
      <x:c r="X48" s="25"/>
      <x:c r="Y48" s="25"/>
      <x:c r="Z48" s="25"/>
      <x:c r="AA48" s="39" t="str">
        <x:f>IF(A48="","",U48-SUM(V48,X48:Z48))</x:f>
      </x:c>
      <x:c r="AB48" s="39" t="str">
        <x:f>IF(A48="","",IF(N48="SETUP",IFERROR(INDEX('04_KE_HOACH_CD'!$K$6:$K$305,MATCH(K48,'04_KE_HOACH_CD'!$G$6:$G$305,0)),0),IF(OR(N48="PRODUCTION",N48="REWORK"),IFERROR(INDEX('04_KE_HOACH_CD'!$L$6:$L$305,MATCH(K48,'04_KE_HOACH_CD'!$G$6:$G$305,0))*V48,0),0)))</x:f>
      </x:c>
      <x:c r="AC48" s="39" t="str">
        <x:f>IF(A48="","",MAX(0,(P48-O48)*1440-Q48))</x:f>
      </x:c>
      <x:c r="AD48" s="37" t="str">
        <x:f>IF(A48="","",IFERROR(AB48/AC48,0))</x:f>
      </x:c>
      <x:c r="AE48" s="33" t="str">
        <x:f>IF(A48="","",AC48/60*SUMIF(DM_NHAN_SU!$A$6:$A$105,L48,DM_NHAN_SU!$E$6:$E$105))</x:f>
      </x:c>
      <x:c r="AF48" s="33" t="str">
        <x:f>IF(A48="","",AC48/60*SUMIF(DM_MAY!$A$6:$A$105,M48,DM_MAY!$F$6:$F$105))</x:f>
      </x:c>
      <x:c r="AG48" s="33" t="str">
        <x:f>IF(A48="","",AE48+AF48)</x:f>
      </x:c>
      <x:c r="AH48" s="21"/>
      <x:c r="AI48" s="29" t="str">
        <x:f>IF(A48="","",IF(OR(B48="",D48="",E48="",I48="",L48="",N48="",O48="",P48=""),"Thiếu dữ liệu",IF(AND(OR(N48="PRODUCTION",N48="REWORK",N48="SETUP"),M48=""),"Thiếu máy",IF(P48&lt;O48,"Sai thời gian",IF(AA48&lt;&gt;0,"Sai cân đối SL","Hợp lệ")))))</x:f>
      </x:c>
      <x:c r="AJ48" s="21"/>
    </x:row>
    <x:row r="49">
      <x:c r="A49" s="21"/>
      <x:c r="B49" s="35"/>
      <x:c r="C49" s="21"/>
      <x:c r="D49" s="21"/>
      <x:c r="E49" s="21"/>
      <x:c r="F49" s="21"/>
      <x:c r="G49" s="21"/>
      <x:c r="H49" s="29" t="str">
        <x:f>IF(OR(D49="",E49=""),"",D49&amp;"|"&amp;E49&amp;"|"&amp;IF(F49="","00",F49)&amp;"|"&amp;IF(G49="","01",G49))</x:f>
      </x:c>
      <x:c r="I49" s="21"/>
      <x:c r="J49" s="29" t="str">
        <x:f>IF(K49="","",IFERROR(INDEX('04_KE_HOACH_CD'!$I$6:$I$305,MATCH(K49,'04_KE_HOACH_CD'!$G$6:$G$305,0)),""))</x:f>
      </x:c>
      <x:c r="K49" s="29" t="str">
        <x:f>IF(OR(H49="",I49=""),"",H49&amp;"|"&amp;TEXT(I49,"000"))</x:f>
      </x:c>
      <x:c r="L49" s="21"/>
      <x:c r="M49" s="21"/>
      <x:c r="N49" s="21"/>
      <x:c r="O49" s="43"/>
      <x:c r="P49" s="43"/>
      <x:c r="Q49" s="25"/>
      <x:c r="R49" s="25"/>
      <x:c r="S49" s="39" t="str">
        <x:f>IF(A49="","",SUMIF('07_DUNG_CHO'!$B$6:$B$505,A49,'07_DUNG_CHO'!$E$6:$E$505))</x:f>
      </x:c>
      <x:c r="T49" s="39" t="str">
        <x:f>IF(A49="","",IF(N49="SETUP",0,MAX(0,(P49-O49)*1440-Q49-S49)))</x:f>
      </x:c>
      <x:c r="U49" s="25"/>
      <x:c r="V49" s="25"/>
      <x:c r="W49" s="25"/>
      <x:c r="X49" s="25"/>
      <x:c r="Y49" s="25"/>
      <x:c r="Z49" s="25"/>
      <x:c r="AA49" s="39" t="str">
        <x:f>IF(A49="","",U49-SUM(V49,X49:Z49))</x:f>
      </x:c>
      <x:c r="AB49" s="39" t="str">
        <x:f>IF(A49="","",IF(N49="SETUP",IFERROR(INDEX('04_KE_HOACH_CD'!$K$6:$K$305,MATCH(K49,'04_KE_HOACH_CD'!$G$6:$G$305,0)),0),IF(OR(N49="PRODUCTION",N49="REWORK"),IFERROR(INDEX('04_KE_HOACH_CD'!$L$6:$L$305,MATCH(K49,'04_KE_HOACH_CD'!$G$6:$G$305,0))*V49,0),0)))</x:f>
      </x:c>
      <x:c r="AC49" s="39" t="str">
        <x:f>IF(A49="","",MAX(0,(P49-O49)*1440-Q49))</x:f>
      </x:c>
      <x:c r="AD49" s="37" t="str">
        <x:f>IF(A49="","",IFERROR(AB49/AC49,0))</x:f>
      </x:c>
      <x:c r="AE49" s="33" t="str">
        <x:f>IF(A49="","",AC49/60*SUMIF(DM_NHAN_SU!$A$6:$A$105,L49,DM_NHAN_SU!$E$6:$E$105))</x:f>
      </x:c>
      <x:c r="AF49" s="33" t="str">
        <x:f>IF(A49="","",AC49/60*SUMIF(DM_MAY!$A$6:$A$105,M49,DM_MAY!$F$6:$F$105))</x:f>
      </x:c>
      <x:c r="AG49" s="33" t="str">
        <x:f>IF(A49="","",AE49+AF49)</x:f>
      </x:c>
      <x:c r="AH49" s="21"/>
      <x:c r="AI49" s="29" t="str">
        <x:f>IF(A49="","",IF(OR(B49="",D49="",E49="",I49="",L49="",N49="",O49="",P49=""),"Thiếu dữ liệu",IF(AND(OR(N49="PRODUCTION",N49="REWORK",N49="SETUP"),M49=""),"Thiếu máy",IF(P49&lt;O49,"Sai thời gian",IF(AA49&lt;&gt;0,"Sai cân đối SL","Hợp lệ")))))</x:f>
      </x:c>
      <x:c r="AJ49" s="21"/>
    </x:row>
    <x:row r="50">
      <x:c r="A50" s="21"/>
      <x:c r="B50" s="35"/>
      <x:c r="C50" s="21"/>
      <x:c r="D50" s="21"/>
      <x:c r="E50" s="21"/>
      <x:c r="F50" s="21"/>
      <x:c r="G50" s="21"/>
      <x:c r="H50" s="29" t="str">
        <x:f>IF(OR(D50="",E50=""),"",D50&amp;"|"&amp;E50&amp;"|"&amp;IF(F50="","00",F50)&amp;"|"&amp;IF(G50="","01",G50))</x:f>
      </x:c>
      <x:c r="I50" s="21"/>
      <x:c r="J50" s="29" t="str">
        <x:f>IF(K50="","",IFERROR(INDEX('04_KE_HOACH_CD'!$I$6:$I$305,MATCH(K50,'04_KE_HOACH_CD'!$G$6:$G$305,0)),""))</x:f>
      </x:c>
      <x:c r="K50" s="29" t="str">
        <x:f>IF(OR(H50="",I50=""),"",H50&amp;"|"&amp;TEXT(I50,"000"))</x:f>
      </x:c>
      <x:c r="L50" s="21"/>
      <x:c r="M50" s="21"/>
      <x:c r="N50" s="21"/>
      <x:c r="O50" s="43"/>
      <x:c r="P50" s="43"/>
      <x:c r="Q50" s="25"/>
      <x:c r="R50" s="25"/>
      <x:c r="S50" s="39" t="str">
        <x:f>IF(A50="","",SUMIF('07_DUNG_CHO'!$B$6:$B$505,A50,'07_DUNG_CHO'!$E$6:$E$505))</x:f>
      </x:c>
      <x:c r="T50" s="39" t="str">
        <x:f>IF(A50="","",IF(N50="SETUP",0,MAX(0,(P50-O50)*1440-Q50-S50)))</x:f>
      </x:c>
      <x:c r="U50" s="25"/>
      <x:c r="V50" s="25"/>
      <x:c r="W50" s="25"/>
      <x:c r="X50" s="25"/>
      <x:c r="Y50" s="25"/>
      <x:c r="Z50" s="25"/>
      <x:c r="AA50" s="39" t="str">
        <x:f>IF(A50="","",U50-SUM(V50,X50:Z50))</x:f>
      </x:c>
      <x:c r="AB50" s="39" t="str">
        <x:f>IF(A50="","",IF(N50="SETUP",IFERROR(INDEX('04_KE_HOACH_CD'!$K$6:$K$305,MATCH(K50,'04_KE_HOACH_CD'!$G$6:$G$305,0)),0),IF(OR(N50="PRODUCTION",N50="REWORK"),IFERROR(INDEX('04_KE_HOACH_CD'!$L$6:$L$305,MATCH(K50,'04_KE_HOACH_CD'!$G$6:$G$305,0))*V50,0),0)))</x:f>
      </x:c>
      <x:c r="AC50" s="39" t="str">
        <x:f>IF(A50="","",MAX(0,(P50-O50)*1440-Q50))</x:f>
      </x:c>
      <x:c r="AD50" s="37" t="str">
        <x:f>IF(A50="","",IFERROR(AB50/AC50,0))</x:f>
      </x:c>
      <x:c r="AE50" s="33" t="str">
        <x:f>IF(A50="","",AC50/60*SUMIF(DM_NHAN_SU!$A$6:$A$105,L50,DM_NHAN_SU!$E$6:$E$105))</x:f>
      </x:c>
      <x:c r="AF50" s="33" t="str">
        <x:f>IF(A50="","",AC50/60*SUMIF(DM_MAY!$A$6:$A$105,M50,DM_MAY!$F$6:$F$105))</x:f>
      </x:c>
      <x:c r="AG50" s="33" t="str">
        <x:f>IF(A50="","",AE50+AF50)</x:f>
      </x:c>
      <x:c r="AH50" s="21"/>
      <x:c r="AI50" s="29" t="str">
        <x:f>IF(A50="","",IF(OR(B50="",D50="",E50="",I50="",L50="",N50="",O50="",P50=""),"Thiếu dữ liệu",IF(AND(OR(N50="PRODUCTION",N50="REWORK",N50="SETUP"),M50=""),"Thiếu máy",IF(P50&lt;O50,"Sai thời gian",IF(AA50&lt;&gt;0,"Sai cân đối SL","Hợp lệ")))))</x:f>
      </x:c>
      <x:c r="AJ50" s="21"/>
    </x:row>
    <x:row r="51">
      <x:c r="A51" s="21"/>
      <x:c r="B51" s="35"/>
      <x:c r="C51" s="21"/>
      <x:c r="D51" s="21"/>
      <x:c r="E51" s="21"/>
      <x:c r="F51" s="21"/>
      <x:c r="G51" s="21"/>
      <x:c r="H51" s="29" t="str">
        <x:f>IF(OR(D51="",E51=""),"",D51&amp;"|"&amp;E51&amp;"|"&amp;IF(F51="","00",F51)&amp;"|"&amp;IF(G51="","01",G51))</x:f>
      </x:c>
      <x:c r="I51" s="21"/>
      <x:c r="J51" s="29" t="str">
        <x:f>IF(K51="","",IFERROR(INDEX('04_KE_HOACH_CD'!$I$6:$I$305,MATCH(K51,'04_KE_HOACH_CD'!$G$6:$G$305,0)),""))</x:f>
      </x:c>
      <x:c r="K51" s="29" t="str">
        <x:f>IF(OR(H51="",I51=""),"",H51&amp;"|"&amp;TEXT(I51,"000"))</x:f>
      </x:c>
      <x:c r="L51" s="21"/>
      <x:c r="M51" s="21"/>
      <x:c r="N51" s="21"/>
      <x:c r="O51" s="43"/>
      <x:c r="P51" s="43"/>
      <x:c r="Q51" s="25"/>
      <x:c r="R51" s="25"/>
      <x:c r="S51" s="39" t="str">
        <x:f>IF(A51="","",SUMIF('07_DUNG_CHO'!$B$6:$B$505,A51,'07_DUNG_CHO'!$E$6:$E$505))</x:f>
      </x:c>
      <x:c r="T51" s="39" t="str">
        <x:f>IF(A51="","",IF(N51="SETUP",0,MAX(0,(P51-O51)*1440-Q51-S51)))</x:f>
      </x:c>
      <x:c r="U51" s="25"/>
      <x:c r="V51" s="25"/>
      <x:c r="W51" s="25"/>
      <x:c r="X51" s="25"/>
      <x:c r="Y51" s="25"/>
      <x:c r="Z51" s="25"/>
      <x:c r="AA51" s="39" t="str">
        <x:f>IF(A51="","",U51-SUM(V51,X51:Z51))</x:f>
      </x:c>
      <x:c r="AB51" s="39" t="str">
        <x:f>IF(A51="","",IF(N51="SETUP",IFERROR(INDEX('04_KE_HOACH_CD'!$K$6:$K$305,MATCH(K51,'04_KE_HOACH_CD'!$G$6:$G$305,0)),0),IF(OR(N51="PRODUCTION",N51="REWORK"),IFERROR(INDEX('04_KE_HOACH_CD'!$L$6:$L$305,MATCH(K51,'04_KE_HOACH_CD'!$G$6:$G$305,0))*V51,0),0)))</x:f>
      </x:c>
      <x:c r="AC51" s="39" t="str">
        <x:f>IF(A51="","",MAX(0,(P51-O51)*1440-Q51))</x:f>
      </x:c>
      <x:c r="AD51" s="37" t="str">
        <x:f>IF(A51="","",IFERROR(AB51/AC51,0))</x:f>
      </x:c>
      <x:c r="AE51" s="33" t="str">
        <x:f>IF(A51="","",AC51/60*SUMIF(DM_NHAN_SU!$A$6:$A$105,L51,DM_NHAN_SU!$E$6:$E$105))</x:f>
      </x:c>
      <x:c r="AF51" s="33" t="str">
        <x:f>IF(A51="","",AC51/60*SUMIF(DM_MAY!$A$6:$A$105,M51,DM_MAY!$F$6:$F$105))</x:f>
      </x:c>
      <x:c r="AG51" s="33" t="str">
        <x:f>IF(A51="","",AE51+AF51)</x:f>
      </x:c>
      <x:c r="AH51" s="21"/>
      <x:c r="AI51" s="29" t="str">
        <x:f>IF(A51="","",IF(OR(B51="",D51="",E51="",I51="",L51="",N51="",O51="",P51=""),"Thiếu dữ liệu",IF(AND(OR(N51="PRODUCTION",N51="REWORK",N51="SETUP"),M51=""),"Thiếu máy",IF(P51&lt;O51,"Sai thời gian",IF(AA51&lt;&gt;0,"Sai cân đối SL","Hợp lệ")))))</x:f>
      </x:c>
      <x:c r="AJ51" s="21"/>
    </x:row>
    <x:row r="52">
      <x:c r="A52" s="21"/>
      <x:c r="B52" s="35"/>
      <x:c r="C52" s="21"/>
      <x:c r="D52" s="21"/>
      <x:c r="E52" s="21"/>
      <x:c r="F52" s="21"/>
      <x:c r="G52" s="21"/>
      <x:c r="H52" s="29" t="str">
        <x:f>IF(OR(D52="",E52=""),"",D52&amp;"|"&amp;E52&amp;"|"&amp;IF(F52="","00",F52)&amp;"|"&amp;IF(G52="","01",G52))</x:f>
      </x:c>
      <x:c r="I52" s="21"/>
      <x:c r="J52" s="29" t="str">
        <x:f>IF(K52="","",IFERROR(INDEX('04_KE_HOACH_CD'!$I$6:$I$305,MATCH(K52,'04_KE_HOACH_CD'!$G$6:$G$305,0)),""))</x:f>
      </x:c>
      <x:c r="K52" s="29" t="str">
        <x:f>IF(OR(H52="",I52=""),"",H52&amp;"|"&amp;TEXT(I52,"000"))</x:f>
      </x:c>
      <x:c r="L52" s="21"/>
      <x:c r="M52" s="21"/>
      <x:c r="N52" s="21"/>
      <x:c r="O52" s="43"/>
      <x:c r="P52" s="43"/>
      <x:c r="Q52" s="25"/>
      <x:c r="R52" s="25"/>
      <x:c r="S52" s="39" t="str">
        <x:f>IF(A52="","",SUMIF('07_DUNG_CHO'!$B$6:$B$505,A52,'07_DUNG_CHO'!$E$6:$E$505))</x:f>
      </x:c>
      <x:c r="T52" s="39" t="str">
        <x:f>IF(A52="","",IF(N52="SETUP",0,MAX(0,(P52-O52)*1440-Q52-S52)))</x:f>
      </x:c>
      <x:c r="U52" s="25"/>
      <x:c r="V52" s="25"/>
      <x:c r="W52" s="25"/>
      <x:c r="X52" s="25"/>
      <x:c r="Y52" s="25"/>
      <x:c r="Z52" s="25"/>
      <x:c r="AA52" s="39" t="str">
        <x:f>IF(A52="","",U52-SUM(V52,X52:Z52))</x:f>
      </x:c>
      <x:c r="AB52" s="39" t="str">
        <x:f>IF(A52="","",IF(N52="SETUP",IFERROR(INDEX('04_KE_HOACH_CD'!$K$6:$K$305,MATCH(K52,'04_KE_HOACH_CD'!$G$6:$G$305,0)),0),IF(OR(N52="PRODUCTION",N52="REWORK"),IFERROR(INDEX('04_KE_HOACH_CD'!$L$6:$L$305,MATCH(K52,'04_KE_HOACH_CD'!$G$6:$G$305,0))*V52,0),0)))</x:f>
      </x:c>
      <x:c r="AC52" s="39" t="str">
        <x:f>IF(A52="","",MAX(0,(P52-O52)*1440-Q52))</x:f>
      </x:c>
      <x:c r="AD52" s="37" t="str">
        <x:f>IF(A52="","",IFERROR(AB52/AC52,0))</x:f>
      </x:c>
      <x:c r="AE52" s="33" t="str">
        <x:f>IF(A52="","",AC52/60*SUMIF(DM_NHAN_SU!$A$6:$A$105,L52,DM_NHAN_SU!$E$6:$E$105))</x:f>
      </x:c>
      <x:c r="AF52" s="33" t="str">
        <x:f>IF(A52="","",AC52/60*SUMIF(DM_MAY!$A$6:$A$105,M52,DM_MAY!$F$6:$F$105))</x:f>
      </x:c>
      <x:c r="AG52" s="33" t="str">
        <x:f>IF(A52="","",AE52+AF52)</x:f>
      </x:c>
      <x:c r="AH52" s="21"/>
      <x:c r="AI52" s="29" t="str">
        <x:f>IF(A52="","",IF(OR(B52="",D52="",E52="",I52="",L52="",N52="",O52="",P52=""),"Thiếu dữ liệu",IF(AND(OR(N52="PRODUCTION",N52="REWORK",N52="SETUP"),M52=""),"Thiếu máy",IF(P52&lt;O52,"Sai thời gian",IF(AA52&lt;&gt;0,"Sai cân đối SL","Hợp lệ")))))</x:f>
      </x:c>
      <x:c r="AJ52" s="21"/>
    </x:row>
    <x:row r="53">
      <x:c r="A53" s="21"/>
      <x:c r="B53" s="35"/>
      <x:c r="C53" s="21"/>
      <x:c r="D53" s="21"/>
      <x:c r="E53" s="21"/>
      <x:c r="F53" s="21"/>
      <x:c r="G53" s="21"/>
      <x:c r="H53" s="29" t="str">
        <x:f>IF(OR(D53="",E53=""),"",D53&amp;"|"&amp;E53&amp;"|"&amp;IF(F53="","00",F53)&amp;"|"&amp;IF(G53="","01",G53))</x:f>
      </x:c>
      <x:c r="I53" s="21"/>
      <x:c r="J53" s="29" t="str">
        <x:f>IF(K53="","",IFERROR(INDEX('04_KE_HOACH_CD'!$I$6:$I$305,MATCH(K53,'04_KE_HOACH_CD'!$G$6:$G$305,0)),""))</x:f>
      </x:c>
      <x:c r="K53" s="29" t="str">
        <x:f>IF(OR(H53="",I53=""),"",H53&amp;"|"&amp;TEXT(I53,"000"))</x:f>
      </x:c>
      <x:c r="L53" s="21"/>
      <x:c r="M53" s="21"/>
      <x:c r="N53" s="21"/>
      <x:c r="O53" s="43"/>
      <x:c r="P53" s="43"/>
      <x:c r="Q53" s="25"/>
      <x:c r="R53" s="25"/>
      <x:c r="S53" s="39" t="str">
        <x:f>IF(A53="","",SUMIF('07_DUNG_CHO'!$B$6:$B$505,A53,'07_DUNG_CHO'!$E$6:$E$505))</x:f>
      </x:c>
      <x:c r="T53" s="39" t="str">
        <x:f>IF(A53="","",IF(N53="SETUP",0,MAX(0,(P53-O53)*1440-Q53-S53)))</x:f>
      </x:c>
      <x:c r="U53" s="25"/>
      <x:c r="V53" s="25"/>
      <x:c r="W53" s="25"/>
      <x:c r="X53" s="25"/>
      <x:c r="Y53" s="25"/>
      <x:c r="Z53" s="25"/>
      <x:c r="AA53" s="39" t="str">
        <x:f>IF(A53="","",U53-SUM(V53,X53:Z53))</x:f>
      </x:c>
      <x:c r="AB53" s="39" t="str">
        <x:f>IF(A53="","",IF(N53="SETUP",IFERROR(INDEX('04_KE_HOACH_CD'!$K$6:$K$305,MATCH(K53,'04_KE_HOACH_CD'!$G$6:$G$305,0)),0),IF(OR(N53="PRODUCTION",N53="REWORK"),IFERROR(INDEX('04_KE_HOACH_CD'!$L$6:$L$305,MATCH(K53,'04_KE_HOACH_CD'!$G$6:$G$305,0))*V53,0),0)))</x:f>
      </x:c>
      <x:c r="AC53" s="39" t="str">
        <x:f>IF(A53="","",MAX(0,(P53-O53)*1440-Q53))</x:f>
      </x:c>
      <x:c r="AD53" s="37" t="str">
        <x:f>IF(A53="","",IFERROR(AB53/AC53,0))</x:f>
      </x:c>
      <x:c r="AE53" s="33" t="str">
        <x:f>IF(A53="","",AC53/60*SUMIF(DM_NHAN_SU!$A$6:$A$105,L53,DM_NHAN_SU!$E$6:$E$105))</x:f>
      </x:c>
      <x:c r="AF53" s="33" t="str">
        <x:f>IF(A53="","",AC53/60*SUMIF(DM_MAY!$A$6:$A$105,M53,DM_MAY!$F$6:$F$105))</x:f>
      </x:c>
      <x:c r="AG53" s="33" t="str">
        <x:f>IF(A53="","",AE53+AF53)</x:f>
      </x:c>
      <x:c r="AH53" s="21"/>
      <x:c r="AI53" s="29" t="str">
        <x:f>IF(A53="","",IF(OR(B53="",D53="",E53="",I53="",L53="",N53="",O53="",P53=""),"Thiếu dữ liệu",IF(AND(OR(N53="PRODUCTION",N53="REWORK",N53="SETUP"),M53=""),"Thiếu máy",IF(P53&lt;O53,"Sai thời gian",IF(AA53&lt;&gt;0,"Sai cân đối SL","Hợp lệ")))))</x:f>
      </x:c>
      <x:c r="AJ53" s="21"/>
    </x:row>
    <x:row r="54">
      <x:c r="A54" s="21"/>
      <x:c r="B54" s="35"/>
      <x:c r="C54" s="21"/>
      <x:c r="D54" s="21"/>
      <x:c r="E54" s="21"/>
      <x:c r="F54" s="21"/>
      <x:c r="G54" s="21"/>
      <x:c r="H54" s="29" t="str">
        <x:f>IF(OR(D54="",E54=""),"",D54&amp;"|"&amp;E54&amp;"|"&amp;IF(F54="","00",F54)&amp;"|"&amp;IF(G54="","01",G54))</x:f>
      </x:c>
      <x:c r="I54" s="21"/>
      <x:c r="J54" s="29" t="str">
        <x:f>IF(K54="","",IFERROR(INDEX('04_KE_HOACH_CD'!$I$6:$I$305,MATCH(K54,'04_KE_HOACH_CD'!$G$6:$G$305,0)),""))</x:f>
      </x:c>
      <x:c r="K54" s="29" t="str">
        <x:f>IF(OR(H54="",I54=""),"",H54&amp;"|"&amp;TEXT(I54,"000"))</x:f>
      </x:c>
      <x:c r="L54" s="21"/>
      <x:c r="M54" s="21"/>
      <x:c r="N54" s="21"/>
      <x:c r="O54" s="43"/>
      <x:c r="P54" s="43"/>
      <x:c r="Q54" s="25"/>
      <x:c r="R54" s="25"/>
      <x:c r="S54" s="39" t="str">
        <x:f>IF(A54="","",SUMIF('07_DUNG_CHO'!$B$6:$B$505,A54,'07_DUNG_CHO'!$E$6:$E$505))</x:f>
      </x:c>
      <x:c r="T54" s="39" t="str">
        <x:f>IF(A54="","",IF(N54="SETUP",0,MAX(0,(P54-O54)*1440-Q54-S54)))</x:f>
      </x:c>
      <x:c r="U54" s="25"/>
      <x:c r="V54" s="25"/>
      <x:c r="W54" s="25"/>
      <x:c r="X54" s="25"/>
      <x:c r="Y54" s="25"/>
      <x:c r="Z54" s="25"/>
      <x:c r="AA54" s="39" t="str">
        <x:f>IF(A54="","",U54-SUM(V54,X54:Z54))</x:f>
      </x:c>
      <x:c r="AB54" s="39" t="str">
        <x:f>IF(A54="","",IF(N54="SETUP",IFERROR(INDEX('04_KE_HOACH_CD'!$K$6:$K$305,MATCH(K54,'04_KE_HOACH_CD'!$G$6:$G$305,0)),0),IF(OR(N54="PRODUCTION",N54="REWORK"),IFERROR(INDEX('04_KE_HOACH_CD'!$L$6:$L$305,MATCH(K54,'04_KE_HOACH_CD'!$G$6:$G$305,0))*V54,0),0)))</x:f>
      </x:c>
      <x:c r="AC54" s="39" t="str">
        <x:f>IF(A54="","",MAX(0,(P54-O54)*1440-Q54))</x:f>
      </x:c>
      <x:c r="AD54" s="37" t="str">
        <x:f>IF(A54="","",IFERROR(AB54/AC54,0))</x:f>
      </x:c>
      <x:c r="AE54" s="33" t="str">
        <x:f>IF(A54="","",AC54/60*SUMIF(DM_NHAN_SU!$A$6:$A$105,L54,DM_NHAN_SU!$E$6:$E$105))</x:f>
      </x:c>
      <x:c r="AF54" s="33" t="str">
        <x:f>IF(A54="","",AC54/60*SUMIF(DM_MAY!$A$6:$A$105,M54,DM_MAY!$F$6:$F$105))</x:f>
      </x:c>
      <x:c r="AG54" s="33" t="str">
        <x:f>IF(A54="","",AE54+AF54)</x:f>
      </x:c>
      <x:c r="AH54" s="21"/>
      <x:c r="AI54" s="29" t="str">
        <x:f>IF(A54="","",IF(OR(B54="",D54="",E54="",I54="",L54="",N54="",O54="",P54=""),"Thiếu dữ liệu",IF(AND(OR(N54="PRODUCTION",N54="REWORK",N54="SETUP"),M54=""),"Thiếu máy",IF(P54&lt;O54,"Sai thời gian",IF(AA54&lt;&gt;0,"Sai cân đối SL","Hợp lệ")))))</x:f>
      </x:c>
      <x:c r="AJ54" s="21"/>
    </x:row>
    <x:row r="55">
      <x:c r="A55" s="21"/>
      <x:c r="B55" s="35"/>
      <x:c r="C55" s="21"/>
      <x:c r="D55" s="21"/>
      <x:c r="E55" s="21"/>
      <x:c r="F55" s="21"/>
      <x:c r="G55" s="21"/>
      <x:c r="H55" s="29" t="str">
        <x:f>IF(OR(D55="",E55=""),"",D55&amp;"|"&amp;E55&amp;"|"&amp;IF(F55="","00",F55)&amp;"|"&amp;IF(G55="","01",G55))</x:f>
      </x:c>
      <x:c r="I55" s="21"/>
      <x:c r="J55" s="29" t="str">
        <x:f>IF(K55="","",IFERROR(INDEX('04_KE_HOACH_CD'!$I$6:$I$305,MATCH(K55,'04_KE_HOACH_CD'!$G$6:$G$305,0)),""))</x:f>
      </x:c>
      <x:c r="K55" s="29" t="str">
        <x:f>IF(OR(H55="",I55=""),"",H55&amp;"|"&amp;TEXT(I55,"000"))</x:f>
      </x:c>
      <x:c r="L55" s="21"/>
      <x:c r="M55" s="21"/>
      <x:c r="N55" s="21"/>
      <x:c r="O55" s="43"/>
      <x:c r="P55" s="43"/>
      <x:c r="Q55" s="25"/>
      <x:c r="R55" s="25"/>
      <x:c r="S55" s="39" t="str">
        <x:f>IF(A55="","",SUMIF('07_DUNG_CHO'!$B$6:$B$505,A55,'07_DUNG_CHO'!$E$6:$E$505))</x:f>
      </x:c>
      <x:c r="T55" s="39" t="str">
        <x:f>IF(A55="","",IF(N55="SETUP",0,MAX(0,(P55-O55)*1440-Q55-S55)))</x:f>
      </x:c>
      <x:c r="U55" s="25"/>
      <x:c r="V55" s="25"/>
      <x:c r="W55" s="25"/>
      <x:c r="X55" s="25"/>
      <x:c r="Y55" s="25"/>
      <x:c r="Z55" s="25"/>
      <x:c r="AA55" s="39" t="str">
        <x:f>IF(A55="","",U55-SUM(V55,X55:Z55))</x:f>
      </x:c>
      <x:c r="AB55" s="39" t="str">
        <x:f>IF(A55="","",IF(N55="SETUP",IFERROR(INDEX('04_KE_HOACH_CD'!$K$6:$K$305,MATCH(K55,'04_KE_HOACH_CD'!$G$6:$G$305,0)),0),IF(OR(N55="PRODUCTION",N55="REWORK"),IFERROR(INDEX('04_KE_HOACH_CD'!$L$6:$L$305,MATCH(K55,'04_KE_HOACH_CD'!$G$6:$G$305,0))*V55,0),0)))</x:f>
      </x:c>
      <x:c r="AC55" s="39" t="str">
        <x:f>IF(A55="","",MAX(0,(P55-O55)*1440-Q55))</x:f>
      </x:c>
      <x:c r="AD55" s="37" t="str">
        <x:f>IF(A55="","",IFERROR(AB55/AC55,0))</x:f>
      </x:c>
      <x:c r="AE55" s="33" t="str">
        <x:f>IF(A55="","",AC55/60*SUMIF(DM_NHAN_SU!$A$6:$A$105,L55,DM_NHAN_SU!$E$6:$E$105))</x:f>
      </x:c>
      <x:c r="AF55" s="33" t="str">
        <x:f>IF(A55="","",AC55/60*SUMIF(DM_MAY!$A$6:$A$105,M55,DM_MAY!$F$6:$F$105))</x:f>
      </x:c>
      <x:c r="AG55" s="33" t="str">
        <x:f>IF(A55="","",AE55+AF55)</x:f>
      </x:c>
      <x:c r="AH55" s="21"/>
      <x:c r="AI55" s="29" t="str">
        <x:f>IF(A55="","",IF(OR(B55="",D55="",E55="",I55="",L55="",N55="",O55="",P55=""),"Thiếu dữ liệu",IF(AND(OR(N55="PRODUCTION",N55="REWORK",N55="SETUP"),M55=""),"Thiếu máy",IF(P55&lt;O55,"Sai thời gian",IF(AA55&lt;&gt;0,"Sai cân đối SL","Hợp lệ")))))</x:f>
      </x:c>
      <x:c r="AJ55" s="21"/>
    </x:row>
    <x:row r="56">
      <x:c r="A56" s="21"/>
      <x:c r="B56" s="35"/>
      <x:c r="C56" s="21"/>
      <x:c r="D56" s="21"/>
      <x:c r="E56" s="21"/>
      <x:c r="F56" s="21"/>
      <x:c r="G56" s="21"/>
      <x:c r="H56" s="29" t="str">
        <x:f>IF(OR(D56="",E56=""),"",D56&amp;"|"&amp;E56&amp;"|"&amp;IF(F56="","00",F56)&amp;"|"&amp;IF(G56="","01",G56))</x:f>
      </x:c>
      <x:c r="I56" s="21"/>
      <x:c r="J56" s="29" t="str">
        <x:f>IF(K56="","",IFERROR(INDEX('04_KE_HOACH_CD'!$I$6:$I$305,MATCH(K56,'04_KE_HOACH_CD'!$G$6:$G$305,0)),""))</x:f>
      </x:c>
      <x:c r="K56" s="29" t="str">
        <x:f>IF(OR(H56="",I56=""),"",H56&amp;"|"&amp;TEXT(I56,"000"))</x:f>
      </x:c>
      <x:c r="L56" s="21"/>
      <x:c r="M56" s="21"/>
      <x:c r="N56" s="21"/>
      <x:c r="O56" s="43"/>
      <x:c r="P56" s="43"/>
      <x:c r="Q56" s="25"/>
      <x:c r="R56" s="25"/>
      <x:c r="S56" s="39" t="str">
        <x:f>IF(A56="","",SUMIF('07_DUNG_CHO'!$B$6:$B$505,A56,'07_DUNG_CHO'!$E$6:$E$505))</x:f>
      </x:c>
      <x:c r="T56" s="39" t="str">
        <x:f>IF(A56="","",IF(N56="SETUP",0,MAX(0,(P56-O56)*1440-Q56-S56)))</x:f>
      </x:c>
      <x:c r="U56" s="25"/>
      <x:c r="V56" s="25"/>
      <x:c r="W56" s="25"/>
      <x:c r="X56" s="25"/>
      <x:c r="Y56" s="25"/>
      <x:c r="Z56" s="25"/>
      <x:c r="AA56" s="39" t="str">
        <x:f>IF(A56="","",U56-SUM(V56,X56:Z56))</x:f>
      </x:c>
      <x:c r="AB56" s="39" t="str">
        <x:f>IF(A56="","",IF(N56="SETUP",IFERROR(INDEX('04_KE_HOACH_CD'!$K$6:$K$305,MATCH(K56,'04_KE_HOACH_CD'!$G$6:$G$305,0)),0),IF(OR(N56="PRODUCTION",N56="REWORK"),IFERROR(INDEX('04_KE_HOACH_CD'!$L$6:$L$305,MATCH(K56,'04_KE_HOACH_CD'!$G$6:$G$305,0))*V56,0),0)))</x:f>
      </x:c>
      <x:c r="AC56" s="39" t="str">
        <x:f>IF(A56="","",MAX(0,(P56-O56)*1440-Q56))</x:f>
      </x:c>
      <x:c r="AD56" s="37" t="str">
        <x:f>IF(A56="","",IFERROR(AB56/AC56,0))</x:f>
      </x:c>
      <x:c r="AE56" s="33" t="str">
        <x:f>IF(A56="","",AC56/60*SUMIF(DM_NHAN_SU!$A$6:$A$105,L56,DM_NHAN_SU!$E$6:$E$105))</x:f>
      </x:c>
      <x:c r="AF56" s="33" t="str">
        <x:f>IF(A56="","",AC56/60*SUMIF(DM_MAY!$A$6:$A$105,M56,DM_MAY!$F$6:$F$105))</x:f>
      </x:c>
      <x:c r="AG56" s="33" t="str">
        <x:f>IF(A56="","",AE56+AF56)</x:f>
      </x:c>
      <x:c r="AH56" s="21"/>
      <x:c r="AI56" s="29" t="str">
        <x:f>IF(A56="","",IF(OR(B56="",D56="",E56="",I56="",L56="",N56="",O56="",P56=""),"Thiếu dữ liệu",IF(AND(OR(N56="PRODUCTION",N56="REWORK",N56="SETUP"),M56=""),"Thiếu máy",IF(P56&lt;O56,"Sai thời gian",IF(AA56&lt;&gt;0,"Sai cân đối SL","Hợp lệ")))))</x:f>
      </x:c>
      <x:c r="AJ56" s="21"/>
    </x:row>
    <x:row r="57">
      <x:c r="A57" s="21"/>
      <x:c r="B57" s="35"/>
      <x:c r="C57" s="21"/>
      <x:c r="D57" s="21"/>
      <x:c r="E57" s="21"/>
      <x:c r="F57" s="21"/>
      <x:c r="G57" s="21"/>
      <x:c r="H57" s="29" t="str">
        <x:f>IF(OR(D57="",E57=""),"",D57&amp;"|"&amp;E57&amp;"|"&amp;IF(F57="","00",F57)&amp;"|"&amp;IF(G57="","01",G57))</x:f>
      </x:c>
      <x:c r="I57" s="21"/>
      <x:c r="J57" s="29" t="str">
        <x:f>IF(K57="","",IFERROR(INDEX('04_KE_HOACH_CD'!$I$6:$I$305,MATCH(K57,'04_KE_HOACH_CD'!$G$6:$G$305,0)),""))</x:f>
      </x:c>
      <x:c r="K57" s="29" t="str">
        <x:f>IF(OR(H57="",I57=""),"",H57&amp;"|"&amp;TEXT(I57,"000"))</x:f>
      </x:c>
      <x:c r="L57" s="21"/>
      <x:c r="M57" s="21"/>
      <x:c r="N57" s="21"/>
      <x:c r="O57" s="43"/>
      <x:c r="P57" s="43"/>
      <x:c r="Q57" s="25"/>
      <x:c r="R57" s="25"/>
      <x:c r="S57" s="39" t="str">
        <x:f>IF(A57="","",SUMIF('07_DUNG_CHO'!$B$6:$B$505,A57,'07_DUNG_CHO'!$E$6:$E$505))</x:f>
      </x:c>
      <x:c r="T57" s="39" t="str">
        <x:f>IF(A57="","",IF(N57="SETUP",0,MAX(0,(P57-O57)*1440-Q57-S57)))</x:f>
      </x:c>
      <x:c r="U57" s="25"/>
      <x:c r="V57" s="25"/>
      <x:c r="W57" s="25"/>
      <x:c r="X57" s="25"/>
      <x:c r="Y57" s="25"/>
      <x:c r="Z57" s="25"/>
      <x:c r="AA57" s="39" t="str">
        <x:f>IF(A57="","",U57-SUM(V57,X57:Z57))</x:f>
      </x:c>
      <x:c r="AB57" s="39" t="str">
        <x:f>IF(A57="","",IF(N57="SETUP",IFERROR(INDEX('04_KE_HOACH_CD'!$K$6:$K$305,MATCH(K57,'04_KE_HOACH_CD'!$G$6:$G$305,0)),0),IF(OR(N57="PRODUCTION",N57="REWORK"),IFERROR(INDEX('04_KE_HOACH_CD'!$L$6:$L$305,MATCH(K57,'04_KE_HOACH_CD'!$G$6:$G$305,0))*V57,0),0)))</x:f>
      </x:c>
      <x:c r="AC57" s="39" t="str">
        <x:f>IF(A57="","",MAX(0,(P57-O57)*1440-Q57))</x:f>
      </x:c>
      <x:c r="AD57" s="37" t="str">
        <x:f>IF(A57="","",IFERROR(AB57/AC57,0))</x:f>
      </x:c>
      <x:c r="AE57" s="33" t="str">
        <x:f>IF(A57="","",AC57/60*SUMIF(DM_NHAN_SU!$A$6:$A$105,L57,DM_NHAN_SU!$E$6:$E$105))</x:f>
      </x:c>
      <x:c r="AF57" s="33" t="str">
        <x:f>IF(A57="","",AC57/60*SUMIF(DM_MAY!$A$6:$A$105,M57,DM_MAY!$F$6:$F$105))</x:f>
      </x:c>
      <x:c r="AG57" s="33" t="str">
        <x:f>IF(A57="","",AE57+AF57)</x:f>
      </x:c>
      <x:c r="AH57" s="21"/>
      <x:c r="AI57" s="29" t="str">
        <x:f>IF(A57="","",IF(OR(B57="",D57="",E57="",I57="",L57="",N57="",O57="",P57=""),"Thiếu dữ liệu",IF(AND(OR(N57="PRODUCTION",N57="REWORK",N57="SETUP"),M57=""),"Thiếu máy",IF(P57&lt;O57,"Sai thời gian",IF(AA57&lt;&gt;0,"Sai cân đối SL","Hợp lệ")))))</x:f>
      </x:c>
      <x:c r="AJ57" s="21"/>
    </x:row>
    <x:row r="58">
      <x:c r="A58" s="21"/>
      <x:c r="B58" s="35"/>
      <x:c r="C58" s="21"/>
      <x:c r="D58" s="21"/>
      <x:c r="E58" s="21"/>
      <x:c r="F58" s="21"/>
      <x:c r="G58" s="21"/>
      <x:c r="H58" s="29" t="str">
        <x:f>IF(OR(D58="",E58=""),"",D58&amp;"|"&amp;E58&amp;"|"&amp;IF(F58="","00",F58)&amp;"|"&amp;IF(G58="","01",G58))</x:f>
      </x:c>
      <x:c r="I58" s="21"/>
      <x:c r="J58" s="29" t="str">
        <x:f>IF(K58="","",IFERROR(INDEX('04_KE_HOACH_CD'!$I$6:$I$305,MATCH(K58,'04_KE_HOACH_CD'!$G$6:$G$305,0)),""))</x:f>
      </x:c>
      <x:c r="K58" s="29" t="str">
        <x:f>IF(OR(H58="",I58=""),"",H58&amp;"|"&amp;TEXT(I58,"000"))</x:f>
      </x:c>
      <x:c r="L58" s="21"/>
      <x:c r="M58" s="21"/>
      <x:c r="N58" s="21"/>
      <x:c r="O58" s="43"/>
      <x:c r="P58" s="43"/>
      <x:c r="Q58" s="25"/>
      <x:c r="R58" s="25"/>
      <x:c r="S58" s="39" t="str">
        <x:f>IF(A58="","",SUMIF('07_DUNG_CHO'!$B$6:$B$505,A58,'07_DUNG_CHO'!$E$6:$E$505))</x:f>
      </x:c>
      <x:c r="T58" s="39" t="str">
        <x:f>IF(A58="","",IF(N58="SETUP",0,MAX(0,(P58-O58)*1440-Q58-S58)))</x:f>
      </x:c>
      <x:c r="U58" s="25"/>
      <x:c r="V58" s="25"/>
      <x:c r="W58" s="25"/>
      <x:c r="X58" s="25"/>
      <x:c r="Y58" s="25"/>
      <x:c r="Z58" s="25"/>
      <x:c r="AA58" s="39" t="str">
        <x:f>IF(A58="","",U58-SUM(V58,X58:Z58))</x:f>
      </x:c>
      <x:c r="AB58" s="39" t="str">
        <x:f>IF(A58="","",IF(N58="SETUP",IFERROR(INDEX('04_KE_HOACH_CD'!$K$6:$K$305,MATCH(K58,'04_KE_HOACH_CD'!$G$6:$G$305,0)),0),IF(OR(N58="PRODUCTION",N58="REWORK"),IFERROR(INDEX('04_KE_HOACH_CD'!$L$6:$L$305,MATCH(K58,'04_KE_HOACH_CD'!$G$6:$G$305,0))*V58,0),0)))</x:f>
      </x:c>
      <x:c r="AC58" s="39" t="str">
        <x:f>IF(A58="","",MAX(0,(P58-O58)*1440-Q58))</x:f>
      </x:c>
      <x:c r="AD58" s="37" t="str">
        <x:f>IF(A58="","",IFERROR(AB58/AC58,0))</x:f>
      </x:c>
      <x:c r="AE58" s="33" t="str">
        <x:f>IF(A58="","",AC58/60*SUMIF(DM_NHAN_SU!$A$6:$A$105,L58,DM_NHAN_SU!$E$6:$E$105))</x:f>
      </x:c>
      <x:c r="AF58" s="33" t="str">
        <x:f>IF(A58="","",AC58/60*SUMIF(DM_MAY!$A$6:$A$105,M58,DM_MAY!$F$6:$F$105))</x:f>
      </x:c>
      <x:c r="AG58" s="33" t="str">
        <x:f>IF(A58="","",AE58+AF58)</x:f>
      </x:c>
      <x:c r="AH58" s="21"/>
      <x:c r="AI58" s="29" t="str">
        <x:f>IF(A58="","",IF(OR(B58="",D58="",E58="",I58="",L58="",N58="",O58="",P58=""),"Thiếu dữ liệu",IF(AND(OR(N58="PRODUCTION",N58="REWORK",N58="SETUP"),M58=""),"Thiếu máy",IF(P58&lt;O58,"Sai thời gian",IF(AA58&lt;&gt;0,"Sai cân đối SL","Hợp lệ")))))</x:f>
      </x:c>
      <x:c r="AJ58" s="21"/>
    </x:row>
    <x:row r="59">
      <x:c r="A59" s="21"/>
      <x:c r="B59" s="35"/>
      <x:c r="C59" s="21"/>
      <x:c r="D59" s="21"/>
      <x:c r="E59" s="21"/>
      <x:c r="F59" s="21"/>
      <x:c r="G59" s="21"/>
      <x:c r="H59" s="29" t="str">
        <x:f>IF(OR(D59="",E59=""),"",D59&amp;"|"&amp;E59&amp;"|"&amp;IF(F59="","00",F59)&amp;"|"&amp;IF(G59="","01",G59))</x:f>
      </x:c>
      <x:c r="I59" s="21"/>
      <x:c r="J59" s="29" t="str">
        <x:f>IF(K59="","",IFERROR(INDEX('04_KE_HOACH_CD'!$I$6:$I$305,MATCH(K59,'04_KE_HOACH_CD'!$G$6:$G$305,0)),""))</x:f>
      </x:c>
      <x:c r="K59" s="29" t="str">
        <x:f>IF(OR(H59="",I59=""),"",H59&amp;"|"&amp;TEXT(I59,"000"))</x:f>
      </x:c>
      <x:c r="L59" s="21"/>
      <x:c r="M59" s="21"/>
      <x:c r="N59" s="21"/>
      <x:c r="O59" s="43"/>
      <x:c r="P59" s="43"/>
      <x:c r="Q59" s="25"/>
      <x:c r="R59" s="25"/>
      <x:c r="S59" s="39" t="str">
        <x:f>IF(A59="","",SUMIF('07_DUNG_CHO'!$B$6:$B$505,A59,'07_DUNG_CHO'!$E$6:$E$505))</x:f>
      </x:c>
      <x:c r="T59" s="39" t="str">
        <x:f>IF(A59="","",IF(N59="SETUP",0,MAX(0,(P59-O59)*1440-Q59-S59)))</x:f>
      </x:c>
      <x:c r="U59" s="25"/>
      <x:c r="V59" s="25"/>
      <x:c r="W59" s="25"/>
      <x:c r="X59" s="25"/>
      <x:c r="Y59" s="25"/>
      <x:c r="Z59" s="25"/>
      <x:c r="AA59" s="39" t="str">
        <x:f>IF(A59="","",U59-SUM(V59,X59:Z59))</x:f>
      </x:c>
      <x:c r="AB59" s="39" t="str">
        <x:f>IF(A59="","",IF(N59="SETUP",IFERROR(INDEX('04_KE_HOACH_CD'!$K$6:$K$305,MATCH(K59,'04_KE_HOACH_CD'!$G$6:$G$305,0)),0),IF(OR(N59="PRODUCTION",N59="REWORK"),IFERROR(INDEX('04_KE_HOACH_CD'!$L$6:$L$305,MATCH(K59,'04_KE_HOACH_CD'!$G$6:$G$305,0))*V59,0),0)))</x:f>
      </x:c>
      <x:c r="AC59" s="39" t="str">
        <x:f>IF(A59="","",MAX(0,(P59-O59)*1440-Q59))</x:f>
      </x:c>
      <x:c r="AD59" s="37" t="str">
        <x:f>IF(A59="","",IFERROR(AB59/AC59,0))</x:f>
      </x:c>
      <x:c r="AE59" s="33" t="str">
        <x:f>IF(A59="","",AC59/60*SUMIF(DM_NHAN_SU!$A$6:$A$105,L59,DM_NHAN_SU!$E$6:$E$105))</x:f>
      </x:c>
      <x:c r="AF59" s="33" t="str">
        <x:f>IF(A59="","",AC59/60*SUMIF(DM_MAY!$A$6:$A$105,M59,DM_MAY!$F$6:$F$105))</x:f>
      </x:c>
      <x:c r="AG59" s="33" t="str">
        <x:f>IF(A59="","",AE59+AF59)</x:f>
      </x:c>
      <x:c r="AH59" s="21"/>
      <x:c r="AI59" s="29" t="str">
        <x:f>IF(A59="","",IF(OR(B59="",D59="",E59="",I59="",L59="",N59="",O59="",P59=""),"Thiếu dữ liệu",IF(AND(OR(N59="PRODUCTION",N59="REWORK",N59="SETUP"),M59=""),"Thiếu máy",IF(P59&lt;O59,"Sai thời gian",IF(AA59&lt;&gt;0,"Sai cân đối SL","Hợp lệ")))))</x:f>
      </x:c>
      <x:c r="AJ59" s="21"/>
    </x:row>
    <x:row r="60">
      <x:c r="A60" s="21"/>
      <x:c r="B60" s="35"/>
      <x:c r="C60" s="21"/>
      <x:c r="D60" s="21"/>
      <x:c r="E60" s="21"/>
      <x:c r="F60" s="21"/>
      <x:c r="G60" s="21"/>
      <x:c r="H60" s="29" t="str">
        <x:f>IF(OR(D60="",E60=""),"",D60&amp;"|"&amp;E60&amp;"|"&amp;IF(F60="","00",F60)&amp;"|"&amp;IF(G60="","01",G60))</x:f>
      </x:c>
      <x:c r="I60" s="21"/>
      <x:c r="J60" s="29" t="str">
        <x:f>IF(K60="","",IFERROR(INDEX('04_KE_HOACH_CD'!$I$6:$I$305,MATCH(K60,'04_KE_HOACH_CD'!$G$6:$G$305,0)),""))</x:f>
      </x:c>
      <x:c r="K60" s="29" t="str">
        <x:f>IF(OR(H60="",I60=""),"",H60&amp;"|"&amp;TEXT(I60,"000"))</x:f>
      </x:c>
      <x:c r="L60" s="21"/>
      <x:c r="M60" s="21"/>
      <x:c r="N60" s="21"/>
      <x:c r="O60" s="43"/>
      <x:c r="P60" s="43"/>
      <x:c r="Q60" s="25"/>
      <x:c r="R60" s="25"/>
      <x:c r="S60" s="39" t="str">
        <x:f>IF(A60="","",SUMIF('07_DUNG_CHO'!$B$6:$B$505,A60,'07_DUNG_CHO'!$E$6:$E$505))</x:f>
      </x:c>
      <x:c r="T60" s="39" t="str">
        <x:f>IF(A60="","",IF(N60="SETUP",0,MAX(0,(P60-O60)*1440-Q60-S60)))</x:f>
      </x:c>
      <x:c r="U60" s="25"/>
      <x:c r="V60" s="25"/>
      <x:c r="W60" s="25"/>
      <x:c r="X60" s="25"/>
      <x:c r="Y60" s="25"/>
      <x:c r="Z60" s="25"/>
      <x:c r="AA60" s="39" t="str">
        <x:f>IF(A60="","",U60-SUM(V60,X60:Z60))</x:f>
      </x:c>
      <x:c r="AB60" s="39" t="str">
        <x:f>IF(A60="","",IF(N60="SETUP",IFERROR(INDEX('04_KE_HOACH_CD'!$K$6:$K$305,MATCH(K60,'04_KE_HOACH_CD'!$G$6:$G$305,0)),0),IF(OR(N60="PRODUCTION",N60="REWORK"),IFERROR(INDEX('04_KE_HOACH_CD'!$L$6:$L$305,MATCH(K60,'04_KE_HOACH_CD'!$G$6:$G$305,0))*V60,0),0)))</x:f>
      </x:c>
      <x:c r="AC60" s="39" t="str">
        <x:f>IF(A60="","",MAX(0,(P60-O60)*1440-Q60))</x:f>
      </x:c>
      <x:c r="AD60" s="37" t="str">
        <x:f>IF(A60="","",IFERROR(AB60/AC60,0))</x:f>
      </x:c>
      <x:c r="AE60" s="33" t="str">
        <x:f>IF(A60="","",AC60/60*SUMIF(DM_NHAN_SU!$A$6:$A$105,L60,DM_NHAN_SU!$E$6:$E$105))</x:f>
      </x:c>
      <x:c r="AF60" s="33" t="str">
        <x:f>IF(A60="","",AC60/60*SUMIF(DM_MAY!$A$6:$A$105,M60,DM_MAY!$F$6:$F$105))</x:f>
      </x:c>
      <x:c r="AG60" s="33" t="str">
        <x:f>IF(A60="","",AE60+AF60)</x:f>
      </x:c>
      <x:c r="AH60" s="21"/>
      <x:c r="AI60" s="29" t="str">
        <x:f>IF(A60="","",IF(OR(B60="",D60="",E60="",I60="",L60="",N60="",O60="",P60=""),"Thiếu dữ liệu",IF(AND(OR(N60="PRODUCTION",N60="REWORK",N60="SETUP"),M60=""),"Thiếu máy",IF(P60&lt;O60,"Sai thời gian",IF(AA60&lt;&gt;0,"Sai cân đối SL","Hợp lệ")))))</x:f>
      </x:c>
      <x:c r="AJ60" s="21"/>
    </x:row>
    <x:row r="61">
      <x:c r="A61" s="21"/>
      <x:c r="B61" s="35"/>
      <x:c r="C61" s="21"/>
      <x:c r="D61" s="21"/>
      <x:c r="E61" s="21"/>
      <x:c r="F61" s="21"/>
      <x:c r="G61" s="21"/>
      <x:c r="H61" s="29" t="str">
        <x:f>IF(OR(D61="",E61=""),"",D61&amp;"|"&amp;E61&amp;"|"&amp;IF(F61="","00",F61)&amp;"|"&amp;IF(G61="","01",G61))</x:f>
      </x:c>
      <x:c r="I61" s="21"/>
      <x:c r="J61" s="29" t="str">
        <x:f>IF(K61="","",IFERROR(INDEX('04_KE_HOACH_CD'!$I$6:$I$305,MATCH(K61,'04_KE_HOACH_CD'!$G$6:$G$305,0)),""))</x:f>
      </x:c>
      <x:c r="K61" s="29" t="str">
        <x:f>IF(OR(H61="",I61=""),"",H61&amp;"|"&amp;TEXT(I61,"000"))</x:f>
      </x:c>
      <x:c r="L61" s="21"/>
      <x:c r="M61" s="21"/>
      <x:c r="N61" s="21"/>
      <x:c r="O61" s="43"/>
      <x:c r="P61" s="43"/>
      <x:c r="Q61" s="25"/>
      <x:c r="R61" s="25"/>
      <x:c r="S61" s="39" t="str">
        <x:f>IF(A61="","",SUMIF('07_DUNG_CHO'!$B$6:$B$505,A61,'07_DUNG_CHO'!$E$6:$E$505))</x:f>
      </x:c>
      <x:c r="T61" s="39" t="str">
        <x:f>IF(A61="","",IF(N61="SETUP",0,MAX(0,(P61-O61)*1440-Q61-S61)))</x:f>
      </x:c>
      <x:c r="U61" s="25"/>
      <x:c r="V61" s="25"/>
      <x:c r="W61" s="25"/>
      <x:c r="X61" s="25"/>
      <x:c r="Y61" s="25"/>
      <x:c r="Z61" s="25"/>
      <x:c r="AA61" s="39" t="str">
        <x:f>IF(A61="","",U61-SUM(V61,X61:Z61))</x:f>
      </x:c>
      <x:c r="AB61" s="39" t="str">
        <x:f>IF(A61="","",IF(N61="SETUP",IFERROR(INDEX('04_KE_HOACH_CD'!$K$6:$K$305,MATCH(K61,'04_KE_HOACH_CD'!$G$6:$G$305,0)),0),IF(OR(N61="PRODUCTION",N61="REWORK"),IFERROR(INDEX('04_KE_HOACH_CD'!$L$6:$L$305,MATCH(K61,'04_KE_HOACH_CD'!$G$6:$G$305,0))*V61,0),0)))</x:f>
      </x:c>
      <x:c r="AC61" s="39" t="str">
        <x:f>IF(A61="","",MAX(0,(P61-O61)*1440-Q61))</x:f>
      </x:c>
      <x:c r="AD61" s="37" t="str">
        <x:f>IF(A61="","",IFERROR(AB61/AC61,0))</x:f>
      </x:c>
      <x:c r="AE61" s="33" t="str">
        <x:f>IF(A61="","",AC61/60*SUMIF(DM_NHAN_SU!$A$6:$A$105,L61,DM_NHAN_SU!$E$6:$E$105))</x:f>
      </x:c>
      <x:c r="AF61" s="33" t="str">
        <x:f>IF(A61="","",AC61/60*SUMIF(DM_MAY!$A$6:$A$105,M61,DM_MAY!$F$6:$F$105))</x:f>
      </x:c>
      <x:c r="AG61" s="33" t="str">
        <x:f>IF(A61="","",AE61+AF61)</x:f>
      </x:c>
      <x:c r="AH61" s="21"/>
      <x:c r="AI61" s="29" t="str">
        <x:f>IF(A61="","",IF(OR(B61="",D61="",E61="",I61="",L61="",N61="",O61="",P61=""),"Thiếu dữ liệu",IF(AND(OR(N61="PRODUCTION",N61="REWORK",N61="SETUP"),M61=""),"Thiếu máy",IF(P61&lt;O61,"Sai thời gian",IF(AA61&lt;&gt;0,"Sai cân đối SL","Hợp lệ")))))</x:f>
      </x:c>
      <x:c r="AJ61" s="21"/>
    </x:row>
    <x:row r="62">
      <x:c r="A62" s="21"/>
      <x:c r="B62" s="35"/>
      <x:c r="C62" s="21"/>
      <x:c r="D62" s="21"/>
      <x:c r="E62" s="21"/>
      <x:c r="F62" s="21"/>
      <x:c r="G62" s="21"/>
      <x:c r="H62" s="29" t="str">
        <x:f>IF(OR(D62="",E62=""),"",D62&amp;"|"&amp;E62&amp;"|"&amp;IF(F62="","00",F62)&amp;"|"&amp;IF(G62="","01",G62))</x:f>
      </x:c>
      <x:c r="I62" s="21"/>
      <x:c r="J62" s="29" t="str">
        <x:f>IF(K62="","",IFERROR(INDEX('04_KE_HOACH_CD'!$I$6:$I$305,MATCH(K62,'04_KE_HOACH_CD'!$G$6:$G$305,0)),""))</x:f>
      </x:c>
      <x:c r="K62" s="29" t="str">
        <x:f>IF(OR(H62="",I62=""),"",H62&amp;"|"&amp;TEXT(I62,"000"))</x:f>
      </x:c>
      <x:c r="L62" s="21"/>
      <x:c r="M62" s="21"/>
      <x:c r="N62" s="21"/>
      <x:c r="O62" s="43"/>
      <x:c r="P62" s="43"/>
      <x:c r="Q62" s="25"/>
      <x:c r="R62" s="25"/>
      <x:c r="S62" s="39" t="str">
        <x:f>IF(A62="","",SUMIF('07_DUNG_CHO'!$B$6:$B$505,A62,'07_DUNG_CHO'!$E$6:$E$505))</x:f>
      </x:c>
      <x:c r="T62" s="39" t="str">
        <x:f>IF(A62="","",IF(N62="SETUP",0,MAX(0,(P62-O62)*1440-Q62-S62)))</x:f>
      </x:c>
      <x:c r="U62" s="25"/>
      <x:c r="V62" s="25"/>
      <x:c r="W62" s="25"/>
      <x:c r="X62" s="25"/>
      <x:c r="Y62" s="25"/>
      <x:c r="Z62" s="25"/>
      <x:c r="AA62" s="39" t="str">
        <x:f>IF(A62="","",U62-SUM(V62,X62:Z62))</x:f>
      </x:c>
      <x:c r="AB62" s="39" t="str">
        <x:f>IF(A62="","",IF(N62="SETUP",IFERROR(INDEX('04_KE_HOACH_CD'!$K$6:$K$305,MATCH(K62,'04_KE_HOACH_CD'!$G$6:$G$305,0)),0),IF(OR(N62="PRODUCTION",N62="REWORK"),IFERROR(INDEX('04_KE_HOACH_CD'!$L$6:$L$305,MATCH(K62,'04_KE_HOACH_CD'!$G$6:$G$305,0))*V62,0),0)))</x:f>
      </x:c>
      <x:c r="AC62" s="39" t="str">
        <x:f>IF(A62="","",MAX(0,(P62-O62)*1440-Q62))</x:f>
      </x:c>
      <x:c r="AD62" s="37" t="str">
        <x:f>IF(A62="","",IFERROR(AB62/AC62,0))</x:f>
      </x:c>
      <x:c r="AE62" s="33" t="str">
        <x:f>IF(A62="","",AC62/60*SUMIF(DM_NHAN_SU!$A$6:$A$105,L62,DM_NHAN_SU!$E$6:$E$105))</x:f>
      </x:c>
      <x:c r="AF62" s="33" t="str">
        <x:f>IF(A62="","",AC62/60*SUMIF(DM_MAY!$A$6:$A$105,M62,DM_MAY!$F$6:$F$105))</x:f>
      </x:c>
      <x:c r="AG62" s="33" t="str">
        <x:f>IF(A62="","",AE62+AF62)</x:f>
      </x:c>
      <x:c r="AH62" s="21"/>
      <x:c r="AI62" s="29" t="str">
        <x:f>IF(A62="","",IF(OR(B62="",D62="",E62="",I62="",L62="",N62="",O62="",P62=""),"Thiếu dữ liệu",IF(AND(OR(N62="PRODUCTION",N62="REWORK",N62="SETUP"),M62=""),"Thiếu máy",IF(P62&lt;O62,"Sai thời gian",IF(AA62&lt;&gt;0,"Sai cân đối SL","Hợp lệ")))))</x:f>
      </x:c>
      <x:c r="AJ62" s="21"/>
    </x:row>
    <x:row r="63">
      <x:c r="A63" s="21"/>
      <x:c r="B63" s="35"/>
      <x:c r="C63" s="21"/>
      <x:c r="D63" s="21"/>
      <x:c r="E63" s="21"/>
      <x:c r="F63" s="21"/>
      <x:c r="G63" s="21"/>
      <x:c r="H63" s="29" t="str">
        <x:f>IF(OR(D63="",E63=""),"",D63&amp;"|"&amp;E63&amp;"|"&amp;IF(F63="","00",F63)&amp;"|"&amp;IF(G63="","01",G63))</x:f>
      </x:c>
      <x:c r="I63" s="21"/>
      <x:c r="J63" s="29" t="str">
        <x:f>IF(K63="","",IFERROR(INDEX('04_KE_HOACH_CD'!$I$6:$I$305,MATCH(K63,'04_KE_HOACH_CD'!$G$6:$G$305,0)),""))</x:f>
      </x:c>
      <x:c r="K63" s="29" t="str">
        <x:f>IF(OR(H63="",I63=""),"",H63&amp;"|"&amp;TEXT(I63,"000"))</x:f>
      </x:c>
      <x:c r="L63" s="21"/>
      <x:c r="M63" s="21"/>
      <x:c r="N63" s="21"/>
      <x:c r="O63" s="43"/>
      <x:c r="P63" s="43"/>
      <x:c r="Q63" s="25"/>
      <x:c r="R63" s="25"/>
      <x:c r="S63" s="39" t="str">
        <x:f>IF(A63="","",SUMIF('07_DUNG_CHO'!$B$6:$B$505,A63,'07_DUNG_CHO'!$E$6:$E$505))</x:f>
      </x:c>
      <x:c r="T63" s="39" t="str">
        <x:f>IF(A63="","",IF(N63="SETUP",0,MAX(0,(P63-O63)*1440-Q63-S63)))</x:f>
      </x:c>
      <x:c r="U63" s="25"/>
      <x:c r="V63" s="25"/>
      <x:c r="W63" s="25"/>
      <x:c r="X63" s="25"/>
      <x:c r="Y63" s="25"/>
      <x:c r="Z63" s="25"/>
      <x:c r="AA63" s="39" t="str">
        <x:f>IF(A63="","",U63-SUM(V63,X63:Z63))</x:f>
      </x:c>
      <x:c r="AB63" s="39" t="str">
        <x:f>IF(A63="","",IF(N63="SETUP",IFERROR(INDEX('04_KE_HOACH_CD'!$K$6:$K$305,MATCH(K63,'04_KE_HOACH_CD'!$G$6:$G$305,0)),0),IF(OR(N63="PRODUCTION",N63="REWORK"),IFERROR(INDEX('04_KE_HOACH_CD'!$L$6:$L$305,MATCH(K63,'04_KE_HOACH_CD'!$G$6:$G$305,0))*V63,0),0)))</x:f>
      </x:c>
      <x:c r="AC63" s="39" t="str">
        <x:f>IF(A63="","",MAX(0,(P63-O63)*1440-Q63))</x:f>
      </x:c>
      <x:c r="AD63" s="37" t="str">
        <x:f>IF(A63="","",IFERROR(AB63/AC63,0))</x:f>
      </x:c>
      <x:c r="AE63" s="33" t="str">
        <x:f>IF(A63="","",AC63/60*SUMIF(DM_NHAN_SU!$A$6:$A$105,L63,DM_NHAN_SU!$E$6:$E$105))</x:f>
      </x:c>
      <x:c r="AF63" s="33" t="str">
        <x:f>IF(A63="","",AC63/60*SUMIF(DM_MAY!$A$6:$A$105,M63,DM_MAY!$F$6:$F$105))</x:f>
      </x:c>
      <x:c r="AG63" s="33" t="str">
        <x:f>IF(A63="","",AE63+AF63)</x:f>
      </x:c>
      <x:c r="AH63" s="21"/>
      <x:c r="AI63" s="29" t="str">
        <x:f>IF(A63="","",IF(OR(B63="",D63="",E63="",I63="",L63="",N63="",O63="",P63=""),"Thiếu dữ liệu",IF(AND(OR(N63="PRODUCTION",N63="REWORK",N63="SETUP"),M63=""),"Thiếu máy",IF(P63&lt;O63,"Sai thời gian",IF(AA63&lt;&gt;0,"Sai cân đối SL","Hợp lệ")))))</x:f>
      </x:c>
      <x:c r="AJ63" s="21"/>
    </x:row>
    <x:row r="64">
      <x:c r="A64" s="21"/>
      <x:c r="B64" s="35"/>
      <x:c r="C64" s="21"/>
      <x:c r="D64" s="21"/>
      <x:c r="E64" s="21"/>
      <x:c r="F64" s="21"/>
      <x:c r="G64" s="21"/>
      <x:c r="H64" s="29" t="str">
        <x:f>IF(OR(D64="",E64=""),"",D64&amp;"|"&amp;E64&amp;"|"&amp;IF(F64="","00",F64)&amp;"|"&amp;IF(G64="","01",G64))</x:f>
      </x:c>
      <x:c r="I64" s="21"/>
      <x:c r="J64" s="29" t="str">
        <x:f>IF(K64="","",IFERROR(INDEX('04_KE_HOACH_CD'!$I$6:$I$305,MATCH(K64,'04_KE_HOACH_CD'!$G$6:$G$305,0)),""))</x:f>
      </x:c>
      <x:c r="K64" s="29" t="str">
        <x:f>IF(OR(H64="",I64=""),"",H64&amp;"|"&amp;TEXT(I64,"000"))</x:f>
      </x:c>
      <x:c r="L64" s="21"/>
      <x:c r="M64" s="21"/>
      <x:c r="N64" s="21"/>
      <x:c r="O64" s="43"/>
      <x:c r="P64" s="43"/>
      <x:c r="Q64" s="25"/>
      <x:c r="R64" s="25"/>
      <x:c r="S64" s="39" t="str">
        <x:f>IF(A64="","",SUMIF('07_DUNG_CHO'!$B$6:$B$505,A64,'07_DUNG_CHO'!$E$6:$E$505))</x:f>
      </x:c>
      <x:c r="T64" s="39" t="str">
        <x:f>IF(A64="","",IF(N64="SETUP",0,MAX(0,(P64-O64)*1440-Q64-S64)))</x:f>
      </x:c>
      <x:c r="U64" s="25"/>
      <x:c r="V64" s="25"/>
      <x:c r="W64" s="25"/>
      <x:c r="X64" s="25"/>
      <x:c r="Y64" s="25"/>
      <x:c r="Z64" s="25"/>
      <x:c r="AA64" s="39" t="str">
        <x:f>IF(A64="","",U64-SUM(V64,X64:Z64))</x:f>
      </x:c>
      <x:c r="AB64" s="39" t="str">
        <x:f>IF(A64="","",IF(N64="SETUP",IFERROR(INDEX('04_KE_HOACH_CD'!$K$6:$K$305,MATCH(K64,'04_KE_HOACH_CD'!$G$6:$G$305,0)),0),IF(OR(N64="PRODUCTION",N64="REWORK"),IFERROR(INDEX('04_KE_HOACH_CD'!$L$6:$L$305,MATCH(K64,'04_KE_HOACH_CD'!$G$6:$G$305,0))*V64,0),0)))</x:f>
      </x:c>
      <x:c r="AC64" s="39" t="str">
        <x:f>IF(A64="","",MAX(0,(P64-O64)*1440-Q64))</x:f>
      </x:c>
      <x:c r="AD64" s="37" t="str">
        <x:f>IF(A64="","",IFERROR(AB64/AC64,0))</x:f>
      </x:c>
      <x:c r="AE64" s="33" t="str">
        <x:f>IF(A64="","",AC64/60*SUMIF(DM_NHAN_SU!$A$6:$A$105,L64,DM_NHAN_SU!$E$6:$E$105))</x:f>
      </x:c>
      <x:c r="AF64" s="33" t="str">
        <x:f>IF(A64="","",AC64/60*SUMIF(DM_MAY!$A$6:$A$105,M64,DM_MAY!$F$6:$F$105))</x:f>
      </x:c>
      <x:c r="AG64" s="33" t="str">
        <x:f>IF(A64="","",AE64+AF64)</x:f>
      </x:c>
      <x:c r="AH64" s="21"/>
      <x:c r="AI64" s="29" t="str">
        <x:f>IF(A64="","",IF(OR(B64="",D64="",E64="",I64="",L64="",N64="",O64="",P64=""),"Thiếu dữ liệu",IF(AND(OR(N64="PRODUCTION",N64="REWORK",N64="SETUP"),M64=""),"Thiếu máy",IF(P64&lt;O64,"Sai thời gian",IF(AA64&lt;&gt;0,"Sai cân đối SL","Hợp lệ")))))</x:f>
      </x:c>
      <x:c r="AJ64" s="21"/>
    </x:row>
    <x:row r="65">
      <x:c r="A65" s="21"/>
      <x:c r="B65" s="35"/>
      <x:c r="C65" s="21"/>
      <x:c r="D65" s="21"/>
      <x:c r="E65" s="21"/>
      <x:c r="F65" s="21"/>
      <x:c r="G65" s="21"/>
      <x:c r="H65" s="29" t="str">
        <x:f>IF(OR(D65="",E65=""),"",D65&amp;"|"&amp;E65&amp;"|"&amp;IF(F65="","00",F65)&amp;"|"&amp;IF(G65="","01",G65))</x:f>
      </x:c>
      <x:c r="I65" s="21"/>
      <x:c r="J65" s="29" t="str">
        <x:f>IF(K65="","",IFERROR(INDEX('04_KE_HOACH_CD'!$I$6:$I$305,MATCH(K65,'04_KE_HOACH_CD'!$G$6:$G$305,0)),""))</x:f>
      </x:c>
      <x:c r="K65" s="29" t="str">
        <x:f>IF(OR(H65="",I65=""),"",H65&amp;"|"&amp;TEXT(I65,"000"))</x:f>
      </x:c>
      <x:c r="L65" s="21"/>
      <x:c r="M65" s="21"/>
      <x:c r="N65" s="21"/>
      <x:c r="O65" s="43"/>
      <x:c r="P65" s="43"/>
      <x:c r="Q65" s="25"/>
      <x:c r="R65" s="25"/>
      <x:c r="S65" s="39" t="str">
        <x:f>IF(A65="","",SUMIF('07_DUNG_CHO'!$B$6:$B$505,A65,'07_DUNG_CHO'!$E$6:$E$505))</x:f>
      </x:c>
      <x:c r="T65" s="39" t="str">
        <x:f>IF(A65="","",IF(N65="SETUP",0,MAX(0,(P65-O65)*1440-Q65-S65)))</x:f>
      </x:c>
      <x:c r="U65" s="25"/>
      <x:c r="V65" s="25"/>
      <x:c r="W65" s="25"/>
      <x:c r="X65" s="25"/>
      <x:c r="Y65" s="25"/>
      <x:c r="Z65" s="25"/>
      <x:c r="AA65" s="39" t="str">
        <x:f>IF(A65="","",U65-SUM(V65,X65:Z65))</x:f>
      </x:c>
      <x:c r="AB65" s="39" t="str">
        <x:f>IF(A65="","",IF(N65="SETUP",IFERROR(INDEX('04_KE_HOACH_CD'!$K$6:$K$305,MATCH(K65,'04_KE_HOACH_CD'!$G$6:$G$305,0)),0),IF(OR(N65="PRODUCTION",N65="REWORK"),IFERROR(INDEX('04_KE_HOACH_CD'!$L$6:$L$305,MATCH(K65,'04_KE_HOACH_CD'!$G$6:$G$305,0))*V65,0),0)))</x:f>
      </x:c>
      <x:c r="AC65" s="39" t="str">
        <x:f>IF(A65="","",MAX(0,(P65-O65)*1440-Q65))</x:f>
      </x:c>
      <x:c r="AD65" s="37" t="str">
        <x:f>IF(A65="","",IFERROR(AB65/AC65,0))</x:f>
      </x:c>
      <x:c r="AE65" s="33" t="str">
        <x:f>IF(A65="","",AC65/60*SUMIF(DM_NHAN_SU!$A$6:$A$105,L65,DM_NHAN_SU!$E$6:$E$105))</x:f>
      </x:c>
      <x:c r="AF65" s="33" t="str">
        <x:f>IF(A65="","",AC65/60*SUMIF(DM_MAY!$A$6:$A$105,M65,DM_MAY!$F$6:$F$105))</x:f>
      </x:c>
      <x:c r="AG65" s="33" t="str">
        <x:f>IF(A65="","",AE65+AF65)</x:f>
      </x:c>
      <x:c r="AH65" s="21"/>
      <x:c r="AI65" s="29" t="str">
        <x:f>IF(A65="","",IF(OR(B65="",D65="",E65="",I65="",L65="",N65="",O65="",P65=""),"Thiếu dữ liệu",IF(AND(OR(N65="PRODUCTION",N65="REWORK",N65="SETUP"),M65=""),"Thiếu máy",IF(P65&lt;O65,"Sai thời gian",IF(AA65&lt;&gt;0,"Sai cân đối SL","Hợp lệ")))))</x:f>
      </x:c>
      <x:c r="AJ65" s="21"/>
    </x:row>
    <x:row r="66">
      <x:c r="A66" s="21"/>
      <x:c r="B66" s="35"/>
      <x:c r="C66" s="21"/>
      <x:c r="D66" s="21"/>
      <x:c r="E66" s="21"/>
      <x:c r="F66" s="21"/>
      <x:c r="G66" s="21"/>
      <x:c r="H66" s="29" t="str">
        <x:f>IF(OR(D66="",E66=""),"",D66&amp;"|"&amp;E66&amp;"|"&amp;IF(F66="","00",F66)&amp;"|"&amp;IF(G66="","01",G66))</x:f>
      </x:c>
      <x:c r="I66" s="21"/>
      <x:c r="J66" s="29" t="str">
        <x:f>IF(K66="","",IFERROR(INDEX('04_KE_HOACH_CD'!$I$6:$I$305,MATCH(K66,'04_KE_HOACH_CD'!$G$6:$G$305,0)),""))</x:f>
      </x:c>
      <x:c r="K66" s="29" t="str">
        <x:f>IF(OR(H66="",I66=""),"",H66&amp;"|"&amp;TEXT(I66,"000"))</x:f>
      </x:c>
      <x:c r="L66" s="21"/>
      <x:c r="M66" s="21"/>
      <x:c r="N66" s="21"/>
      <x:c r="O66" s="43"/>
      <x:c r="P66" s="43"/>
      <x:c r="Q66" s="25"/>
      <x:c r="R66" s="25"/>
      <x:c r="S66" s="39" t="str">
        <x:f>IF(A66="","",SUMIF('07_DUNG_CHO'!$B$6:$B$505,A66,'07_DUNG_CHO'!$E$6:$E$505))</x:f>
      </x:c>
      <x:c r="T66" s="39" t="str">
        <x:f>IF(A66="","",IF(N66="SETUP",0,MAX(0,(P66-O66)*1440-Q66-S66)))</x:f>
      </x:c>
      <x:c r="U66" s="25"/>
      <x:c r="V66" s="25"/>
      <x:c r="W66" s="25"/>
      <x:c r="X66" s="25"/>
      <x:c r="Y66" s="25"/>
      <x:c r="Z66" s="25"/>
      <x:c r="AA66" s="39" t="str">
        <x:f>IF(A66="","",U66-SUM(V66,X66:Z66))</x:f>
      </x:c>
      <x:c r="AB66" s="39" t="str">
        <x:f>IF(A66="","",IF(N66="SETUP",IFERROR(INDEX('04_KE_HOACH_CD'!$K$6:$K$305,MATCH(K66,'04_KE_HOACH_CD'!$G$6:$G$305,0)),0),IF(OR(N66="PRODUCTION",N66="REWORK"),IFERROR(INDEX('04_KE_HOACH_CD'!$L$6:$L$305,MATCH(K66,'04_KE_HOACH_CD'!$G$6:$G$305,0))*V66,0),0)))</x:f>
      </x:c>
      <x:c r="AC66" s="39" t="str">
        <x:f>IF(A66="","",MAX(0,(P66-O66)*1440-Q66))</x:f>
      </x:c>
      <x:c r="AD66" s="37" t="str">
        <x:f>IF(A66="","",IFERROR(AB66/AC66,0))</x:f>
      </x:c>
      <x:c r="AE66" s="33" t="str">
        <x:f>IF(A66="","",AC66/60*SUMIF(DM_NHAN_SU!$A$6:$A$105,L66,DM_NHAN_SU!$E$6:$E$105))</x:f>
      </x:c>
      <x:c r="AF66" s="33" t="str">
        <x:f>IF(A66="","",AC66/60*SUMIF(DM_MAY!$A$6:$A$105,M66,DM_MAY!$F$6:$F$105))</x:f>
      </x:c>
      <x:c r="AG66" s="33" t="str">
        <x:f>IF(A66="","",AE66+AF66)</x:f>
      </x:c>
      <x:c r="AH66" s="21"/>
      <x:c r="AI66" s="29" t="str">
        <x:f>IF(A66="","",IF(OR(B66="",D66="",E66="",I66="",L66="",N66="",O66="",P66=""),"Thiếu dữ liệu",IF(AND(OR(N66="PRODUCTION",N66="REWORK",N66="SETUP"),M66=""),"Thiếu máy",IF(P66&lt;O66,"Sai thời gian",IF(AA66&lt;&gt;0,"Sai cân đối SL","Hợp lệ")))))</x:f>
      </x:c>
      <x:c r="AJ66" s="21"/>
    </x:row>
    <x:row r="67">
      <x:c r="A67" s="21"/>
      <x:c r="B67" s="35"/>
      <x:c r="C67" s="21"/>
      <x:c r="D67" s="21"/>
      <x:c r="E67" s="21"/>
      <x:c r="F67" s="21"/>
      <x:c r="G67" s="21"/>
      <x:c r="H67" s="29" t="str">
        <x:f>IF(OR(D67="",E67=""),"",D67&amp;"|"&amp;E67&amp;"|"&amp;IF(F67="","00",F67)&amp;"|"&amp;IF(G67="","01",G67))</x:f>
      </x:c>
      <x:c r="I67" s="21"/>
      <x:c r="J67" s="29" t="str">
        <x:f>IF(K67="","",IFERROR(INDEX('04_KE_HOACH_CD'!$I$6:$I$305,MATCH(K67,'04_KE_HOACH_CD'!$G$6:$G$305,0)),""))</x:f>
      </x:c>
      <x:c r="K67" s="29" t="str">
        <x:f>IF(OR(H67="",I67=""),"",H67&amp;"|"&amp;TEXT(I67,"000"))</x:f>
      </x:c>
      <x:c r="L67" s="21"/>
      <x:c r="M67" s="21"/>
      <x:c r="N67" s="21"/>
      <x:c r="O67" s="43"/>
      <x:c r="P67" s="43"/>
      <x:c r="Q67" s="25"/>
      <x:c r="R67" s="25"/>
      <x:c r="S67" s="39" t="str">
        <x:f>IF(A67="","",SUMIF('07_DUNG_CHO'!$B$6:$B$505,A67,'07_DUNG_CHO'!$E$6:$E$505))</x:f>
      </x:c>
      <x:c r="T67" s="39" t="str">
        <x:f>IF(A67="","",IF(N67="SETUP",0,MAX(0,(P67-O67)*1440-Q67-S67)))</x:f>
      </x:c>
      <x:c r="U67" s="25"/>
      <x:c r="V67" s="25"/>
      <x:c r="W67" s="25"/>
      <x:c r="X67" s="25"/>
      <x:c r="Y67" s="25"/>
      <x:c r="Z67" s="25"/>
      <x:c r="AA67" s="39" t="str">
        <x:f>IF(A67="","",U67-SUM(V67,X67:Z67))</x:f>
      </x:c>
      <x:c r="AB67" s="39" t="str">
        <x:f>IF(A67="","",IF(N67="SETUP",IFERROR(INDEX('04_KE_HOACH_CD'!$K$6:$K$305,MATCH(K67,'04_KE_HOACH_CD'!$G$6:$G$305,0)),0),IF(OR(N67="PRODUCTION",N67="REWORK"),IFERROR(INDEX('04_KE_HOACH_CD'!$L$6:$L$305,MATCH(K67,'04_KE_HOACH_CD'!$G$6:$G$305,0))*V67,0),0)))</x:f>
      </x:c>
      <x:c r="AC67" s="39" t="str">
        <x:f>IF(A67="","",MAX(0,(P67-O67)*1440-Q67))</x:f>
      </x:c>
      <x:c r="AD67" s="37" t="str">
        <x:f>IF(A67="","",IFERROR(AB67/AC67,0))</x:f>
      </x:c>
      <x:c r="AE67" s="33" t="str">
        <x:f>IF(A67="","",AC67/60*SUMIF(DM_NHAN_SU!$A$6:$A$105,L67,DM_NHAN_SU!$E$6:$E$105))</x:f>
      </x:c>
      <x:c r="AF67" s="33" t="str">
        <x:f>IF(A67="","",AC67/60*SUMIF(DM_MAY!$A$6:$A$105,M67,DM_MAY!$F$6:$F$105))</x:f>
      </x:c>
      <x:c r="AG67" s="33" t="str">
        <x:f>IF(A67="","",AE67+AF67)</x:f>
      </x:c>
      <x:c r="AH67" s="21"/>
      <x:c r="AI67" s="29" t="str">
        <x:f>IF(A67="","",IF(OR(B67="",D67="",E67="",I67="",L67="",N67="",O67="",P67=""),"Thiếu dữ liệu",IF(AND(OR(N67="PRODUCTION",N67="REWORK",N67="SETUP"),M67=""),"Thiếu máy",IF(P67&lt;O67,"Sai thời gian",IF(AA67&lt;&gt;0,"Sai cân đối SL","Hợp lệ")))))</x:f>
      </x:c>
      <x:c r="AJ67" s="21"/>
    </x:row>
    <x:row r="68">
      <x:c r="A68" s="21"/>
      <x:c r="B68" s="35"/>
      <x:c r="C68" s="21"/>
      <x:c r="D68" s="21"/>
      <x:c r="E68" s="21"/>
      <x:c r="F68" s="21"/>
      <x:c r="G68" s="21"/>
      <x:c r="H68" s="29" t="str">
        <x:f>IF(OR(D68="",E68=""),"",D68&amp;"|"&amp;E68&amp;"|"&amp;IF(F68="","00",F68)&amp;"|"&amp;IF(G68="","01",G68))</x:f>
      </x:c>
      <x:c r="I68" s="21"/>
      <x:c r="J68" s="29" t="str">
        <x:f>IF(K68="","",IFERROR(INDEX('04_KE_HOACH_CD'!$I$6:$I$305,MATCH(K68,'04_KE_HOACH_CD'!$G$6:$G$305,0)),""))</x:f>
      </x:c>
      <x:c r="K68" s="29" t="str">
        <x:f>IF(OR(H68="",I68=""),"",H68&amp;"|"&amp;TEXT(I68,"000"))</x:f>
      </x:c>
      <x:c r="L68" s="21"/>
      <x:c r="M68" s="21"/>
      <x:c r="N68" s="21"/>
      <x:c r="O68" s="43"/>
      <x:c r="P68" s="43"/>
      <x:c r="Q68" s="25"/>
      <x:c r="R68" s="25"/>
      <x:c r="S68" s="39" t="str">
        <x:f>IF(A68="","",SUMIF('07_DUNG_CHO'!$B$6:$B$505,A68,'07_DUNG_CHO'!$E$6:$E$505))</x:f>
      </x:c>
      <x:c r="T68" s="39" t="str">
        <x:f>IF(A68="","",IF(N68="SETUP",0,MAX(0,(P68-O68)*1440-Q68-S68)))</x:f>
      </x:c>
      <x:c r="U68" s="25"/>
      <x:c r="V68" s="25"/>
      <x:c r="W68" s="25"/>
      <x:c r="X68" s="25"/>
      <x:c r="Y68" s="25"/>
      <x:c r="Z68" s="25"/>
      <x:c r="AA68" s="39" t="str">
        <x:f>IF(A68="","",U68-SUM(V68,X68:Z68))</x:f>
      </x:c>
      <x:c r="AB68" s="39" t="str">
        <x:f>IF(A68="","",IF(N68="SETUP",IFERROR(INDEX('04_KE_HOACH_CD'!$K$6:$K$305,MATCH(K68,'04_KE_HOACH_CD'!$G$6:$G$305,0)),0),IF(OR(N68="PRODUCTION",N68="REWORK"),IFERROR(INDEX('04_KE_HOACH_CD'!$L$6:$L$305,MATCH(K68,'04_KE_HOACH_CD'!$G$6:$G$305,0))*V68,0),0)))</x:f>
      </x:c>
      <x:c r="AC68" s="39" t="str">
        <x:f>IF(A68="","",MAX(0,(P68-O68)*1440-Q68))</x:f>
      </x:c>
      <x:c r="AD68" s="37" t="str">
        <x:f>IF(A68="","",IFERROR(AB68/AC68,0))</x:f>
      </x:c>
      <x:c r="AE68" s="33" t="str">
        <x:f>IF(A68="","",AC68/60*SUMIF(DM_NHAN_SU!$A$6:$A$105,L68,DM_NHAN_SU!$E$6:$E$105))</x:f>
      </x:c>
      <x:c r="AF68" s="33" t="str">
        <x:f>IF(A68="","",AC68/60*SUMIF(DM_MAY!$A$6:$A$105,M68,DM_MAY!$F$6:$F$105))</x:f>
      </x:c>
      <x:c r="AG68" s="33" t="str">
        <x:f>IF(A68="","",AE68+AF68)</x:f>
      </x:c>
      <x:c r="AH68" s="21"/>
      <x:c r="AI68" s="29" t="str">
        <x:f>IF(A68="","",IF(OR(B68="",D68="",E68="",I68="",L68="",N68="",O68="",P68=""),"Thiếu dữ liệu",IF(AND(OR(N68="PRODUCTION",N68="REWORK",N68="SETUP"),M68=""),"Thiếu máy",IF(P68&lt;O68,"Sai thời gian",IF(AA68&lt;&gt;0,"Sai cân đối SL","Hợp lệ")))))</x:f>
      </x:c>
      <x:c r="AJ68" s="21"/>
    </x:row>
    <x:row r="69">
      <x:c r="A69" s="21"/>
      <x:c r="B69" s="35"/>
      <x:c r="C69" s="21"/>
      <x:c r="D69" s="21"/>
      <x:c r="E69" s="21"/>
      <x:c r="F69" s="21"/>
      <x:c r="G69" s="21"/>
      <x:c r="H69" s="29" t="str">
        <x:f>IF(OR(D69="",E69=""),"",D69&amp;"|"&amp;E69&amp;"|"&amp;IF(F69="","00",F69)&amp;"|"&amp;IF(G69="","01",G69))</x:f>
      </x:c>
      <x:c r="I69" s="21"/>
      <x:c r="J69" s="29" t="str">
        <x:f>IF(K69="","",IFERROR(INDEX('04_KE_HOACH_CD'!$I$6:$I$305,MATCH(K69,'04_KE_HOACH_CD'!$G$6:$G$305,0)),""))</x:f>
      </x:c>
      <x:c r="K69" s="29" t="str">
        <x:f>IF(OR(H69="",I69=""),"",H69&amp;"|"&amp;TEXT(I69,"000"))</x:f>
      </x:c>
      <x:c r="L69" s="21"/>
      <x:c r="M69" s="21"/>
      <x:c r="N69" s="21"/>
      <x:c r="O69" s="43"/>
      <x:c r="P69" s="43"/>
      <x:c r="Q69" s="25"/>
      <x:c r="R69" s="25"/>
      <x:c r="S69" s="39" t="str">
        <x:f>IF(A69="","",SUMIF('07_DUNG_CHO'!$B$6:$B$505,A69,'07_DUNG_CHO'!$E$6:$E$505))</x:f>
      </x:c>
      <x:c r="T69" s="39" t="str">
        <x:f>IF(A69="","",IF(N69="SETUP",0,MAX(0,(P69-O69)*1440-Q69-S69)))</x:f>
      </x:c>
      <x:c r="U69" s="25"/>
      <x:c r="V69" s="25"/>
      <x:c r="W69" s="25"/>
      <x:c r="X69" s="25"/>
      <x:c r="Y69" s="25"/>
      <x:c r="Z69" s="25"/>
      <x:c r="AA69" s="39" t="str">
        <x:f>IF(A69="","",U69-SUM(V69,X69:Z69))</x:f>
      </x:c>
      <x:c r="AB69" s="39" t="str">
        <x:f>IF(A69="","",IF(N69="SETUP",IFERROR(INDEX('04_KE_HOACH_CD'!$K$6:$K$305,MATCH(K69,'04_KE_HOACH_CD'!$G$6:$G$305,0)),0),IF(OR(N69="PRODUCTION",N69="REWORK"),IFERROR(INDEX('04_KE_HOACH_CD'!$L$6:$L$305,MATCH(K69,'04_KE_HOACH_CD'!$G$6:$G$305,0))*V69,0),0)))</x:f>
      </x:c>
      <x:c r="AC69" s="39" t="str">
        <x:f>IF(A69="","",MAX(0,(P69-O69)*1440-Q69))</x:f>
      </x:c>
      <x:c r="AD69" s="37" t="str">
        <x:f>IF(A69="","",IFERROR(AB69/AC69,0))</x:f>
      </x:c>
      <x:c r="AE69" s="33" t="str">
        <x:f>IF(A69="","",AC69/60*SUMIF(DM_NHAN_SU!$A$6:$A$105,L69,DM_NHAN_SU!$E$6:$E$105))</x:f>
      </x:c>
      <x:c r="AF69" s="33" t="str">
        <x:f>IF(A69="","",AC69/60*SUMIF(DM_MAY!$A$6:$A$105,M69,DM_MAY!$F$6:$F$105))</x:f>
      </x:c>
      <x:c r="AG69" s="33" t="str">
        <x:f>IF(A69="","",AE69+AF69)</x:f>
      </x:c>
      <x:c r="AH69" s="21"/>
      <x:c r="AI69" s="29" t="str">
        <x:f>IF(A69="","",IF(OR(B69="",D69="",E69="",I69="",L69="",N69="",O69="",P69=""),"Thiếu dữ liệu",IF(AND(OR(N69="PRODUCTION",N69="REWORK",N69="SETUP"),M69=""),"Thiếu máy",IF(P69&lt;O69,"Sai thời gian",IF(AA69&lt;&gt;0,"Sai cân đối SL","Hợp lệ")))))</x:f>
      </x:c>
      <x:c r="AJ69" s="21"/>
    </x:row>
    <x:row r="70">
      <x:c r="A70" s="21"/>
      <x:c r="B70" s="35"/>
      <x:c r="C70" s="21"/>
      <x:c r="D70" s="21"/>
      <x:c r="E70" s="21"/>
      <x:c r="F70" s="21"/>
      <x:c r="G70" s="21"/>
      <x:c r="H70" s="29" t="str">
        <x:f>IF(OR(D70="",E70=""),"",D70&amp;"|"&amp;E70&amp;"|"&amp;IF(F70="","00",F70)&amp;"|"&amp;IF(G70="","01",G70))</x:f>
      </x:c>
      <x:c r="I70" s="21"/>
      <x:c r="J70" s="29" t="str">
        <x:f>IF(K70="","",IFERROR(INDEX('04_KE_HOACH_CD'!$I$6:$I$305,MATCH(K70,'04_KE_HOACH_CD'!$G$6:$G$305,0)),""))</x:f>
      </x:c>
      <x:c r="K70" s="29" t="str">
        <x:f>IF(OR(H70="",I70=""),"",H70&amp;"|"&amp;TEXT(I70,"000"))</x:f>
      </x:c>
      <x:c r="L70" s="21"/>
      <x:c r="M70" s="21"/>
      <x:c r="N70" s="21"/>
      <x:c r="O70" s="43"/>
      <x:c r="P70" s="43"/>
      <x:c r="Q70" s="25"/>
      <x:c r="R70" s="25"/>
      <x:c r="S70" s="39" t="str">
        <x:f>IF(A70="","",SUMIF('07_DUNG_CHO'!$B$6:$B$505,A70,'07_DUNG_CHO'!$E$6:$E$505))</x:f>
      </x:c>
      <x:c r="T70" s="39" t="str">
        <x:f>IF(A70="","",IF(N70="SETUP",0,MAX(0,(P70-O70)*1440-Q70-S70)))</x:f>
      </x:c>
      <x:c r="U70" s="25"/>
      <x:c r="V70" s="25"/>
      <x:c r="W70" s="25"/>
      <x:c r="X70" s="25"/>
      <x:c r="Y70" s="25"/>
      <x:c r="Z70" s="25"/>
      <x:c r="AA70" s="39" t="str">
        <x:f>IF(A70="","",U70-SUM(V70,X70:Z70))</x:f>
      </x:c>
      <x:c r="AB70" s="39" t="str">
        <x:f>IF(A70="","",IF(N70="SETUP",IFERROR(INDEX('04_KE_HOACH_CD'!$K$6:$K$305,MATCH(K70,'04_KE_HOACH_CD'!$G$6:$G$305,0)),0),IF(OR(N70="PRODUCTION",N70="REWORK"),IFERROR(INDEX('04_KE_HOACH_CD'!$L$6:$L$305,MATCH(K70,'04_KE_HOACH_CD'!$G$6:$G$305,0))*V70,0),0)))</x:f>
      </x:c>
      <x:c r="AC70" s="39" t="str">
        <x:f>IF(A70="","",MAX(0,(P70-O70)*1440-Q70))</x:f>
      </x:c>
      <x:c r="AD70" s="37" t="str">
        <x:f>IF(A70="","",IFERROR(AB70/AC70,0))</x:f>
      </x:c>
      <x:c r="AE70" s="33" t="str">
        <x:f>IF(A70="","",AC70/60*SUMIF(DM_NHAN_SU!$A$6:$A$105,L70,DM_NHAN_SU!$E$6:$E$105))</x:f>
      </x:c>
      <x:c r="AF70" s="33" t="str">
        <x:f>IF(A70="","",AC70/60*SUMIF(DM_MAY!$A$6:$A$105,M70,DM_MAY!$F$6:$F$105))</x:f>
      </x:c>
      <x:c r="AG70" s="33" t="str">
        <x:f>IF(A70="","",AE70+AF70)</x:f>
      </x:c>
      <x:c r="AH70" s="21"/>
      <x:c r="AI70" s="29" t="str">
        <x:f>IF(A70="","",IF(OR(B70="",D70="",E70="",I70="",L70="",N70="",O70="",P70=""),"Thiếu dữ liệu",IF(AND(OR(N70="PRODUCTION",N70="REWORK",N70="SETUP"),M70=""),"Thiếu máy",IF(P70&lt;O70,"Sai thời gian",IF(AA70&lt;&gt;0,"Sai cân đối SL","Hợp lệ")))))</x:f>
      </x:c>
      <x:c r="AJ70" s="21"/>
    </x:row>
    <x:row r="71">
      <x:c r="A71" s="21"/>
      <x:c r="B71" s="35"/>
      <x:c r="C71" s="21"/>
      <x:c r="D71" s="21"/>
      <x:c r="E71" s="21"/>
      <x:c r="F71" s="21"/>
      <x:c r="G71" s="21"/>
      <x:c r="H71" s="29" t="str">
        <x:f>IF(OR(D71="",E71=""),"",D71&amp;"|"&amp;E71&amp;"|"&amp;IF(F71="","00",F71)&amp;"|"&amp;IF(G71="","01",G71))</x:f>
      </x:c>
      <x:c r="I71" s="21"/>
      <x:c r="J71" s="29" t="str">
        <x:f>IF(K71="","",IFERROR(INDEX('04_KE_HOACH_CD'!$I$6:$I$305,MATCH(K71,'04_KE_HOACH_CD'!$G$6:$G$305,0)),""))</x:f>
      </x:c>
      <x:c r="K71" s="29" t="str">
        <x:f>IF(OR(H71="",I71=""),"",H71&amp;"|"&amp;TEXT(I71,"000"))</x:f>
      </x:c>
      <x:c r="L71" s="21"/>
      <x:c r="M71" s="21"/>
      <x:c r="N71" s="21"/>
      <x:c r="O71" s="43"/>
      <x:c r="P71" s="43"/>
      <x:c r="Q71" s="25"/>
      <x:c r="R71" s="25"/>
      <x:c r="S71" s="39" t="str">
        <x:f>IF(A71="","",SUMIF('07_DUNG_CHO'!$B$6:$B$505,A71,'07_DUNG_CHO'!$E$6:$E$505))</x:f>
      </x:c>
      <x:c r="T71" s="39" t="str">
        <x:f>IF(A71="","",IF(N71="SETUP",0,MAX(0,(P71-O71)*1440-Q71-S71)))</x:f>
      </x:c>
      <x:c r="U71" s="25"/>
      <x:c r="V71" s="25"/>
      <x:c r="W71" s="25"/>
      <x:c r="X71" s="25"/>
      <x:c r="Y71" s="25"/>
      <x:c r="Z71" s="25"/>
      <x:c r="AA71" s="39" t="str">
        <x:f>IF(A71="","",U71-SUM(V71,X71:Z71))</x:f>
      </x:c>
      <x:c r="AB71" s="39" t="str">
        <x:f>IF(A71="","",IF(N71="SETUP",IFERROR(INDEX('04_KE_HOACH_CD'!$K$6:$K$305,MATCH(K71,'04_KE_HOACH_CD'!$G$6:$G$305,0)),0),IF(OR(N71="PRODUCTION",N71="REWORK"),IFERROR(INDEX('04_KE_HOACH_CD'!$L$6:$L$305,MATCH(K71,'04_KE_HOACH_CD'!$G$6:$G$305,0))*V71,0),0)))</x:f>
      </x:c>
      <x:c r="AC71" s="39" t="str">
        <x:f>IF(A71="","",MAX(0,(P71-O71)*1440-Q71))</x:f>
      </x:c>
      <x:c r="AD71" s="37" t="str">
        <x:f>IF(A71="","",IFERROR(AB71/AC71,0))</x:f>
      </x:c>
      <x:c r="AE71" s="33" t="str">
        <x:f>IF(A71="","",AC71/60*SUMIF(DM_NHAN_SU!$A$6:$A$105,L71,DM_NHAN_SU!$E$6:$E$105))</x:f>
      </x:c>
      <x:c r="AF71" s="33" t="str">
        <x:f>IF(A71="","",AC71/60*SUMIF(DM_MAY!$A$6:$A$105,M71,DM_MAY!$F$6:$F$105))</x:f>
      </x:c>
      <x:c r="AG71" s="33" t="str">
        <x:f>IF(A71="","",AE71+AF71)</x:f>
      </x:c>
      <x:c r="AH71" s="21"/>
      <x:c r="AI71" s="29" t="str">
        <x:f>IF(A71="","",IF(OR(B71="",D71="",E71="",I71="",L71="",N71="",O71="",P71=""),"Thiếu dữ liệu",IF(AND(OR(N71="PRODUCTION",N71="REWORK",N71="SETUP"),M71=""),"Thiếu máy",IF(P71&lt;O71,"Sai thời gian",IF(AA71&lt;&gt;0,"Sai cân đối SL","Hợp lệ")))))</x:f>
      </x:c>
      <x:c r="AJ71" s="21"/>
    </x:row>
    <x:row r="72">
      <x:c r="A72" s="21"/>
      <x:c r="B72" s="35"/>
      <x:c r="C72" s="21"/>
      <x:c r="D72" s="21"/>
      <x:c r="E72" s="21"/>
      <x:c r="F72" s="21"/>
      <x:c r="G72" s="21"/>
      <x:c r="H72" s="29" t="str">
        <x:f>IF(OR(D72="",E72=""),"",D72&amp;"|"&amp;E72&amp;"|"&amp;IF(F72="","00",F72)&amp;"|"&amp;IF(G72="","01",G72))</x:f>
      </x:c>
      <x:c r="I72" s="21"/>
      <x:c r="J72" s="29" t="str">
        <x:f>IF(K72="","",IFERROR(INDEX('04_KE_HOACH_CD'!$I$6:$I$305,MATCH(K72,'04_KE_HOACH_CD'!$G$6:$G$305,0)),""))</x:f>
      </x:c>
      <x:c r="K72" s="29" t="str">
        <x:f>IF(OR(H72="",I72=""),"",H72&amp;"|"&amp;TEXT(I72,"000"))</x:f>
      </x:c>
      <x:c r="L72" s="21"/>
      <x:c r="M72" s="21"/>
      <x:c r="N72" s="21"/>
      <x:c r="O72" s="43"/>
      <x:c r="P72" s="43"/>
      <x:c r="Q72" s="25"/>
      <x:c r="R72" s="25"/>
      <x:c r="S72" s="39" t="str">
        <x:f>IF(A72="","",SUMIF('07_DUNG_CHO'!$B$6:$B$505,A72,'07_DUNG_CHO'!$E$6:$E$505))</x:f>
      </x:c>
      <x:c r="T72" s="39" t="str">
        <x:f>IF(A72="","",IF(N72="SETUP",0,MAX(0,(P72-O72)*1440-Q72-S72)))</x:f>
      </x:c>
      <x:c r="U72" s="25"/>
      <x:c r="V72" s="25"/>
      <x:c r="W72" s="25"/>
      <x:c r="X72" s="25"/>
      <x:c r="Y72" s="25"/>
      <x:c r="Z72" s="25"/>
      <x:c r="AA72" s="39" t="str">
        <x:f>IF(A72="","",U72-SUM(V72,X72:Z72))</x:f>
      </x:c>
      <x:c r="AB72" s="39" t="str">
        <x:f>IF(A72="","",IF(N72="SETUP",IFERROR(INDEX('04_KE_HOACH_CD'!$K$6:$K$305,MATCH(K72,'04_KE_HOACH_CD'!$G$6:$G$305,0)),0),IF(OR(N72="PRODUCTION",N72="REWORK"),IFERROR(INDEX('04_KE_HOACH_CD'!$L$6:$L$305,MATCH(K72,'04_KE_HOACH_CD'!$G$6:$G$305,0))*V72,0),0)))</x:f>
      </x:c>
      <x:c r="AC72" s="39" t="str">
        <x:f>IF(A72="","",MAX(0,(P72-O72)*1440-Q72))</x:f>
      </x:c>
      <x:c r="AD72" s="37" t="str">
        <x:f>IF(A72="","",IFERROR(AB72/AC72,0))</x:f>
      </x:c>
      <x:c r="AE72" s="33" t="str">
        <x:f>IF(A72="","",AC72/60*SUMIF(DM_NHAN_SU!$A$6:$A$105,L72,DM_NHAN_SU!$E$6:$E$105))</x:f>
      </x:c>
      <x:c r="AF72" s="33" t="str">
        <x:f>IF(A72="","",AC72/60*SUMIF(DM_MAY!$A$6:$A$105,M72,DM_MAY!$F$6:$F$105))</x:f>
      </x:c>
      <x:c r="AG72" s="33" t="str">
        <x:f>IF(A72="","",AE72+AF72)</x:f>
      </x:c>
      <x:c r="AH72" s="21"/>
      <x:c r="AI72" s="29" t="str">
        <x:f>IF(A72="","",IF(OR(B72="",D72="",E72="",I72="",L72="",N72="",O72="",P72=""),"Thiếu dữ liệu",IF(AND(OR(N72="PRODUCTION",N72="REWORK",N72="SETUP"),M72=""),"Thiếu máy",IF(P72&lt;O72,"Sai thời gian",IF(AA72&lt;&gt;0,"Sai cân đối SL","Hợp lệ")))))</x:f>
      </x:c>
      <x:c r="AJ72" s="21"/>
    </x:row>
    <x:row r="73">
      <x:c r="A73" s="21"/>
      <x:c r="B73" s="35"/>
      <x:c r="C73" s="21"/>
      <x:c r="D73" s="21"/>
      <x:c r="E73" s="21"/>
      <x:c r="F73" s="21"/>
      <x:c r="G73" s="21"/>
      <x:c r="H73" s="29" t="str">
        <x:f>IF(OR(D73="",E73=""),"",D73&amp;"|"&amp;E73&amp;"|"&amp;IF(F73="","00",F73)&amp;"|"&amp;IF(G73="","01",G73))</x:f>
      </x:c>
      <x:c r="I73" s="21"/>
      <x:c r="J73" s="29" t="str">
        <x:f>IF(K73="","",IFERROR(INDEX('04_KE_HOACH_CD'!$I$6:$I$305,MATCH(K73,'04_KE_HOACH_CD'!$G$6:$G$305,0)),""))</x:f>
      </x:c>
      <x:c r="K73" s="29" t="str">
        <x:f>IF(OR(H73="",I73=""),"",H73&amp;"|"&amp;TEXT(I73,"000"))</x:f>
      </x:c>
      <x:c r="L73" s="21"/>
      <x:c r="M73" s="21"/>
      <x:c r="N73" s="21"/>
      <x:c r="O73" s="43"/>
      <x:c r="P73" s="43"/>
      <x:c r="Q73" s="25"/>
      <x:c r="R73" s="25"/>
      <x:c r="S73" s="39" t="str">
        <x:f>IF(A73="","",SUMIF('07_DUNG_CHO'!$B$6:$B$505,A73,'07_DUNG_CHO'!$E$6:$E$505))</x:f>
      </x:c>
      <x:c r="T73" s="39" t="str">
        <x:f>IF(A73="","",IF(N73="SETUP",0,MAX(0,(P73-O73)*1440-Q73-S73)))</x:f>
      </x:c>
      <x:c r="U73" s="25"/>
      <x:c r="V73" s="25"/>
      <x:c r="W73" s="25"/>
      <x:c r="X73" s="25"/>
      <x:c r="Y73" s="25"/>
      <x:c r="Z73" s="25"/>
      <x:c r="AA73" s="39" t="str">
        <x:f>IF(A73="","",U73-SUM(V73,X73:Z73))</x:f>
      </x:c>
      <x:c r="AB73" s="39" t="str">
        <x:f>IF(A73="","",IF(N73="SETUP",IFERROR(INDEX('04_KE_HOACH_CD'!$K$6:$K$305,MATCH(K73,'04_KE_HOACH_CD'!$G$6:$G$305,0)),0),IF(OR(N73="PRODUCTION",N73="REWORK"),IFERROR(INDEX('04_KE_HOACH_CD'!$L$6:$L$305,MATCH(K73,'04_KE_HOACH_CD'!$G$6:$G$305,0))*V73,0),0)))</x:f>
      </x:c>
      <x:c r="AC73" s="39" t="str">
        <x:f>IF(A73="","",MAX(0,(P73-O73)*1440-Q73))</x:f>
      </x:c>
      <x:c r="AD73" s="37" t="str">
        <x:f>IF(A73="","",IFERROR(AB73/AC73,0))</x:f>
      </x:c>
      <x:c r="AE73" s="33" t="str">
        <x:f>IF(A73="","",AC73/60*SUMIF(DM_NHAN_SU!$A$6:$A$105,L73,DM_NHAN_SU!$E$6:$E$105))</x:f>
      </x:c>
      <x:c r="AF73" s="33" t="str">
        <x:f>IF(A73="","",AC73/60*SUMIF(DM_MAY!$A$6:$A$105,M73,DM_MAY!$F$6:$F$105))</x:f>
      </x:c>
      <x:c r="AG73" s="33" t="str">
        <x:f>IF(A73="","",AE73+AF73)</x:f>
      </x:c>
      <x:c r="AH73" s="21"/>
      <x:c r="AI73" s="29" t="str">
        <x:f>IF(A73="","",IF(OR(B73="",D73="",E73="",I73="",L73="",N73="",O73="",P73=""),"Thiếu dữ liệu",IF(AND(OR(N73="PRODUCTION",N73="REWORK",N73="SETUP"),M73=""),"Thiếu máy",IF(P73&lt;O73,"Sai thời gian",IF(AA73&lt;&gt;0,"Sai cân đối SL","Hợp lệ")))))</x:f>
      </x:c>
      <x:c r="AJ73" s="21"/>
    </x:row>
    <x:row r="74">
      <x:c r="A74" s="21"/>
      <x:c r="B74" s="35"/>
      <x:c r="C74" s="21"/>
      <x:c r="D74" s="21"/>
      <x:c r="E74" s="21"/>
      <x:c r="F74" s="21"/>
      <x:c r="G74" s="21"/>
      <x:c r="H74" s="29" t="str">
        <x:f>IF(OR(D74="",E74=""),"",D74&amp;"|"&amp;E74&amp;"|"&amp;IF(F74="","00",F74)&amp;"|"&amp;IF(G74="","01",G74))</x:f>
      </x:c>
      <x:c r="I74" s="21"/>
      <x:c r="J74" s="29" t="str">
        <x:f>IF(K74="","",IFERROR(INDEX('04_KE_HOACH_CD'!$I$6:$I$305,MATCH(K74,'04_KE_HOACH_CD'!$G$6:$G$305,0)),""))</x:f>
      </x:c>
      <x:c r="K74" s="29" t="str">
        <x:f>IF(OR(H74="",I74=""),"",H74&amp;"|"&amp;TEXT(I74,"000"))</x:f>
      </x:c>
      <x:c r="L74" s="21"/>
      <x:c r="M74" s="21"/>
      <x:c r="N74" s="21"/>
      <x:c r="O74" s="43"/>
      <x:c r="P74" s="43"/>
      <x:c r="Q74" s="25"/>
      <x:c r="R74" s="25"/>
      <x:c r="S74" s="39" t="str">
        <x:f>IF(A74="","",SUMIF('07_DUNG_CHO'!$B$6:$B$505,A74,'07_DUNG_CHO'!$E$6:$E$505))</x:f>
      </x:c>
      <x:c r="T74" s="39" t="str">
        <x:f>IF(A74="","",IF(N74="SETUP",0,MAX(0,(P74-O74)*1440-Q74-S74)))</x:f>
      </x:c>
      <x:c r="U74" s="25"/>
      <x:c r="V74" s="25"/>
      <x:c r="W74" s="25"/>
      <x:c r="X74" s="25"/>
      <x:c r="Y74" s="25"/>
      <x:c r="Z74" s="25"/>
      <x:c r="AA74" s="39" t="str">
        <x:f>IF(A74="","",U74-SUM(V74,X74:Z74))</x:f>
      </x:c>
      <x:c r="AB74" s="39" t="str">
        <x:f>IF(A74="","",IF(N74="SETUP",IFERROR(INDEX('04_KE_HOACH_CD'!$K$6:$K$305,MATCH(K74,'04_KE_HOACH_CD'!$G$6:$G$305,0)),0),IF(OR(N74="PRODUCTION",N74="REWORK"),IFERROR(INDEX('04_KE_HOACH_CD'!$L$6:$L$305,MATCH(K74,'04_KE_HOACH_CD'!$G$6:$G$305,0))*V74,0),0)))</x:f>
      </x:c>
      <x:c r="AC74" s="39" t="str">
        <x:f>IF(A74="","",MAX(0,(P74-O74)*1440-Q74))</x:f>
      </x:c>
      <x:c r="AD74" s="37" t="str">
        <x:f>IF(A74="","",IFERROR(AB74/AC74,0))</x:f>
      </x:c>
      <x:c r="AE74" s="33" t="str">
        <x:f>IF(A74="","",AC74/60*SUMIF(DM_NHAN_SU!$A$6:$A$105,L74,DM_NHAN_SU!$E$6:$E$105))</x:f>
      </x:c>
      <x:c r="AF74" s="33" t="str">
        <x:f>IF(A74="","",AC74/60*SUMIF(DM_MAY!$A$6:$A$105,M74,DM_MAY!$F$6:$F$105))</x:f>
      </x:c>
      <x:c r="AG74" s="33" t="str">
        <x:f>IF(A74="","",AE74+AF74)</x:f>
      </x:c>
      <x:c r="AH74" s="21"/>
      <x:c r="AI74" s="29" t="str">
        <x:f>IF(A74="","",IF(OR(B74="",D74="",E74="",I74="",L74="",N74="",O74="",P74=""),"Thiếu dữ liệu",IF(AND(OR(N74="PRODUCTION",N74="REWORK",N74="SETUP"),M74=""),"Thiếu máy",IF(P74&lt;O74,"Sai thời gian",IF(AA74&lt;&gt;0,"Sai cân đối SL","Hợp lệ")))))</x:f>
      </x:c>
      <x:c r="AJ74" s="21"/>
    </x:row>
    <x:row r="75">
      <x:c r="A75" s="21"/>
      <x:c r="B75" s="35"/>
      <x:c r="C75" s="21"/>
      <x:c r="D75" s="21"/>
      <x:c r="E75" s="21"/>
      <x:c r="F75" s="21"/>
      <x:c r="G75" s="21"/>
      <x:c r="H75" s="29" t="str">
        <x:f>IF(OR(D75="",E75=""),"",D75&amp;"|"&amp;E75&amp;"|"&amp;IF(F75="","00",F75)&amp;"|"&amp;IF(G75="","01",G75))</x:f>
      </x:c>
      <x:c r="I75" s="21"/>
      <x:c r="J75" s="29" t="str">
        <x:f>IF(K75="","",IFERROR(INDEX('04_KE_HOACH_CD'!$I$6:$I$305,MATCH(K75,'04_KE_HOACH_CD'!$G$6:$G$305,0)),""))</x:f>
      </x:c>
      <x:c r="K75" s="29" t="str">
        <x:f>IF(OR(H75="",I75=""),"",H75&amp;"|"&amp;TEXT(I75,"000"))</x:f>
      </x:c>
      <x:c r="L75" s="21"/>
      <x:c r="M75" s="21"/>
      <x:c r="N75" s="21"/>
      <x:c r="O75" s="43"/>
      <x:c r="P75" s="43"/>
      <x:c r="Q75" s="25"/>
      <x:c r="R75" s="25"/>
      <x:c r="S75" s="39" t="str">
        <x:f>IF(A75="","",SUMIF('07_DUNG_CHO'!$B$6:$B$505,A75,'07_DUNG_CHO'!$E$6:$E$505))</x:f>
      </x:c>
      <x:c r="T75" s="39" t="str">
        <x:f>IF(A75="","",IF(N75="SETUP",0,MAX(0,(P75-O75)*1440-Q75-S75)))</x:f>
      </x:c>
      <x:c r="U75" s="25"/>
      <x:c r="V75" s="25"/>
      <x:c r="W75" s="25"/>
      <x:c r="X75" s="25"/>
      <x:c r="Y75" s="25"/>
      <x:c r="Z75" s="25"/>
      <x:c r="AA75" s="39" t="str">
        <x:f>IF(A75="","",U75-SUM(V75,X75:Z75))</x:f>
      </x:c>
      <x:c r="AB75" s="39" t="str">
        <x:f>IF(A75="","",IF(N75="SETUP",IFERROR(INDEX('04_KE_HOACH_CD'!$K$6:$K$305,MATCH(K75,'04_KE_HOACH_CD'!$G$6:$G$305,0)),0),IF(OR(N75="PRODUCTION",N75="REWORK"),IFERROR(INDEX('04_KE_HOACH_CD'!$L$6:$L$305,MATCH(K75,'04_KE_HOACH_CD'!$G$6:$G$305,0))*V75,0),0)))</x:f>
      </x:c>
      <x:c r="AC75" s="39" t="str">
        <x:f>IF(A75="","",MAX(0,(P75-O75)*1440-Q75))</x:f>
      </x:c>
      <x:c r="AD75" s="37" t="str">
        <x:f>IF(A75="","",IFERROR(AB75/AC75,0))</x:f>
      </x:c>
      <x:c r="AE75" s="33" t="str">
        <x:f>IF(A75="","",AC75/60*SUMIF(DM_NHAN_SU!$A$6:$A$105,L75,DM_NHAN_SU!$E$6:$E$105))</x:f>
      </x:c>
      <x:c r="AF75" s="33" t="str">
        <x:f>IF(A75="","",AC75/60*SUMIF(DM_MAY!$A$6:$A$105,M75,DM_MAY!$F$6:$F$105))</x:f>
      </x:c>
      <x:c r="AG75" s="33" t="str">
        <x:f>IF(A75="","",AE75+AF75)</x:f>
      </x:c>
      <x:c r="AH75" s="21"/>
      <x:c r="AI75" s="29" t="str">
        <x:f>IF(A75="","",IF(OR(B75="",D75="",E75="",I75="",L75="",N75="",O75="",P75=""),"Thiếu dữ liệu",IF(AND(OR(N75="PRODUCTION",N75="REWORK",N75="SETUP"),M75=""),"Thiếu máy",IF(P75&lt;O75,"Sai thời gian",IF(AA75&lt;&gt;0,"Sai cân đối SL","Hợp lệ")))))</x:f>
      </x:c>
      <x:c r="AJ75" s="21"/>
    </x:row>
    <x:row r="76">
      <x:c r="A76" s="21"/>
      <x:c r="B76" s="35"/>
      <x:c r="C76" s="21"/>
      <x:c r="D76" s="21"/>
      <x:c r="E76" s="21"/>
      <x:c r="F76" s="21"/>
      <x:c r="G76" s="21"/>
      <x:c r="H76" s="29" t="str">
        <x:f>IF(OR(D76="",E76=""),"",D76&amp;"|"&amp;E76&amp;"|"&amp;IF(F76="","00",F76)&amp;"|"&amp;IF(G76="","01",G76))</x:f>
      </x:c>
      <x:c r="I76" s="21"/>
      <x:c r="J76" s="29" t="str">
        <x:f>IF(K76="","",IFERROR(INDEX('04_KE_HOACH_CD'!$I$6:$I$305,MATCH(K76,'04_KE_HOACH_CD'!$G$6:$G$305,0)),""))</x:f>
      </x:c>
      <x:c r="K76" s="29" t="str">
        <x:f>IF(OR(H76="",I76=""),"",H76&amp;"|"&amp;TEXT(I76,"000"))</x:f>
      </x:c>
      <x:c r="L76" s="21"/>
      <x:c r="M76" s="21"/>
      <x:c r="N76" s="21"/>
      <x:c r="O76" s="43"/>
      <x:c r="P76" s="43"/>
      <x:c r="Q76" s="25"/>
      <x:c r="R76" s="25"/>
      <x:c r="S76" s="39" t="str">
        <x:f>IF(A76="","",SUMIF('07_DUNG_CHO'!$B$6:$B$505,A76,'07_DUNG_CHO'!$E$6:$E$505))</x:f>
      </x:c>
      <x:c r="T76" s="39" t="str">
        <x:f>IF(A76="","",IF(N76="SETUP",0,MAX(0,(P76-O76)*1440-Q76-S76)))</x:f>
      </x:c>
      <x:c r="U76" s="25"/>
      <x:c r="V76" s="25"/>
      <x:c r="W76" s="25"/>
      <x:c r="X76" s="25"/>
      <x:c r="Y76" s="25"/>
      <x:c r="Z76" s="25"/>
      <x:c r="AA76" s="39" t="str">
        <x:f>IF(A76="","",U76-SUM(V76,X76:Z76))</x:f>
      </x:c>
      <x:c r="AB76" s="39" t="str">
        <x:f>IF(A76="","",IF(N76="SETUP",IFERROR(INDEX('04_KE_HOACH_CD'!$K$6:$K$305,MATCH(K76,'04_KE_HOACH_CD'!$G$6:$G$305,0)),0),IF(OR(N76="PRODUCTION",N76="REWORK"),IFERROR(INDEX('04_KE_HOACH_CD'!$L$6:$L$305,MATCH(K76,'04_KE_HOACH_CD'!$G$6:$G$305,0))*V76,0),0)))</x:f>
      </x:c>
      <x:c r="AC76" s="39" t="str">
        <x:f>IF(A76="","",MAX(0,(P76-O76)*1440-Q76))</x:f>
      </x:c>
      <x:c r="AD76" s="37" t="str">
        <x:f>IF(A76="","",IFERROR(AB76/AC76,0))</x:f>
      </x:c>
      <x:c r="AE76" s="33" t="str">
        <x:f>IF(A76="","",AC76/60*SUMIF(DM_NHAN_SU!$A$6:$A$105,L76,DM_NHAN_SU!$E$6:$E$105))</x:f>
      </x:c>
      <x:c r="AF76" s="33" t="str">
        <x:f>IF(A76="","",AC76/60*SUMIF(DM_MAY!$A$6:$A$105,M76,DM_MAY!$F$6:$F$105))</x:f>
      </x:c>
      <x:c r="AG76" s="33" t="str">
        <x:f>IF(A76="","",AE76+AF76)</x:f>
      </x:c>
      <x:c r="AH76" s="21"/>
      <x:c r="AI76" s="29" t="str">
        <x:f>IF(A76="","",IF(OR(B76="",D76="",E76="",I76="",L76="",N76="",O76="",P76=""),"Thiếu dữ liệu",IF(AND(OR(N76="PRODUCTION",N76="REWORK",N76="SETUP"),M76=""),"Thiếu máy",IF(P76&lt;O76,"Sai thời gian",IF(AA76&lt;&gt;0,"Sai cân đối SL","Hợp lệ")))))</x:f>
      </x:c>
      <x:c r="AJ76" s="21"/>
    </x:row>
    <x:row r="77">
      <x:c r="A77" s="21"/>
      <x:c r="B77" s="35"/>
      <x:c r="C77" s="21"/>
      <x:c r="D77" s="21"/>
      <x:c r="E77" s="21"/>
      <x:c r="F77" s="21"/>
      <x:c r="G77" s="21"/>
      <x:c r="H77" s="29" t="str">
        <x:f>IF(OR(D77="",E77=""),"",D77&amp;"|"&amp;E77&amp;"|"&amp;IF(F77="","00",F77)&amp;"|"&amp;IF(G77="","01",G77))</x:f>
      </x:c>
      <x:c r="I77" s="21"/>
      <x:c r="J77" s="29" t="str">
        <x:f>IF(K77="","",IFERROR(INDEX('04_KE_HOACH_CD'!$I$6:$I$305,MATCH(K77,'04_KE_HOACH_CD'!$G$6:$G$305,0)),""))</x:f>
      </x:c>
      <x:c r="K77" s="29" t="str">
        <x:f>IF(OR(H77="",I77=""),"",H77&amp;"|"&amp;TEXT(I77,"000"))</x:f>
      </x:c>
      <x:c r="L77" s="21"/>
      <x:c r="M77" s="21"/>
      <x:c r="N77" s="21"/>
      <x:c r="O77" s="43"/>
      <x:c r="P77" s="43"/>
      <x:c r="Q77" s="25"/>
      <x:c r="R77" s="25"/>
      <x:c r="S77" s="39" t="str">
        <x:f>IF(A77="","",SUMIF('07_DUNG_CHO'!$B$6:$B$505,A77,'07_DUNG_CHO'!$E$6:$E$505))</x:f>
      </x:c>
      <x:c r="T77" s="39" t="str">
        <x:f>IF(A77="","",IF(N77="SETUP",0,MAX(0,(P77-O77)*1440-Q77-S77)))</x:f>
      </x:c>
      <x:c r="U77" s="25"/>
      <x:c r="V77" s="25"/>
      <x:c r="W77" s="25"/>
      <x:c r="X77" s="25"/>
      <x:c r="Y77" s="25"/>
      <x:c r="Z77" s="25"/>
      <x:c r="AA77" s="39" t="str">
        <x:f>IF(A77="","",U77-SUM(V77,X77:Z77))</x:f>
      </x:c>
      <x:c r="AB77" s="39" t="str">
        <x:f>IF(A77="","",IF(N77="SETUP",IFERROR(INDEX('04_KE_HOACH_CD'!$K$6:$K$305,MATCH(K77,'04_KE_HOACH_CD'!$G$6:$G$305,0)),0),IF(OR(N77="PRODUCTION",N77="REWORK"),IFERROR(INDEX('04_KE_HOACH_CD'!$L$6:$L$305,MATCH(K77,'04_KE_HOACH_CD'!$G$6:$G$305,0))*V77,0),0)))</x:f>
      </x:c>
      <x:c r="AC77" s="39" t="str">
        <x:f>IF(A77="","",MAX(0,(P77-O77)*1440-Q77))</x:f>
      </x:c>
      <x:c r="AD77" s="37" t="str">
        <x:f>IF(A77="","",IFERROR(AB77/AC77,0))</x:f>
      </x:c>
      <x:c r="AE77" s="33" t="str">
        <x:f>IF(A77="","",AC77/60*SUMIF(DM_NHAN_SU!$A$6:$A$105,L77,DM_NHAN_SU!$E$6:$E$105))</x:f>
      </x:c>
      <x:c r="AF77" s="33" t="str">
        <x:f>IF(A77="","",AC77/60*SUMIF(DM_MAY!$A$6:$A$105,M77,DM_MAY!$F$6:$F$105))</x:f>
      </x:c>
      <x:c r="AG77" s="33" t="str">
        <x:f>IF(A77="","",AE77+AF77)</x:f>
      </x:c>
      <x:c r="AH77" s="21"/>
      <x:c r="AI77" s="29" t="str">
        <x:f>IF(A77="","",IF(OR(B77="",D77="",E77="",I77="",L77="",N77="",O77="",P77=""),"Thiếu dữ liệu",IF(AND(OR(N77="PRODUCTION",N77="REWORK",N77="SETUP"),M77=""),"Thiếu máy",IF(P77&lt;O77,"Sai thời gian",IF(AA77&lt;&gt;0,"Sai cân đối SL","Hợp lệ")))))</x:f>
      </x:c>
      <x:c r="AJ77" s="21"/>
    </x:row>
    <x:row r="78">
      <x:c r="A78" s="21"/>
      <x:c r="B78" s="35"/>
      <x:c r="C78" s="21"/>
      <x:c r="D78" s="21"/>
      <x:c r="E78" s="21"/>
      <x:c r="F78" s="21"/>
      <x:c r="G78" s="21"/>
      <x:c r="H78" s="29" t="str">
        <x:f>IF(OR(D78="",E78=""),"",D78&amp;"|"&amp;E78&amp;"|"&amp;IF(F78="","00",F78)&amp;"|"&amp;IF(G78="","01",G78))</x:f>
      </x:c>
      <x:c r="I78" s="21"/>
      <x:c r="J78" s="29" t="str">
        <x:f>IF(K78="","",IFERROR(INDEX('04_KE_HOACH_CD'!$I$6:$I$305,MATCH(K78,'04_KE_HOACH_CD'!$G$6:$G$305,0)),""))</x:f>
      </x:c>
      <x:c r="K78" s="29" t="str">
        <x:f>IF(OR(H78="",I78=""),"",H78&amp;"|"&amp;TEXT(I78,"000"))</x:f>
      </x:c>
      <x:c r="L78" s="21"/>
      <x:c r="M78" s="21"/>
      <x:c r="N78" s="21"/>
      <x:c r="O78" s="43"/>
      <x:c r="P78" s="43"/>
      <x:c r="Q78" s="25"/>
      <x:c r="R78" s="25"/>
      <x:c r="S78" s="39" t="str">
        <x:f>IF(A78="","",SUMIF('07_DUNG_CHO'!$B$6:$B$505,A78,'07_DUNG_CHO'!$E$6:$E$505))</x:f>
      </x:c>
      <x:c r="T78" s="39" t="str">
        <x:f>IF(A78="","",IF(N78="SETUP",0,MAX(0,(P78-O78)*1440-Q78-S78)))</x:f>
      </x:c>
      <x:c r="U78" s="25"/>
      <x:c r="V78" s="25"/>
      <x:c r="W78" s="25"/>
      <x:c r="X78" s="25"/>
      <x:c r="Y78" s="25"/>
      <x:c r="Z78" s="25"/>
      <x:c r="AA78" s="39" t="str">
        <x:f>IF(A78="","",U78-SUM(V78,X78:Z78))</x:f>
      </x:c>
      <x:c r="AB78" s="39" t="str">
        <x:f>IF(A78="","",IF(N78="SETUP",IFERROR(INDEX('04_KE_HOACH_CD'!$K$6:$K$305,MATCH(K78,'04_KE_HOACH_CD'!$G$6:$G$305,0)),0),IF(OR(N78="PRODUCTION",N78="REWORK"),IFERROR(INDEX('04_KE_HOACH_CD'!$L$6:$L$305,MATCH(K78,'04_KE_HOACH_CD'!$G$6:$G$305,0))*V78,0),0)))</x:f>
      </x:c>
      <x:c r="AC78" s="39" t="str">
        <x:f>IF(A78="","",MAX(0,(P78-O78)*1440-Q78))</x:f>
      </x:c>
      <x:c r="AD78" s="37" t="str">
        <x:f>IF(A78="","",IFERROR(AB78/AC78,0))</x:f>
      </x:c>
      <x:c r="AE78" s="33" t="str">
        <x:f>IF(A78="","",AC78/60*SUMIF(DM_NHAN_SU!$A$6:$A$105,L78,DM_NHAN_SU!$E$6:$E$105))</x:f>
      </x:c>
      <x:c r="AF78" s="33" t="str">
        <x:f>IF(A78="","",AC78/60*SUMIF(DM_MAY!$A$6:$A$105,M78,DM_MAY!$F$6:$F$105))</x:f>
      </x:c>
      <x:c r="AG78" s="33" t="str">
        <x:f>IF(A78="","",AE78+AF78)</x:f>
      </x:c>
      <x:c r="AH78" s="21"/>
      <x:c r="AI78" s="29" t="str">
        <x:f>IF(A78="","",IF(OR(B78="",D78="",E78="",I78="",L78="",N78="",O78="",P78=""),"Thiếu dữ liệu",IF(AND(OR(N78="PRODUCTION",N78="REWORK",N78="SETUP"),M78=""),"Thiếu máy",IF(P78&lt;O78,"Sai thời gian",IF(AA78&lt;&gt;0,"Sai cân đối SL","Hợp lệ")))))</x:f>
      </x:c>
      <x:c r="AJ78" s="21"/>
    </x:row>
    <x:row r="79">
      <x:c r="A79" s="21"/>
      <x:c r="B79" s="35"/>
      <x:c r="C79" s="21"/>
      <x:c r="D79" s="21"/>
      <x:c r="E79" s="21"/>
      <x:c r="F79" s="21"/>
      <x:c r="G79" s="21"/>
      <x:c r="H79" s="29" t="str">
        <x:f>IF(OR(D79="",E79=""),"",D79&amp;"|"&amp;E79&amp;"|"&amp;IF(F79="","00",F79)&amp;"|"&amp;IF(G79="","01",G79))</x:f>
      </x:c>
      <x:c r="I79" s="21"/>
      <x:c r="J79" s="29" t="str">
        <x:f>IF(K79="","",IFERROR(INDEX('04_KE_HOACH_CD'!$I$6:$I$305,MATCH(K79,'04_KE_HOACH_CD'!$G$6:$G$305,0)),""))</x:f>
      </x:c>
      <x:c r="K79" s="29" t="str">
        <x:f>IF(OR(H79="",I79=""),"",H79&amp;"|"&amp;TEXT(I79,"000"))</x:f>
      </x:c>
      <x:c r="L79" s="21"/>
      <x:c r="M79" s="21"/>
      <x:c r="N79" s="21"/>
      <x:c r="O79" s="43"/>
      <x:c r="P79" s="43"/>
      <x:c r="Q79" s="25"/>
      <x:c r="R79" s="25"/>
      <x:c r="S79" s="39" t="str">
        <x:f>IF(A79="","",SUMIF('07_DUNG_CHO'!$B$6:$B$505,A79,'07_DUNG_CHO'!$E$6:$E$505))</x:f>
      </x:c>
      <x:c r="T79" s="39" t="str">
        <x:f>IF(A79="","",IF(N79="SETUP",0,MAX(0,(P79-O79)*1440-Q79-S79)))</x:f>
      </x:c>
      <x:c r="U79" s="25"/>
      <x:c r="V79" s="25"/>
      <x:c r="W79" s="25"/>
      <x:c r="X79" s="25"/>
      <x:c r="Y79" s="25"/>
      <x:c r="Z79" s="25"/>
      <x:c r="AA79" s="39" t="str">
        <x:f>IF(A79="","",U79-SUM(V79,X79:Z79))</x:f>
      </x:c>
      <x:c r="AB79" s="39" t="str">
        <x:f>IF(A79="","",IF(N79="SETUP",IFERROR(INDEX('04_KE_HOACH_CD'!$K$6:$K$305,MATCH(K79,'04_KE_HOACH_CD'!$G$6:$G$305,0)),0),IF(OR(N79="PRODUCTION",N79="REWORK"),IFERROR(INDEX('04_KE_HOACH_CD'!$L$6:$L$305,MATCH(K79,'04_KE_HOACH_CD'!$G$6:$G$305,0))*V79,0),0)))</x:f>
      </x:c>
      <x:c r="AC79" s="39" t="str">
        <x:f>IF(A79="","",MAX(0,(P79-O79)*1440-Q79))</x:f>
      </x:c>
      <x:c r="AD79" s="37" t="str">
        <x:f>IF(A79="","",IFERROR(AB79/AC79,0))</x:f>
      </x:c>
      <x:c r="AE79" s="33" t="str">
        <x:f>IF(A79="","",AC79/60*SUMIF(DM_NHAN_SU!$A$6:$A$105,L79,DM_NHAN_SU!$E$6:$E$105))</x:f>
      </x:c>
      <x:c r="AF79" s="33" t="str">
        <x:f>IF(A79="","",AC79/60*SUMIF(DM_MAY!$A$6:$A$105,M79,DM_MAY!$F$6:$F$105))</x:f>
      </x:c>
      <x:c r="AG79" s="33" t="str">
        <x:f>IF(A79="","",AE79+AF79)</x:f>
      </x:c>
      <x:c r="AH79" s="21"/>
      <x:c r="AI79" s="29" t="str">
        <x:f>IF(A79="","",IF(OR(B79="",D79="",E79="",I79="",L79="",N79="",O79="",P79=""),"Thiếu dữ liệu",IF(AND(OR(N79="PRODUCTION",N79="REWORK",N79="SETUP"),M79=""),"Thiếu máy",IF(P79&lt;O79,"Sai thời gian",IF(AA79&lt;&gt;0,"Sai cân đối SL","Hợp lệ")))))</x:f>
      </x:c>
      <x:c r="AJ79" s="21"/>
    </x:row>
    <x:row r="80">
      <x:c r="A80" s="21"/>
      <x:c r="B80" s="35"/>
      <x:c r="C80" s="21"/>
      <x:c r="D80" s="21"/>
      <x:c r="E80" s="21"/>
      <x:c r="F80" s="21"/>
      <x:c r="G80" s="21"/>
      <x:c r="H80" s="29" t="str">
        <x:f>IF(OR(D80="",E80=""),"",D80&amp;"|"&amp;E80&amp;"|"&amp;IF(F80="","00",F80)&amp;"|"&amp;IF(G80="","01",G80))</x:f>
      </x:c>
      <x:c r="I80" s="21"/>
      <x:c r="J80" s="29" t="str">
        <x:f>IF(K80="","",IFERROR(INDEX('04_KE_HOACH_CD'!$I$6:$I$305,MATCH(K80,'04_KE_HOACH_CD'!$G$6:$G$305,0)),""))</x:f>
      </x:c>
      <x:c r="K80" s="29" t="str">
        <x:f>IF(OR(H80="",I80=""),"",H80&amp;"|"&amp;TEXT(I80,"000"))</x:f>
      </x:c>
      <x:c r="L80" s="21"/>
      <x:c r="M80" s="21"/>
      <x:c r="N80" s="21"/>
      <x:c r="O80" s="43"/>
      <x:c r="P80" s="43"/>
      <x:c r="Q80" s="25"/>
      <x:c r="R80" s="25"/>
      <x:c r="S80" s="39" t="str">
        <x:f>IF(A80="","",SUMIF('07_DUNG_CHO'!$B$6:$B$505,A80,'07_DUNG_CHO'!$E$6:$E$505))</x:f>
      </x:c>
      <x:c r="T80" s="39" t="str">
        <x:f>IF(A80="","",IF(N80="SETUP",0,MAX(0,(P80-O80)*1440-Q80-S80)))</x:f>
      </x:c>
      <x:c r="U80" s="25"/>
      <x:c r="V80" s="25"/>
      <x:c r="W80" s="25"/>
      <x:c r="X80" s="25"/>
      <x:c r="Y80" s="25"/>
      <x:c r="Z80" s="25"/>
      <x:c r="AA80" s="39" t="str">
        <x:f>IF(A80="","",U80-SUM(V80,X80:Z80))</x:f>
      </x:c>
      <x:c r="AB80" s="39" t="str">
        <x:f>IF(A80="","",IF(N80="SETUP",IFERROR(INDEX('04_KE_HOACH_CD'!$K$6:$K$305,MATCH(K80,'04_KE_HOACH_CD'!$G$6:$G$305,0)),0),IF(OR(N80="PRODUCTION",N80="REWORK"),IFERROR(INDEX('04_KE_HOACH_CD'!$L$6:$L$305,MATCH(K80,'04_KE_HOACH_CD'!$G$6:$G$305,0))*V80,0),0)))</x:f>
      </x:c>
      <x:c r="AC80" s="39" t="str">
        <x:f>IF(A80="","",MAX(0,(P80-O80)*1440-Q80))</x:f>
      </x:c>
      <x:c r="AD80" s="37" t="str">
        <x:f>IF(A80="","",IFERROR(AB80/AC80,0))</x:f>
      </x:c>
      <x:c r="AE80" s="33" t="str">
        <x:f>IF(A80="","",AC80/60*SUMIF(DM_NHAN_SU!$A$6:$A$105,L80,DM_NHAN_SU!$E$6:$E$105))</x:f>
      </x:c>
      <x:c r="AF80" s="33" t="str">
        <x:f>IF(A80="","",AC80/60*SUMIF(DM_MAY!$A$6:$A$105,M80,DM_MAY!$F$6:$F$105))</x:f>
      </x:c>
      <x:c r="AG80" s="33" t="str">
        <x:f>IF(A80="","",AE80+AF80)</x:f>
      </x:c>
      <x:c r="AH80" s="21"/>
      <x:c r="AI80" s="29" t="str">
        <x:f>IF(A80="","",IF(OR(B80="",D80="",E80="",I80="",L80="",N80="",O80="",P80=""),"Thiếu dữ liệu",IF(AND(OR(N80="PRODUCTION",N80="REWORK",N80="SETUP"),M80=""),"Thiếu máy",IF(P80&lt;O80,"Sai thời gian",IF(AA80&lt;&gt;0,"Sai cân đối SL","Hợp lệ")))))</x:f>
      </x:c>
      <x:c r="AJ80" s="21"/>
    </x:row>
    <x:row r="81">
      <x:c r="A81" s="21"/>
      <x:c r="B81" s="35"/>
      <x:c r="C81" s="21"/>
      <x:c r="D81" s="21"/>
      <x:c r="E81" s="21"/>
      <x:c r="F81" s="21"/>
      <x:c r="G81" s="21"/>
      <x:c r="H81" s="29" t="str">
        <x:f>IF(OR(D81="",E81=""),"",D81&amp;"|"&amp;E81&amp;"|"&amp;IF(F81="","00",F81)&amp;"|"&amp;IF(G81="","01",G81))</x:f>
      </x:c>
      <x:c r="I81" s="21"/>
      <x:c r="J81" s="29" t="str">
        <x:f>IF(K81="","",IFERROR(INDEX('04_KE_HOACH_CD'!$I$6:$I$305,MATCH(K81,'04_KE_HOACH_CD'!$G$6:$G$305,0)),""))</x:f>
      </x:c>
      <x:c r="K81" s="29" t="str">
        <x:f>IF(OR(H81="",I81=""),"",H81&amp;"|"&amp;TEXT(I81,"000"))</x:f>
      </x:c>
      <x:c r="L81" s="21"/>
      <x:c r="M81" s="21"/>
      <x:c r="N81" s="21"/>
      <x:c r="O81" s="43"/>
      <x:c r="P81" s="43"/>
      <x:c r="Q81" s="25"/>
      <x:c r="R81" s="25"/>
      <x:c r="S81" s="39" t="str">
        <x:f>IF(A81="","",SUMIF('07_DUNG_CHO'!$B$6:$B$505,A81,'07_DUNG_CHO'!$E$6:$E$505))</x:f>
      </x:c>
      <x:c r="T81" s="39" t="str">
        <x:f>IF(A81="","",IF(N81="SETUP",0,MAX(0,(P81-O81)*1440-Q81-S81)))</x:f>
      </x:c>
      <x:c r="U81" s="25"/>
      <x:c r="V81" s="25"/>
      <x:c r="W81" s="25"/>
      <x:c r="X81" s="25"/>
      <x:c r="Y81" s="25"/>
      <x:c r="Z81" s="25"/>
      <x:c r="AA81" s="39" t="str">
        <x:f>IF(A81="","",U81-SUM(V81,X81:Z81))</x:f>
      </x:c>
      <x:c r="AB81" s="39" t="str">
        <x:f>IF(A81="","",IF(N81="SETUP",IFERROR(INDEX('04_KE_HOACH_CD'!$K$6:$K$305,MATCH(K81,'04_KE_HOACH_CD'!$G$6:$G$305,0)),0),IF(OR(N81="PRODUCTION",N81="REWORK"),IFERROR(INDEX('04_KE_HOACH_CD'!$L$6:$L$305,MATCH(K81,'04_KE_HOACH_CD'!$G$6:$G$305,0))*V81,0),0)))</x:f>
      </x:c>
      <x:c r="AC81" s="39" t="str">
        <x:f>IF(A81="","",MAX(0,(P81-O81)*1440-Q81))</x:f>
      </x:c>
      <x:c r="AD81" s="37" t="str">
        <x:f>IF(A81="","",IFERROR(AB81/AC81,0))</x:f>
      </x:c>
      <x:c r="AE81" s="33" t="str">
        <x:f>IF(A81="","",AC81/60*SUMIF(DM_NHAN_SU!$A$6:$A$105,L81,DM_NHAN_SU!$E$6:$E$105))</x:f>
      </x:c>
      <x:c r="AF81" s="33" t="str">
        <x:f>IF(A81="","",AC81/60*SUMIF(DM_MAY!$A$6:$A$105,M81,DM_MAY!$F$6:$F$105))</x:f>
      </x:c>
      <x:c r="AG81" s="33" t="str">
        <x:f>IF(A81="","",AE81+AF81)</x:f>
      </x:c>
      <x:c r="AH81" s="21"/>
      <x:c r="AI81" s="29" t="str">
        <x:f>IF(A81="","",IF(OR(B81="",D81="",E81="",I81="",L81="",N81="",O81="",P81=""),"Thiếu dữ liệu",IF(AND(OR(N81="PRODUCTION",N81="REWORK",N81="SETUP"),M81=""),"Thiếu máy",IF(P81&lt;O81,"Sai thời gian",IF(AA81&lt;&gt;0,"Sai cân đối SL","Hợp lệ")))))</x:f>
      </x:c>
      <x:c r="AJ81" s="21"/>
    </x:row>
    <x:row r="82">
      <x:c r="A82" s="21"/>
      <x:c r="B82" s="35"/>
      <x:c r="C82" s="21"/>
      <x:c r="D82" s="21"/>
      <x:c r="E82" s="21"/>
      <x:c r="F82" s="21"/>
      <x:c r="G82" s="21"/>
      <x:c r="H82" s="29" t="str">
        <x:f>IF(OR(D82="",E82=""),"",D82&amp;"|"&amp;E82&amp;"|"&amp;IF(F82="","00",F82)&amp;"|"&amp;IF(G82="","01",G82))</x:f>
      </x:c>
      <x:c r="I82" s="21"/>
      <x:c r="J82" s="29" t="str">
        <x:f>IF(K82="","",IFERROR(INDEX('04_KE_HOACH_CD'!$I$6:$I$305,MATCH(K82,'04_KE_HOACH_CD'!$G$6:$G$305,0)),""))</x:f>
      </x:c>
      <x:c r="K82" s="29" t="str">
        <x:f>IF(OR(H82="",I82=""),"",H82&amp;"|"&amp;TEXT(I82,"000"))</x:f>
      </x:c>
      <x:c r="L82" s="21"/>
      <x:c r="M82" s="21"/>
      <x:c r="N82" s="21"/>
      <x:c r="O82" s="43"/>
      <x:c r="P82" s="43"/>
      <x:c r="Q82" s="25"/>
      <x:c r="R82" s="25"/>
      <x:c r="S82" s="39" t="str">
        <x:f>IF(A82="","",SUMIF('07_DUNG_CHO'!$B$6:$B$505,A82,'07_DUNG_CHO'!$E$6:$E$505))</x:f>
      </x:c>
      <x:c r="T82" s="39" t="str">
        <x:f>IF(A82="","",IF(N82="SETUP",0,MAX(0,(P82-O82)*1440-Q82-S82)))</x:f>
      </x:c>
      <x:c r="U82" s="25"/>
      <x:c r="V82" s="25"/>
      <x:c r="W82" s="25"/>
      <x:c r="X82" s="25"/>
      <x:c r="Y82" s="25"/>
      <x:c r="Z82" s="25"/>
      <x:c r="AA82" s="39" t="str">
        <x:f>IF(A82="","",U82-SUM(V82,X82:Z82))</x:f>
      </x:c>
      <x:c r="AB82" s="39" t="str">
        <x:f>IF(A82="","",IF(N82="SETUP",IFERROR(INDEX('04_KE_HOACH_CD'!$K$6:$K$305,MATCH(K82,'04_KE_HOACH_CD'!$G$6:$G$305,0)),0),IF(OR(N82="PRODUCTION",N82="REWORK"),IFERROR(INDEX('04_KE_HOACH_CD'!$L$6:$L$305,MATCH(K82,'04_KE_HOACH_CD'!$G$6:$G$305,0))*V82,0),0)))</x:f>
      </x:c>
      <x:c r="AC82" s="39" t="str">
        <x:f>IF(A82="","",MAX(0,(P82-O82)*1440-Q82))</x:f>
      </x:c>
      <x:c r="AD82" s="37" t="str">
        <x:f>IF(A82="","",IFERROR(AB82/AC82,0))</x:f>
      </x:c>
      <x:c r="AE82" s="33" t="str">
        <x:f>IF(A82="","",AC82/60*SUMIF(DM_NHAN_SU!$A$6:$A$105,L82,DM_NHAN_SU!$E$6:$E$105))</x:f>
      </x:c>
      <x:c r="AF82" s="33" t="str">
        <x:f>IF(A82="","",AC82/60*SUMIF(DM_MAY!$A$6:$A$105,M82,DM_MAY!$F$6:$F$105))</x:f>
      </x:c>
      <x:c r="AG82" s="33" t="str">
        <x:f>IF(A82="","",AE82+AF82)</x:f>
      </x:c>
      <x:c r="AH82" s="21"/>
      <x:c r="AI82" s="29" t="str">
        <x:f>IF(A82="","",IF(OR(B82="",D82="",E82="",I82="",L82="",N82="",O82="",P82=""),"Thiếu dữ liệu",IF(AND(OR(N82="PRODUCTION",N82="REWORK",N82="SETUP"),M82=""),"Thiếu máy",IF(P82&lt;O82,"Sai thời gian",IF(AA82&lt;&gt;0,"Sai cân đối SL","Hợp lệ")))))</x:f>
      </x:c>
      <x:c r="AJ82" s="21"/>
    </x:row>
    <x:row r="83">
      <x:c r="A83" s="21"/>
      <x:c r="B83" s="35"/>
      <x:c r="C83" s="21"/>
      <x:c r="D83" s="21"/>
      <x:c r="E83" s="21"/>
      <x:c r="F83" s="21"/>
      <x:c r="G83" s="21"/>
      <x:c r="H83" s="29" t="str">
        <x:f>IF(OR(D83="",E83=""),"",D83&amp;"|"&amp;E83&amp;"|"&amp;IF(F83="","00",F83)&amp;"|"&amp;IF(G83="","01",G83))</x:f>
      </x:c>
      <x:c r="I83" s="21"/>
      <x:c r="J83" s="29" t="str">
        <x:f>IF(K83="","",IFERROR(INDEX('04_KE_HOACH_CD'!$I$6:$I$305,MATCH(K83,'04_KE_HOACH_CD'!$G$6:$G$305,0)),""))</x:f>
      </x:c>
      <x:c r="K83" s="29" t="str">
        <x:f>IF(OR(H83="",I83=""),"",H83&amp;"|"&amp;TEXT(I83,"000"))</x:f>
      </x:c>
      <x:c r="L83" s="21"/>
      <x:c r="M83" s="21"/>
      <x:c r="N83" s="21"/>
      <x:c r="O83" s="43"/>
      <x:c r="P83" s="43"/>
      <x:c r="Q83" s="25"/>
      <x:c r="R83" s="25"/>
      <x:c r="S83" s="39" t="str">
        <x:f>IF(A83="","",SUMIF('07_DUNG_CHO'!$B$6:$B$505,A83,'07_DUNG_CHO'!$E$6:$E$505))</x:f>
      </x:c>
      <x:c r="T83" s="39" t="str">
        <x:f>IF(A83="","",IF(N83="SETUP",0,MAX(0,(P83-O83)*1440-Q83-S83)))</x:f>
      </x:c>
      <x:c r="U83" s="25"/>
      <x:c r="V83" s="25"/>
      <x:c r="W83" s="25"/>
      <x:c r="X83" s="25"/>
      <x:c r="Y83" s="25"/>
      <x:c r="Z83" s="25"/>
      <x:c r="AA83" s="39" t="str">
        <x:f>IF(A83="","",U83-SUM(V83,X83:Z83))</x:f>
      </x:c>
      <x:c r="AB83" s="39" t="str">
        <x:f>IF(A83="","",IF(N83="SETUP",IFERROR(INDEX('04_KE_HOACH_CD'!$K$6:$K$305,MATCH(K83,'04_KE_HOACH_CD'!$G$6:$G$305,0)),0),IF(OR(N83="PRODUCTION",N83="REWORK"),IFERROR(INDEX('04_KE_HOACH_CD'!$L$6:$L$305,MATCH(K83,'04_KE_HOACH_CD'!$G$6:$G$305,0))*V83,0),0)))</x:f>
      </x:c>
      <x:c r="AC83" s="39" t="str">
        <x:f>IF(A83="","",MAX(0,(P83-O83)*1440-Q83))</x:f>
      </x:c>
      <x:c r="AD83" s="37" t="str">
        <x:f>IF(A83="","",IFERROR(AB83/AC83,0))</x:f>
      </x:c>
      <x:c r="AE83" s="33" t="str">
        <x:f>IF(A83="","",AC83/60*SUMIF(DM_NHAN_SU!$A$6:$A$105,L83,DM_NHAN_SU!$E$6:$E$105))</x:f>
      </x:c>
      <x:c r="AF83" s="33" t="str">
        <x:f>IF(A83="","",AC83/60*SUMIF(DM_MAY!$A$6:$A$105,M83,DM_MAY!$F$6:$F$105))</x:f>
      </x:c>
      <x:c r="AG83" s="33" t="str">
        <x:f>IF(A83="","",AE83+AF83)</x:f>
      </x:c>
      <x:c r="AH83" s="21"/>
      <x:c r="AI83" s="29" t="str">
        <x:f>IF(A83="","",IF(OR(B83="",D83="",E83="",I83="",L83="",N83="",O83="",P83=""),"Thiếu dữ liệu",IF(AND(OR(N83="PRODUCTION",N83="REWORK",N83="SETUP"),M83=""),"Thiếu máy",IF(P83&lt;O83,"Sai thời gian",IF(AA83&lt;&gt;0,"Sai cân đối SL","Hợp lệ")))))</x:f>
      </x:c>
      <x:c r="AJ83" s="21"/>
    </x:row>
    <x:row r="84">
      <x:c r="A84" s="21"/>
      <x:c r="B84" s="35"/>
      <x:c r="C84" s="21"/>
      <x:c r="D84" s="21"/>
      <x:c r="E84" s="21"/>
      <x:c r="F84" s="21"/>
      <x:c r="G84" s="21"/>
      <x:c r="H84" s="29" t="str">
        <x:f>IF(OR(D84="",E84=""),"",D84&amp;"|"&amp;E84&amp;"|"&amp;IF(F84="","00",F84)&amp;"|"&amp;IF(G84="","01",G84))</x:f>
      </x:c>
      <x:c r="I84" s="21"/>
      <x:c r="J84" s="29" t="str">
        <x:f>IF(K84="","",IFERROR(INDEX('04_KE_HOACH_CD'!$I$6:$I$305,MATCH(K84,'04_KE_HOACH_CD'!$G$6:$G$305,0)),""))</x:f>
      </x:c>
      <x:c r="K84" s="29" t="str">
        <x:f>IF(OR(H84="",I84=""),"",H84&amp;"|"&amp;TEXT(I84,"000"))</x:f>
      </x:c>
      <x:c r="L84" s="21"/>
      <x:c r="M84" s="21"/>
      <x:c r="N84" s="21"/>
      <x:c r="O84" s="43"/>
      <x:c r="P84" s="43"/>
      <x:c r="Q84" s="25"/>
      <x:c r="R84" s="25"/>
      <x:c r="S84" s="39" t="str">
        <x:f>IF(A84="","",SUMIF('07_DUNG_CHO'!$B$6:$B$505,A84,'07_DUNG_CHO'!$E$6:$E$505))</x:f>
      </x:c>
      <x:c r="T84" s="39" t="str">
        <x:f>IF(A84="","",IF(N84="SETUP",0,MAX(0,(P84-O84)*1440-Q84-S84)))</x:f>
      </x:c>
      <x:c r="U84" s="25"/>
      <x:c r="V84" s="25"/>
      <x:c r="W84" s="25"/>
      <x:c r="X84" s="25"/>
      <x:c r="Y84" s="25"/>
      <x:c r="Z84" s="25"/>
      <x:c r="AA84" s="39" t="str">
        <x:f>IF(A84="","",U84-SUM(V84,X84:Z84))</x:f>
      </x:c>
      <x:c r="AB84" s="39" t="str">
        <x:f>IF(A84="","",IF(N84="SETUP",IFERROR(INDEX('04_KE_HOACH_CD'!$K$6:$K$305,MATCH(K84,'04_KE_HOACH_CD'!$G$6:$G$305,0)),0),IF(OR(N84="PRODUCTION",N84="REWORK"),IFERROR(INDEX('04_KE_HOACH_CD'!$L$6:$L$305,MATCH(K84,'04_KE_HOACH_CD'!$G$6:$G$305,0))*V84,0),0)))</x:f>
      </x:c>
      <x:c r="AC84" s="39" t="str">
        <x:f>IF(A84="","",MAX(0,(P84-O84)*1440-Q84))</x:f>
      </x:c>
      <x:c r="AD84" s="37" t="str">
        <x:f>IF(A84="","",IFERROR(AB84/AC84,0))</x:f>
      </x:c>
      <x:c r="AE84" s="33" t="str">
        <x:f>IF(A84="","",AC84/60*SUMIF(DM_NHAN_SU!$A$6:$A$105,L84,DM_NHAN_SU!$E$6:$E$105))</x:f>
      </x:c>
      <x:c r="AF84" s="33" t="str">
        <x:f>IF(A84="","",AC84/60*SUMIF(DM_MAY!$A$6:$A$105,M84,DM_MAY!$F$6:$F$105))</x:f>
      </x:c>
      <x:c r="AG84" s="33" t="str">
        <x:f>IF(A84="","",AE84+AF84)</x:f>
      </x:c>
      <x:c r="AH84" s="21"/>
      <x:c r="AI84" s="29" t="str">
        <x:f>IF(A84="","",IF(OR(B84="",D84="",E84="",I84="",L84="",N84="",O84="",P84=""),"Thiếu dữ liệu",IF(AND(OR(N84="PRODUCTION",N84="REWORK",N84="SETUP"),M84=""),"Thiếu máy",IF(P84&lt;O84,"Sai thời gian",IF(AA84&lt;&gt;0,"Sai cân đối SL","Hợp lệ")))))</x:f>
      </x:c>
      <x:c r="AJ84" s="21"/>
    </x:row>
    <x:row r="85">
      <x:c r="A85" s="21"/>
      <x:c r="B85" s="35"/>
      <x:c r="C85" s="21"/>
      <x:c r="D85" s="21"/>
      <x:c r="E85" s="21"/>
      <x:c r="F85" s="21"/>
      <x:c r="G85" s="21"/>
      <x:c r="H85" s="29" t="str">
        <x:f>IF(OR(D85="",E85=""),"",D85&amp;"|"&amp;E85&amp;"|"&amp;IF(F85="","00",F85)&amp;"|"&amp;IF(G85="","01",G85))</x:f>
      </x:c>
      <x:c r="I85" s="21"/>
      <x:c r="J85" s="29" t="str">
        <x:f>IF(K85="","",IFERROR(INDEX('04_KE_HOACH_CD'!$I$6:$I$305,MATCH(K85,'04_KE_HOACH_CD'!$G$6:$G$305,0)),""))</x:f>
      </x:c>
      <x:c r="K85" s="29" t="str">
        <x:f>IF(OR(H85="",I85=""),"",H85&amp;"|"&amp;TEXT(I85,"000"))</x:f>
      </x:c>
      <x:c r="L85" s="21"/>
      <x:c r="M85" s="21"/>
      <x:c r="N85" s="21"/>
      <x:c r="O85" s="43"/>
      <x:c r="P85" s="43"/>
      <x:c r="Q85" s="25"/>
      <x:c r="R85" s="25"/>
      <x:c r="S85" s="39" t="str">
        <x:f>IF(A85="","",SUMIF('07_DUNG_CHO'!$B$6:$B$505,A85,'07_DUNG_CHO'!$E$6:$E$505))</x:f>
      </x:c>
      <x:c r="T85" s="39" t="str">
        <x:f>IF(A85="","",IF(N85="SETUP",0,MAX(0,(P85-O85)*1440-Q85-S85)))</x:f>
      </x:c>
      <x:c r="U85" s="25"/>
      <x:c r="V85" s="25"/>
      <x:c r="W85" s="25"/>
      <x:c r="X85" s="25"/>
      <x:c r="Y85" s="25"/>
      <x:c r="Z85" s="25"/>
      <x:c r="AA85" s="39" t="str">
        <x:f>IF(A85="","",U85-SUM(V85,X85:Z85))</x:f>
      </x:c>
      <x:c r="AB85" s="39" t="str">
        <x:f>IF(A85="","",IF(N85="SETUP",IFERROR(INDEX('04_KE_HOACH_CD'!$K$6:$K$305,MATCH(K85,'04_KE_HOACH_CD'!$G$6:$G$305,0)),0),IF(OR(N85="PRODUCTION",N85="REWORK"),IFERROR(INDEX('04_KE_HOACH_CD'!$L$6:$L$305,MATCH(K85,'04_KE_HOACH_CD'!$G$6:$G$305,0))*V85,0),0)))</x:f>
      </x:c>
      <x:c r="AC85" s="39" t="str">
        <x:f>IF(A85="","",MAX(0,(P85-O85)*1440-Q85))</x:f>
      </x:c>
      <x:c r="AD85" s="37" t="str">
        <x:f>IF(A85="","",IFERROR(AB85/AC85,0))</x:f>
      </x:c>
      <x:c r="AE85" s="33" t="str">
        <x:f>IF(A85="","",AC85/60*SUMIF(DM_NHAN_SU!$A$6:$A$105,L85,DM_NHAN_SU!$E$6:$E$105))</x:f>
      </x:c>
      <x:c r="AF85" s="33" t="str">
        <x:f>IF(A85="","",AC85/60*SUMIF(DM_MAY!$A$6:$A$105,M85,DM_MAY!$F$6:$F$105))</x:f>
      </x:c>
      <x:c r="AG85" s="33" t="str">
        <x:f>IF(A85="","",AE85+AF85)</x:f>
      </x:c>
      <x:c r="AH85" s="21"/>
      <x:c r="AI85" s="29" t="str">
        <x:f>IF(A85="","",IF(OR(B85="",D85="",E85="",I85="",L85="",N85="",O85="",P85=""),"Thiếu dữ liệu",IF(AND(OR(N85="PRODUCTION",N85="REWORK",N85="SETUP"),M85=""),"Thiếu máy",IF(P85&lt;O85,"Sai thời gian",IF(AA85&lt;&gt;0,"Sai cân đối SL","Hợp lệ")))))</x:f>
      </x:c>
      <x:c r="AJ85" s="21"/>
    </x:row>
    <x:row r="86">
      <x:c r="A86" s="21"/>
      <x:c r="B86" s="35"/>
      <x:c r="C86" s="21"/>
      <x:c r="D86" s="21"/>
      <x:c r="E86" s="21"/>
      <x:c r="F86" s="21"/>
      <x:c r="G86" s="21"/>
      <x:c r="H86" s="29" t="str">
        <x:f>IF(OR(D86="",E86=""),"",D86&amp;"|"&amp;E86&amp;"|"&amp;IF(F86="","00",F86)&amp;"|"&amp;IF(G86="","01",G86))</x:f>
      </x:c>
      <x:c r="I86" s="21"/>
      <x:c r="J86" s="29" t="str">
        <x:f>IF(K86="","",IFERROR(INDEX('04_KE_HOACH_CD'!$I$6:$I$305,MATCH(K86,'04_KE_HOACH_CD'!$G$6:$G$305,0)),""))</x:f>
      </x:c>
      <x:c r="K86" s="29" t="str">
        <x:f>IF(OR(H86="",I86=""),"",H86&amp;"|"&amp;TEXT(I86,"000"))</x:f>
      </x:c>
      <x:c r="L86" s="21"/>
      <x:c r="M86" s="21"/>
      <x:c r="N86" s="21"/>
      <x:c r="O86" s="43"/>
      <x:c r="P86" s="43"/>
      <x:c r="Q86" s="25"/>
      <x:c r="R86" s="25"/>
      <x:c r="S86" s="39" t="str">
        <x:f>IF(A86="","",SUMIF('07_DUNG_CHO'!$B$6:$B$505,A86,'07_DUNG_CHO'!$E$6:$E$505))</x:f>
      </x:c>
      <x:c r="T86" s="39" t="str">
        <x:f>IF(A86="","",IF(N86="SETUP",0,MAX(0,(P86-O86)*1440-Q86-S86)))</x:f>
      </x:c>
      <x:c r="U86" s="25"/>
      <x:c r="V86" s="25"/>
      <x:c r="W86" s="25"/>
      <x:c r="X86" s="25"/>
      <x:c r="Y86" s="25"/>
      <x:c r="Z86" s="25"/>
      <x:c r="AA86" s="39" t="str">
        <x:f>IF(A86="","",U86-SUM(V86,X86:Z86))</x:f>
      </x:c>
      <x:c r="AB86" s="39" t="str">
        <x:f>IF(A86="","",IF(N86="SETUP",IFERROR(INDEX('04_KE_HOACH_CD'!$K$6:$K$305,MATCH(K86,'04_KE_HOACH_CD'!$G$6:$G$305,0)),0),IF(OR(N86="PRODUCTION",N86="REWORK"),IFERROR(INDEX('04_KE_HOACH_CD'!$L$6:$L$305,MATCH(K86,'04_KE_HOACH_CD'!$G$6:$G$305,0))*V86,0),0)))</x:f>
      </x:c>
      <x:c r="AC86" s="39" t="str">
        <x:f>IF(A86="","",MAX(0,(P86-O86)*1440-Q86))</x:f>
      </x:c>
      <x:c r="AD86" s="37" t="str">
        <x:f>IF(A86="","",IFERROR(AB86/AC86,0))</x:f>
      </x:c>
      <x:c r="AE86" s="33" t="str">
        <x:f>IF(A86="","",AC86/60*SUMIF(DM_NHAN_SU!$A$6:$A$105,L86,DM_NHAN_SU!$E$6:$E$105))</x:f>
      </x:c>
      <x:c r="AF86" s="33" t="str">
        <x:f>IF(A86="","",AC86/60*SUMIF(DM_MAY!$A$6:$A$105,M86,DM_MAY!$F$6:$F$105))</x:f>
      </x:c>
      <x:c r="AG86" s="33" t="str">
        <x:f>IF(A86="","",AE86+AF86)</x:f>
      </x:c>
      <x:c r="AH86" s="21"/>
      <x:c r="AI86" s="29" t="str">
        <x:f>IF(A86="","",IF(OR(B86="",D86="",E86="",I86="",L86="",N86="",O86="",P86=""),"Thiếu dữ liệu",IF(AND(OR(N86="PRODUCTION",N86="REWORK",N86="SETUP"),M86=""),"Thiếu máy",IF(P86&lt;O86,"Sai thời gian",IF(AA86&lt;&gt;0,"Sai cân đối SL","Hợp lệ")))))</x:f>
      </x:c>
      <x:c r="AJ86" s="21"/>
    </x:row>
    <x:row r="87">
      <x:c r="A87" s="21"/>
      <x:c r="B87" s="35"/>
      <x:c r="C87" s="21"/>
      <x:c r="D87" s="21"/>
      <x:c r="E87" s="21"/>
      <x:c r="F87" s="21"/>
      <x:c r="G87" s="21"/>
      <x:c r="H87" s="29" t="str">
        <x:f>IF(OR(D87="",E87=""),"",D87&amp;"|"&amp;E87&amp;"|"&amp;IF(F87="","00",F87)&amp;"|"&amp;IF(G87="","01",G87))</x:f>
      </x:c>
      <x:c r="I87" s="21"/>
      <x:c r="J87" s="29" t="str">
        <x:f>IF(K87="","",IFERROR(INDEX('04_KE_HOACH_CD'!$I$6:$I$305,MATCH(K87,'04_KE_HOACH_CD'!$G$6:$G$305,0)),""))</x:f>
      </x:c>
      <x:c r="K87" s="29" t="str">
        <x:f>IF(OR(H87="",I87=""),"",H87&amp;"|"&amp;TEXT(I87,"000"))</x:f>
      </x:c>
      <x:c r="L87" s="21"/>
      <x:c r="M87" s="21"/>
      <x:c r="N87" s="21"/>
      <x:c r="O87" s="43"/>
      <x:c r="P87" s="43"/>
      <x:c r="Q87" s="25"/>
      <x:c r="R87" s="25"/>
      <x:c r="S87" s="39" t="str">
        <x:f>IF(A87="","",SUMIF('07_DUNG_CHO'!$B$6:$B$505,A87,'07_DUNG_CHO'!$E$6:$E$505))</x:f>
      </x:c>
      <x:c r="T87" s="39" t="str">
        <x:f>IF(A87="","",IF(N87="SETUP",0,MAX(0,(P87-O87)*1440-Q87-S87)))</x:f>
      </x:c>
      <x:c r="U87" s="25"/>
      <x:c r="V87" s="25"/>
      <x:c r="W87" s="25"/>
      <x:c r="X87" s="25"/>
      <x:c r="Y87" s="25"/>
      <x:c r="Z87" s="25"/>
      <x:c r="AA87" s="39" t="str">
        <x:f>IF(A87="","",U87-SUM(V87,X87:Z87))</x:f>
      </x:c>
      <x:c r="AB87" s="39" t="str">
        <x:f>IF(A87="","",IF(N87="SETUP",IFERROR(INDEX('04_KE_HOACH_CD'!$K$6:$K$305,MATCH(K87,'04_KE_HOACH_CD'!$G$6:$G$305,0)),0),IF(OR(N87="PRODUCTION",N87="REWORK"),IFERROR(INDEX('04_KE_HOACH_CD'!$L$6:$L$305,MATCH(K87,'04_KE_HOACH_CD'!$G$6:$G$305,0))*V87,0),0)))</x:f>
      </x:c>
      <x:c r="AC87" s="39" t="str">
        <x:f>IF(A87="","",MAX(0,(P87-O87)*1440-Q87))</x:f>
      </x:c>
      <x:c r="AD87" s="37" t="str">
        <x:f>IF(A87="","",IFERROR(AB87/AC87,0))</x:f>
      </x:c>
      <x:c r="AE87" s="33" t="str">
        <x:f>IF(A87="","",AC87/60*SUMIF(DM_NHAN_SU!$A$6:$A$105,L87,DM_NHAN_SU!$E$6:$E$105))</x:f>
      </x:c>
      <x:c r="AF87" s="33" t="str">
        <x:f>IF(A87="","",AC87/60*SUMIF(DM_MAY!$A$6:$A$105,M87,DM_MAY!$F$6:$F$105))</x:f>
      </x:c>
      <x:c r="AG87" s="33" t="str">
        <x:f>IF(A87="","",AE87+AF87)</x:f>
      </x:c>
      <x:c r="AH87" s="21"/>
      <x:c r="AI87" s="29" t="str">
        <x:f>IF(A87="","",IF(OR(B87="",D87="",E87="",I87="",L87="",N87="",O87="",P87=""),"Thiếu dữ liệu",IF(AND(OR(N87="PRODUCTION",N87="REWORK",N87="SETUP"),M87=""),"Thiếu máy",IF(P87&lt;O87,"Sai thời gian",IF(AA87&lt;&gt;0,"Sai cân đối SL","Hợp lệ")))))</x:f>
      </x:c>
      <x:c r="AJ87" s="21"/>
    </x:row>
    <x:row r="88">
      <x:c r="A88" s="21"/>
      <x:c r="B88" s="35"/>
      <x:c r="C88" s="21"/>
      <x:c r="D88" s="21"/>
      <x:c r="E88" s="21"/>
      <x:c r="F88" s="21"/>
      <x:c r="G88" s="21"/>
      <x:c r="H88" s="29" t="str">
        <x:f>IF(OR(D88="",E88=""),"",D88&amp;"|"&amp;E88&amp;"|"&amp;IF(F88="","00",F88)&amp;"|"&amp;IF(G88="","01",G88))</x:f>
      </x:c>
      <x:c r="I88" s="21"/>
      <x:c r="J88" s="29" t="str">
        <x:f>IF(K88="","",IFERROR(INDEX('04_KE_HOACH_CD'!$I$6:$I$305,MATCH(K88,'04_KE_HOACH_CD'!$G$6:$G$305,0)),""))</x:f>
      </x:c>
      <x:c r="K88" s="29" t="str">
        <x:f>IF(OR(H88="",I88=""),"",H88&amp;"|"&amp;TEXT(I88,"000"))</x:f>
      </x:c>
      <x:c r="L88" s="21"/>
      <x:c r="M88" s="21"/>
      <x:c r="N88" s="21"/>
      <x:c r="O88" s="43"/>
      <x:c r="P88" s="43"/>
      <x:c r="Q88" s="25"/>
      <x:c r="R88" s="25"/>
      <x:c r="S88" s="39" t="str">
        <x:f>IF(A88="","",SUMIF('07_DUNG_CHO'!$B$6:$B$505,A88,'07_DUNG_CHO'!$E$6:$E$505))</x:f>
      </x:c>
      <x:c r="T88" s="39" t="str">
        <x:f>IF(A88="","",IF(N88="SETUP",0,MAX(0,(P88-O88)*1440-Q88-S88)))</x:f>
      </x:c>
      <x:c r="U88" s="25"/>
      <x:c r="V88" s="25"/>
      <x:c r="W88" s="25"/>
      <x:c r="X88" s="25"/>
      <x:c r="Y88" s="25"/>
      <x:c r="Z88" s="25"/>
      <x:c r="AA88" s="39" t="str">
        <x:f>IF(A88="","",U88-SUM(V88,X88:Z88))</x:f>
      </x:c>
      <x:c r="AB88" s="39" t="str">
        <x:f>IF(A88="","",IF(N88="SETUP",IFERROR(INDEX('04_KE_HOACH_CD'!$K$6:$K$305,MATCH(K88,'04_KE_HOACH_CD'!$G$6:$G$305,0)),0),IF(OR(N88="PRODUCTION",N88="REWORK"),IFERROR(INDEX('04_KE_HOACH_CD'!$L$6:$L$305,MATCH(K88,'04_KE_HOACH_CD'!$G$6:$G$305,0))*V88,0),0)))</x:f>
      </x:c>
      <x:c r="AC88" s="39" t="str">
        <x:f>IF(A88="","",MAX(0,(P88-O88)*1440-Q88))</x:f>
      </x:c>
      <x:c r="AD88" s="37" t="str">
        <x:f>IF(A88="","",IFERROR(AB88/AC88,0))</x:f>
      </x:c>
      <x:c r="AE88" s="33" t="str">
        <x:f>IF(A88="","",AC88/60*SUMIF(DM_NHAN_SU!$A$6:$A$105,L88,DM_NHAN_SU!$E$6:$E$105))</x:f>
      </x:c>
      <x:c r="AF88" s="33" t="str">
        <x:f>IF(A88="","",AC88/60*SUMIF(DM_MAY!$A$6:$A$105,M88,DM_MAY!$F$6:$F$105))</x:f>
      </x:c>
      <x:c r="AG88" s="33" t="str">
        <x:f>IF(A88="","",AE88+AF88)</x:f>
      </x:c>
      <x:c r="AH88" s="21"/>
      <x:c r="AI88" s="29" t="str">
        <x:f>IF(A88="","",IF(OR(B88="",D88="",E88="",I88="",L88="",N88="",O88="",P88=""),"Thiếu dữ liệu",IF(AND(OR(N88="PRODUCTION",N88="REWORK",N88="SETUP"),M88=""),"Thiếu máy",IF(P88&lt;O88,"Sai thời gian",IF(AA88&lt;&gt;0,"Sai cân đối SL","Hợp lệ")))))</x:f>
      </x:c>
      <x:c r="AJ88" s="21"/>
    </x:row>
    <x:row r="89">
      <x:c r="A89" s="21"/>
      <x:c r="B89" s="35"/>
      <x:c r="C89" s="21"/>
      <x:c r="D89" s="21"/>
      <x:c r="E89" s="21"/>
      <x:c r="F89" s="21"/>
      <x:c r="G89" s="21"/>
      <x:c r="H89" s="29" t="str">
        <x:f>IF(OR(D89="",E89=""),"",D89&amp;"|"&amp;E89&amp;"|"&amp;IF(F89="","00",F89)&amp;"|"&amp;IF(G89="","01",G89))</x:f>
      </x:c>
      <x:c r="I89" s="21"/>
      <x:c r="J89" s="29" t="str">
        <x:f>IF(K89="","",IFERROR(INDEX('04_KE_HOACH_CD'!$I$6:$I$305,MATCH(K89,'04_KE_HOACH_CD'!$G$6:$G$305,0)),""))</x:f>
      </x:c>
      <x:c r="K89" s="29" t="str">
        <x:f>IF(OR(H89="",I89=""),"",H89&amp;"|"&amp;TEXT(I89,"000"))</x:f>
      </x:c>
      <x:c r="L89" s="21"/>
      <x:c r="M89" s="21"/>
      <x:c r="N89" s="21"/>
      <x:c r="O89" s="43"/>
      <x:c r="P89" s="43"/>
      <x:c r="Q89" s="25"/>
      <x:c r="R89" s="25"/>
      <x:c r="S89" s="39" t="str">
        <x:f>IF(A89="","",SUMIF('07_DUNG_CHO'!$B$6:$B$505,A89,'07_DUNG_CHO'!$E$6:$E$505))</x:f>
      </x:c>
      <x:c r="T89" s="39" t="str">
        <x:f>IF(A89="","",IF(N89="SETUP",0,MAX(0,(P89-O89)*1440-Q89-S89)))</x:f>
      </x:c>
      <x:c r="U89" s="25"/>
      <x:c r="V89" s="25"/>
      <x:c r="W89" s="25"/>
      <x:c r="X89" s="25"/>
      <x:c r="Y89" s="25"/>
      <x:c r="Z89" s="25"/>
      <x:c r="AA89" s="39" t="str">
        <x:f>IF(A89="","",U89-SUM(V89,X89:Z89))</x:f>
      </x:c>
      <x:c r="AB89" s="39" t="str">
        <x:f>IF(A89="","",IF(N89="SETUP",IFERROR(INDEX('04_KE_HOACH_CD'!$K$6:$K$305,MATCH(K89,'04_KE_HOACH_CD'!$G$6:$G$305,0)),0),IF(OR(N89="PRODUCTION",N89="REWORK"),IFERROR(INDEX('04_KE_HOACH_CD'!$L$6:$L$305,MATCH(K89,'04_KE_HOACH_CD'!$G$6:$G$305,0))*V89,0),0)))</x:f>
      </x:c>
      <x:c r="AC89" s="39" t="str">
        <x:f>IF(A89="","",MAX(0,(P89-O89)*1440-Q89))</x:f>
      </x:c>
      <x:c r="AD89" s="37" t="str">
        <x:f>IF(A89="","",IFERROR(AB89/AC89,0))</x:f>
      </x:c>
      <x:c r="AE89" s="33" t="str">
        <x:f>IF(A89="","",AC89/60*SUMIF(DM_NHAN_SU!$A$6:$A$105,L89,DM_NHAN_SU!$E$6:$E$105))</x:f>
      </x:c>
      <x:c r="AF89" s="33" t="str">
        <x:f>IF(A89="","",AC89/60*SUMIF(DM_MAY!$A$6:$A$105,M89,DM_MAY!$F$6:$F$105))</x:f>
      </x:c>
      <x:c r="AG89" s="33" t="str">
        <x:f>IF(A89="","",AE89+AF89)</x:f>
      </x:c>
      <x:c r="AH89" s="21"/>
      <x:c r="AI89" s="29" t="str">
        <x:f>IF(A89="","",IF(OR(B89="",D89="",E89="",I89="",L89="",N89="",O89="",P89=""),"Thiếu dữ liệu",IF(AND(OR(N89="PRODUCTION",N89="REWORK",N89="SETUP"),M89=""),"Thiếu máy",IF(P89&lt;O89,"Sai thời gian",IF(AA89&lt;&gt;0,"Sai cân đối SL","Hợp lệ")))))</x:f>
      </x:c>
      <x:c r="AJ89" s="21"/>
    </x:row>
    <x:row r="90">
      <x:c r="A90" s="21"/>
      <x:c r="B90" s="35"/>
      <x:c r="C90" s="21"/>
      <x:c r="D90" s="21"/>
      <x:c r="E90" s="21"/>
      <x:c r="F90" s="21"/>
      <x:c r="G90" s="21"/>
      <x:c r="H90" s="29" t="str">
        <x:f>IF(OR(D90="",E90=""),"",D90&amp;"|"&amp;E90&amp;"|"&amp;IF(F90="","00",F90)&amp;"|"&amp;IF(G90="","01",G90))</x:f>
      </x:c>
      <x:c r="I90" s="21"/>
      <x:c r="J90" s="29" t="str">
        <x:f>IF(K90="","",IFERROR(INDEX('04_KE_HOACH_CD'!$I$6:$I$305,MATCH(K90,'04_KE_HOACH_CD'!$G$6:$G$305,0)),""))</x:f>
      </x:c>
      <x:c r="K90" s="29" t="str">
        <x:f>IF(OR(H90="",I90=""),"",H90&amp;"|"&amp;TEXT(I90,"000"))</x:f>
      </x:c>
      <x:c r="L90" s="21"/>
      <x:c r="M90" s="21"/>
      <x:c r="N90" s="21"/>
      <x:c r="O90" s="43"/>
      <x:c r="P90" s="43"/>
      <x:c r="Q90" s="25"/>
      <x:c r="R90" s="25"/>
      <x:c r="S90" s="39" t="str">
        <x:f>IF(A90="","",SUMIF('07_DUNG_CHO'!$B$6:$B$505,A90,'07_DUNG_CHO'!$E$6:$E$505))</x:f>
      </x:c>
      <x:c r="T90" s="39" t="str">
        <x:f>IF(A90="","",IF(N90="SETUP",0,MAX(0,(P90-O90)*1440-Q90-S90)))</x:f>
      </x:c>
      <x:c r="U90" s="25"/>
      <x:c r="V90" s="25"/>
      <x:c r="W90" s="25"/>
      <x:c r="X90" s="25"/>
      <x:c r="Y90" s="25"/>
      <x:c r="Z90" s="25"/>
      <x:c r="AA90" s="39" t="str">
        <x:f>IF(A90="","",U90-SUM(V90,X90:Z90))</x:f>
      </x:c>
      <x:c r="AB90" s="39" t="str">
        <x:f>IF(A90="","",IF(N90="SETUP",IFERROR(INDEX('04_KE_HOACH_CD'!$K$6:$K$305,MATCH(K90,'04_KE_HOACH_CD'!$G$6:$G$305,0)),0),IF(OR(N90="PRODUCTION",N90="REWORK"),IFERROR(INDEX('04_KE_HOACH_CD'!$L$6:$L$305,MATCH(K90,'04_KE_HOACH_CD'!$G$6:$G$305,0))*V90,0),0)))</x:f>
      </x:c>
      <x:c r="AC90" s="39" t="str">
        <x:f>IF(A90="","",MAX(0,(P90-O90)*1440-Q90))</x:f>
      </x:c>
      <x:c r="AD90" s="37" t="str">
        <x:f>IF(A90="","",IFERROR(AB90/AC90,0))</x:f>
      </x:c>
      <x:c r="AE90" s="33" t="str">
        <x:f>IF(A90="","",AC90/60*SUMIF(DM_NHAN_SU!$A$6:$A$105,L90,DM_NHAN_SU!$E$6:$E$105))</x:f>
      </x:c>
      <x:c r="AF90" s="33" t="str">
        <x:f>IF(A90="","",AC90/60*SUMIF(DM_MAY!$A$6:$A$105,M90,DM_MAY!$F$6:$F$105))</x:f>
      </x:c>
      <x:c r="AG90" s="33" t="str">
        <x:f>IF(A90="","",AE90+AF90)</x:f>
      </x:c>
      <x:c r="AH90" s="21"/>
      <x:c r="AI90" s="29" t="str">
        <x:f>IF(A90="","",IF(OR(B90="",D90="",E90="",I90="",L90="",N90="",O90="",P90=""),"Thiếu dữ liệu",IF(AND(OR(N90="PRODUCTION",N90="REWORK",N90="SETUP"),M90=""),"Thiếu máy",IF(P90&lt;O90,"Sai thời gian",IF(AA90&lt;&gt;0,"Sai cân đối SL","Hợp lệ")))))</x:f>
      </x:c>
      <x:c r="AJ90" s="21"/>
    </x:row>
    <x:row r="91">
      <x:c r="A91" s="21"/>
      <x:c r="B91" s="35"/>
      <x:c r="C91" s="21"/>
      <x:c r="D91" s="21"/>
      <x:c r="E91" s="21"/>
      <x:c r="F91" s="21"/>
      <x:c r="G91" s="21"/>
      <x:c r="H91" s="29" t="str">
        <x:f>IF(OR(D91="",E91=""),"",D91&amp;"|"&amp;E91&amp;"|"&amp;IF(F91="","00",F91)&amp;"|"&amp;IF(G91="","01",G91))</x:f>
      </x:c>
      <x:c r="I91" s="21"/>
      <x:c r="J91" s="29" t="str">
        <x:f>IF(K91="","",IFERROR(INDEX('04_KE_HOACH_CD'!$I$6:$I$305,MATCH(K91,'04_KE_HOACH_CD'!$G$6:$G$305,0)),""))</x:f>
      </x:c>
      <x:c r="K91" s="29" t="str">
        <x:f>IF(OR(H91="",I91=""),"",H91&amp;"|"&amp;TEXT(I91,"000"))</x:f>
      </x:c>
      <x:c r="L91" s="21"/>
      <x:c r="M91" s="21"/>
      <x:c r="N91" s="21"/>
      <x:c r="O91" s="43"/>
      <x:c r="P91" s="43"/>
      <x:c r="Q91" s="25"/>
      <x:c r="R91" s="25"/>
      <x:c r="S91" s="39" t="str">
        <x:f>IF(A91="","",SUMIF('07_DUNG_CHO'!$B$6:$B$505,A91,'07_DUNG_CHO'!$E$6:$E$505))</x:f>
      </x:c>
      <x:c r="T91" s="39" t="str">
        <x:f>IF(A91="","",IF(N91="SETUP",0,MAX(0,(P91-O91)*1440-Q91-S91)))</x:f>
      </x:c>
      <x:c r="U91" s="25"/>
      <x:c r="V91" s="25"/>
      <x:c r="W91" s="25"/>
      <x:c r="X91" s="25"/>
      <x:c r="Y91" s="25"/>
      <x:c r="Z91" s="25"/>
      <x:c r="AA91" s="39" t="str">
        <x:f>IF(A91="","",U91-SUM(V91,X91:Z91))</x:f>
      </x:c>
      <x:c r="AB91" s="39" t="str">
        <x:f>IF(A91="","",IF(N91="SETUP",IFERROR(INDEX('04_KE_HOACH_CD'!$K$6:$K$305,MATCH(K91,'04_KE_HOACH_CD'!$G$6:$G$305,0)),0),IF(OR(N91="PRODUCTION",N91="REWORK"),IFERROR(INDEX('04_KE_HOACH_CD'!$L$6:$L$305,MATCH(K91,'04_KE_HOACH_CD'!$G$6:$G$305,0))*V91,0),0)))</x:f>
      </x:c>
      <x:c r="AC91" s="39" t="str">
        <x:f>IF(A91="","",MAX(0,(P91-O91)*1440-Q91))</x:f>
      </x:c>
      <x:c r="AD91" s="37" t="str">
        <x:f>IF(A91="","",IFERROR(AB91/AC91,0))</x:f>
      </x:c>
      <x:c r="AE91" s="33" t="str">
        <x:f>IF(A91="","",AC91/60*SUMIF(DM_NHAN_SU!$A$6:$A$105,L91,DM_NHAN_SU!$E$6:$E$105))</x:f>
      </x:c>
      <x:c r="AF91" s="33" t="str">
        <x:f>IF(A91="","",AC91/60*SUMIF(DM_MAY!$A$6:$A$105,M91,DM_MAY!$F$6:$F$105))</x:f>
      </x:c>
      <x:c r="AG91" s="33" t="str">
        <x:f>IF(A91="","",AE91+AF91)</x:f>
      </x:c>
      <x:c r="AH91" s="21"/>
      <x:c r="AI91" s="29" t="str">
        <x:f>IF(A91="","",IF(OR(B91="",D91="",E91="",I91="",L91="",N91="",O91="",P91=""),"Thiếu dữ liệu",IF(AND(OR(N91="PRODUCTION",N91="REWORK",N91="SETUP"),M91=""),"Thiếu máy",IF(P91&lt;O91,"Sai thời gian",IF(AA91&lt;&gt;0,"Sai cân đối SL","Hợp lệ")))))</x:f>
      </x:c>
      <x:c r="AJ91" s="21"/>
    </x:row>
    <x:row r="92">
      <x:c r="A92" s="21"/>
      <x:c r="B92" s="35"/>
      <x:c r="C92" s="21"/>
      <x:c r="D92" s="21"/>
      <x:c r="E92" s="21"/>
      <x:c r="F92" s="21"/>
      <x:c r="G92" s="21"/>
      <x:c r="H92" s="29" t="str">
        <x:f>IF(OR(D92="",E92=""),"",D92&amp;"|"&amp;E92&amp;"|"&amp;IF(F92="","00",F92)&amp;"|"&amp;IF(G92="","01",G92))</x:f>
      </x:c>
      <x:c r="I92" s="21"/>
      <x:c r="J92" s="29" t="str">
        <x:f>IF(K92="","",IFERROR(INDEX('04_KE_HOACH_CD'!$I$6:$I$305,MATCH(K92,'04_KE_HOACH_CD'!$G$6:$G$305,0)),""))</x:f>
      </x:c>
      <x:c r="K92" s="29" t="str">
        <x:f>IF(OR(H92="",I92=""),"",H92&amp;"|"&amp;TEXT(I92,"000"))</x:f>
      </x:c>
      <x:c r="L92" s="21"/>
      <x:c r="M92" s="21"/>
      <x:c r="N92" s="21"/>
      <x:c r="O92" s="43"/>
      <x:c r="P92" s="43"/>
      <x:c r="Q92" s="25"/>
      <x:c r="R92" s="25"/>
      <x:c r="S92" s="39" t="str">
        <x:f>IF(A92="","",SUMIF('07_DUNG_CHO'!$B$6:$B$505,A92,'07_DUNG_CHO'!$E$6:$E$505))</x:f>
      </x:c>
      <x:c r="T92" s="39" t="str">
        <x:f>IF(A92="","",IF(N92="SETUP",0,MAX(0,(P92-O92)*1440-Q92-S92)))</x:f>
      </x:c>
      <x:c r="U92" s="25"/>
      <x:c r="V92" s="25"/>
      <x:c r="W92" s="25"/>
      <x:c r="X92" s="25"/>
      <x:c r="Y92" s="25"/>
      <x:c r="Z92" s="25"/>
      <x:c r="AA92" s="39" t="str">
        <x:f>IF(A92="","",U92-SUM(V92,X92:Z92))</x:f>
      </x:c>
      <x:c r="AB92" s="39" t="str">
        <x:f>IF(A92="","",IF(N92="SETUP",IFERROR(INDEX('04_KE_HOACH_CD'!$K$6:$K$305,MATCH(K92,'04_KE_HOACH_CD'!$G$6:$G$305,0)),0),IF(OR(N92="PRODUCTION",N92="REWORK"),IFERROR(INDEX('04_KE_HOACH_CD'!$L$6:$L$305,MATCH(K92,'04_KE_HOACH_CD'!$G$6:$G$305,0))*V92,0),0)))</x:f>
      </x:c>
      <x:c r="AC92" s="39" t="str">
        <x:f>IF(A92="","",MAX(0,(P92-O92)*1440-Q92))</x:f>
      </x:c>
      <x:c r="AD92" s="37" t="str">
        <x:f>IF(A92="","",IFERROR(AB92/AC92,0))</x:f>
      </x:c>
      <x:c r="AE92" s="33" t="str">
        <x:f>IF(A92="","",AC92/60*SUMIF(DM_NHAN_SU!$A$6:$A$105,L92,DM_NHAN_SU!$E$6:$E$105))</x:f>
      </x:c>
      <x:c r="AF92" s="33" t="str">
        <x:f>IF(A92="","",AC92/60*SUMIF(DM_MAY!$A$6:$A$105,M92,DM_MAY!$F$6:$F$105))</x:f>
      </x:c>
      <x:c r="AG92" s="33" t="str">
        <x:f>IF(A92="","",AE92+AF92)</x:f>
      </x:c>
      <x:c r="AH92" s="21"/>
      <x:c r="AI92" s="29" t="str">
        <x:f>IF(A92="","",IF(OR(B92="",D92="",E92="",I92="",L92="",N92="",O92="",P92=""),"Thiếu dữ liệu",IF(AND(OR(N92="PRODUCTION",N92="REWORK",N92="SETUP"),M92=""),"Thiếu máy",IF(P92&lt;O92,"Sai thời gian",IF(AA92&lt;&gt;0,"Sai cân đối SL","Hợp lệ")))))</x:f>
      </x:c>
      <x:c r="AJ92" s="21"/>
    </x:row>
    <x:row r="93">
      <x:c r="A93" s="21"/>
      <x:c r="B93" s="35"/>
      <x:c r="C93" s="21"/>
      <x:c r="D93" s="21"/>
      <x:c r="E93" s="21"/>
      <x:c r="F93" s="21"/>
      <x:c r="G93" s="21"/>
      <x:c r="H93" s="29" t="str">
        <x:f>IF(OR(D93="",E93=""),"",D93&amp;"|"&amp;E93&amp;"|"&amp;IF(F93="","00",F93)&amp;"|"&amp;IF(G93="","01",G93))</x:f>
      </x:c>
      <x:c r="I93" s="21"/>
      <x:c r="J93" s="29" t="str">
        <x:f>IF(K93="","",IFERROR(INDEX('04_KE_HOACH_CD'!$I$6:$I$305,MATCH(K93,'04_KE_HOACH_CD'!$G$6:$G$305,0)),""))</x:f>
      </x:c>
      <x:c r="K93" s="29" t="str">
        <x:f>IF(OR(H93="",I93=""),"",H93&amp;"|"&amp;TEXT(I93,"000"))</x:f>
      </x:c>
      <x:c r="L93" s="21"/>
      <x:c r="M93" s="21"/>
      <x:c r="N93" s="21"/>
      <x:c r="O93" s="43"/>
      <x:c r="P93" s="43"/>
      <x:c r="Q93" s="25"/>
      <x:c r="R93" s="25"/>
      <x:c r="S93" s="39" t="str">
        <x:f>IF(A93="","",SUMIF('07_DUNG_CHO'!$B$6:$B$505,A93,'07_DUNG_CHO'!$E$6:$E$505))</x:f>
      </x:c>
      <x:c r="T93" s="39" t="str">
        <x:f>IF(A93="","",IF(N93="SETUP",0,MAX(0,(P93-O93)*1440-Q93-S93)))</x:f>
      </x:c>
      <x:c r="U93" s="25"/>
      <x:c r="V93" s="25"/>
      <x:c r="W93" s="25"/>
      <x:c r="X93" s="25"/>
      <x:c r="Y93" s="25"/>
      <x:c r="Z93" s="25"/>
      <x:c r="AA93" s="39" t="str">
        <x:f>IF(A93="","",U93-SUM(V93,X93:Z93))</x:f>
      </x:c>
      <x:c r="AB93" s="39" t="str">
        <x:f>IF(A93="","",IF(N93="SETUP",IFERROR(INDEX('04_KE_HOACH_CD'!$K$6:$K$305,MATCH(K93,'04_KE_HOACH_CD'!$G$6:$G$305,0)),0),IF(OR(N93="PRODUCTION",N93="REWORK"),IFERROR(INDEX('04_KE_HOACH_CD'!$L$6:$L$305,MATCH(K93,'04_KE_HOACH_CD'!$G$6:$G$305,0))*V93,0),0)))</x:f>
      </x:c>
      <x:c r="AC93" s="39" t="str">
        <x:f>IF(A93="","",MAX(0,(P93-O93)*1440-Q93))</x:f>
      </x:c>
      <x:c r="AD93" s="37" t="str">
        <x:f>IF(A93="","",IFERROR(AB93/AC93,0))</x:f>
      </x:c>
      <x:c r="AE93" s="33" t="str">
        <x:f>IF(A93="","",AC93/60*SUMIF(DM_NHAN_SU!$A$6:$A$105,L93,DM_NHAN_SU!$E$6:$E$105))</x:f>
      </x:c>
      <x:c r="AF93" s="33" t="str">
        <x:f>IF(A93="","",AC93/60*SUMIF(DM_MAY!$A$6:$A$105,M93,DM_MAY!$F$6:$F$105))</x:f>
      </x:c>
      <x:c r="AG93" s="33" t="str">
        <x:f>IF(A93="","",AE93+AF93)</x:f>
      </x:c>
      <x:c r="AH93" s="21"/>
      <x:c r="AI93" s="29" t="str">
        <x:f>IF(A93="","",IF(OR(B93="",D93="",E93="",I93="",L93="",N93="",O93="",P93=""),"Thiếu dữ liệu",IF(AND(OR(N93="PRODUCTION",N93="REWORK",N93="SETUP"),M93=""),"Thiếu máy",IF(P93&lt;O93,"Sai thời gian",IF(AA93&lt;&gt;0,"Sai cân đối SL","Hợp lệ")))))</x:f>
      </x:c>
      <x:c r="AJ93" s="21"/>
    </x:row>
    <x:row r="94">
      <x:c r="A94" s="21"/>
      <x:c r="B94" s="35"/>
      <x:c r="C94" s="21"/>
      <x:c r="D94" s="21"/>
      <x:c r="E94" s="21"/>
      <x:c r="F94" s="21"/>
      <x:c r="G94" s="21"/>
      <x:c r="H94" s="29" t="str">
        <x:f>IF(OR(D94="",E94=""),"",D94&amp;"|"&amp;E94&amp;"|"&amp;IF(F94="","00",F94)&amp;"|"&amp;IF(G94="","01",G94))</x:f>
      </x:c>
      <x:c r="I94" s="21"/>
      <x:c r="J94" s="29" t="str">
        <x:f>IF(K94="","",IFERROR(INDEX('04_KE_HOACH_CD'!$I$6:$I$305,MATCH(K94,'04_KE_HOACH_CD'!$G$6:$G$305,0)),""))</x:f>
      </x:c>
      <x:c r="K94" s="29" t="str">
        <x:f>IF(OR(H94="",I94=""),"",H94&amp;"|"&amp;TEXT(I94,"000"))</x:f>
      </x:c>
      <x:c r="L94" s="21"/>
      <x:c r="M94" s="21"/>
      <x:c r="N94" s="21"/>
      <x:c r="O94" s="43"/>
      <x:c r="P94" s="43"/>
      <x:c r="Q94" s="25"/>
      <x:c r="R94" s="25"/>
      <x:c r="S94" s="39" t="str">
        <x:f>IF(A94="","",SUMIF('07_DUNG_CHO'!$B$6:$B$505,A94,'07_DUNG_CHO'!$E$6:$E$505))</x:f>
      </x:c>
      <x:c r="T94" s="39" t="str">
        <x:f>IF(A94="","",IF(N94="SETUP",0,MAX(0,(P94-O94)*1440-Q94-S94)))</x:f>
      </x:c>
      <x:c r="U94" s="25"/>
      <x:c r="V94" s="25"/>
      <x:c r="W94" s="25"/>
      <x:c r="X94" s="25"/>
      <x:c r="Y94" s="25"/>
      <x:c r="Z94" s="25"/>
      <x:c r="AA94" s="39" t="str">
        <x:f>IF(A94="","",U94-SUM(V94,X94:Z94))</x:f>
      </x:c>
      <x:c r="AB94" s="39" t="str">
        <x:f>IF(A94="","",IF(N94="SETUP",IFERROR(INDEX('04_KE_HOACH_CD'!$K$6:$K$305,MATCH(K94,'04_KE_HOACH_CD'!$G$6:$G$305,0)),0),IF(OR(N94="PRODUCTION",N94="REWORK"),IFERROR(INDEX('04_KE_HOACH_CD'!$L$6:$L$305,MATCH(K94,'04_KE_HOACH_CD'!$G$6:$G$305,0))*V94,0),0)))</x:f>
      </x:c>
      <x:c r="AC94" s="39" t="str">
        <x:f>IF(A94="","",MAX(0,(P94-O94)*1440-Q94))</x:f>
      </x:c>
      <x:c r="AD94" s="37" t="str">
        <x:f>IF(A94="","",IFERROR(AB94/AC94,0))</x:f>
      </x:c>
      <x:c r="AE94" s="33" t="str">
        <x:f>IF(A94="","",AC94/60*SUMIF(DM_NHAN_SU!$A$6:$A$105,L94,DM_NHAN_SU!$E$6:$E$105))</x:f>
      </x:c>
      <x:c r="AF94" s="33" t="str">
        <x:f>IF(A94="","",AC94/60*SUMIF(DM_MAY!$A$6:$A$105,M94,DM_MAY!$F$6:$F$105))</x:f>
      </x:c>
      <x:c r="AG94" s="33" t="str">
        <x:f>IF(A94="","",AE94+AF94)</x:f>
      </x:c>
      <x:c r="AH94" s="21"/>
      <x:c r="AI94" s="29" t="str">
        <x:f>IF(A94="","",IF(OR(B94="",D94="",E94="",I94="",L94="",N94="",O94="",P94=""),"Thiếu dữ liệu",IF(AND(OR(N94="PRODUCTION",N94="REWORK",N94="SETUP"),M94=""),"Thiếu máy",IF(P94&lt;O94,"Sai thời gian",IF(AA94&lt;&gt;0,"Sai cân đối SL","Hợp lệ")))))</x:f>
      </x:c>
      <x:c r="AJ94" s="21"/>
    </x:row>
    <x:row r="95">
      <x:c r="A95" s="21"/>
      <x:c r="B95" s="35"/>
      <x:c r="C95" s="21"/>
      <x:c r="D95" s="21"/>
      <x:c r="E95" s="21"/>
      <x:c r="F95" s="21"/>
      <x:c r="G95" s="21"/>
      <x:c r="H95" s="29" t="str">
        <x:f>IF(OR(D95="",E95=""),"",D95&amp;"|"&amp;E95&amp;"|"&amp;IF(F95="","00",F95)&amp;"|"&amp;IF(G95="","01",G95))</x:f>
      </x:c>
      <x:c r="I95" s="21"/>
      <x:c r="J95" s="29" t="str">
        <x:f>IF(K95="","",IFERROR(INDEX('04_KE_HOACH_CD'!$I$6:$I$305,MATCH(K95,'04_KE_HOACH_CD'!$G$6:$G$305,0)),""))</x:f>
      </x:c>
      <x:c r="K95" s="29" t="str">
        <x:f>IF(OR(H95="",I95=""),"",H95&amp;"|"&amp;TEXT(I95,"000"))</x:f>
      </x:c>
      <x:c r="L95" s="21"/>
      <x:c r="M95" s="21"/>
      <x:c r="N95" s="21"/>
      <x:c r="O95" s="43"/>
      <x:c r="P95" s="43"/>
      <x:c r="Q95" s="25"/>
      <x:c r="R95" s="25"/>
      <x:c r="S95" s="39" t="str">
        <x:f>IF(A95="","",SUMIF('07_DUNG_CHO'!$B$6:$B$505,A95,'07_DUNG_CHO'!$E$6:$E$505))</x:f>
      </x:c>
      <x:c r="T95" s="39" t="str">
        <x:f>IF(A95="","",IF(N95="SETUP",0,MAX(0,(P95-O95)*1440-Q95-S95)))</x:f>
      </x:c>
      <x:c r="U95" s="25"/>
      <x:c r="V95" s="25"/>
      <x:c r="W95" s="25"/>
      <x:c r="X95" s="25"/>
      <x:c r="Y95" s="25"/>
      <x:c r="Z95" s="25"/>
      <x:c r="AA95" s="39" t="str">
        <x:f>IF(A95="","",U95-SUM(V95,X95:Z95))</x:f>
      </x:c>
      <x:c r="AB95" s="39" t="str">
        <x:f>IF(A95="","",IF(N95="SETUP",IFERROR(INDEX('04_KE_HOACH_CD'!$K$6:$K$305,MATCH(K95,'04_KE_HOACH_CD'!$G$6:$G$305,0)),0),IF(OR(N95="PRODUCTION",N95="REWORK"),IFERROR(INDEX('04_KE_HOACH_CD'!$L$6:$L$305,MATCH(K95,'04_KE_HOACH_CD'!$G$6:$G$305,0))*V95,0),0)))</x:f>
      </x:c>
      <x:c r="AC95" s="39" t="str">
        <x:f>IF(A95="","",MAX(0,(P95-O95)*1440-Q95))</x:f>
      </x:c>
      <x:c r="AD95" s="37" t="str">
        <x:f>IF(A95="","",IFERROR(AB95/AC95,0))</x:f>
      </x:c>
      <x:c r="AE95" s="33" t="str">
        <x:f>IF(A95="","",AC95/60*SUMIF(DM_NHAN_SU!$A$6:$A$105,L95,DM_NHAN_SU!$E$6:$E$105))</x:f>
      </x:c>
      <x:c r="AF95" s="33" t="str">
        <x:f>IF(A95="","",AC95/60*SUMIF(DM_MAY!$A$6:$A$105,M95,DM_MAY!$F$6:$F$105))</x:f>
      </x:c>
      <x:c r="AG95" s="33" t="str">
        <x:f>IF(A95="","",AE95+AF95)</x:f>
      </x:c>
      <x:c r="AH95" s="21"/>
      <x:c r="AI95" s="29" t="str">
        <x:f>IF(A95="","",IF(OR(B95="",D95="",E95="",I95="",L95="",N95="",O95="",P95=""),"Thiếu dữ liệu",IF(AND(OR(N95="PRODUCTION",N95="REWORK",N95="SETUP"),M95=""),"Thiếu máy",IF(P95&lt;O95,"Sai thời gian",IF(AA95&lt;&gt;0,"Sai cân đối SL","Hợp lệ")))))</x:f>
      </x:c>
      <x:c r="AJ95" s="21"/>
    </x:row>
    <x:row r="96">
      <x:c r="A96" s="21"/>
      <x:c r="B96" s="35"/>
      <x:c r="C96" s="21"/>
      <x:c r="D96" s="21"/>
      <x:c r="E96" s="21"/>
      <x:c r="F96" s="21"/>
      <x:c r="G96" s="21"/>
      <x:c r="H96" s="29" t="str">
        <x:f>IF(OR(D96="",E96=""),"",D96&amp;"|"&amp;E96&amp;"|"&amp;IF(F96="","00",F96)&amp;"|"&amp;IF(G96="","01",G96))</x:f>
      </x:c>
      <x:c r="I96" s="21"/>
      <x:c r="J96" s="29" t="str">
        <x:f>IF(K96="","",IFERROR(INDEX('04_KE_HOACH_CD'!$I$6:$I$305,MATCH(K96,'04_KE_HOACH_CD'!$G$6:$G$305,0)),""))</x:f>
      </x:c>
      <x:c r="K96" s="29" t="str">
        <x:f>IF(OR(H96="",I96=""),"",H96&amp;"|"&amp;TEXT(I96,"000"))</x:f>
      </x:c>
      <x:c r="L96" s="21"/>
      <x:c r="M96" s="21"/>
      <x:c r="N96" s="21"/>
      <x:c r="O96" s="43"/>
      <x:c r="P96" s="43"/>
      <x:c r="Q96" s="25"/>
      <x:c r="R96" s="25"/>
      <x:c r="S96" s="39" t="str">
        <x:f>IF(A96="","",SUMIF('07_DUNG_CHO'!$B$6:$B$505,A96,'07_DUNG_CHO'!$E$6:$E$505))</x:f>
      </x:c>
      <x:c r="T96" s="39" t="str">
        <x:f>IF(A96="","",IF(N96="SETUP",0,MAX(0,(P96-O96)*1440-Q96-S96)))</x:f>
      </x:c>
      <x:c r="U96" s="25"/>
      <x:c r="V96" s="25"/>
      <x:c r="W96" s="25"/>
      <x:c r="X96" s="25"/>
      <x:c r="Y96" s="25"/>
      <x:c r="Z96" s="25"/>
      <x:c r="AA96" s="39" t="str">
        <x:f>IF(A96="","",U96-SUM(V96,X96:Z96))</x:f>
      </x:c>
      <x:c r="AB96" s="39" t="str">
        <x:f>IF(A96="","",IF(N96="SETUP",IFERROR(INDEX('04_KE_HOACH_CD'!$K$6:$K$305,MATCH(K96,'04_KE_HOACH_CD'!$G$6:$G$305,0)),0),IF(OR(N96="PRODUCTION",N96="REWORK"),IFERROR(INDEX('04_KE_HOACH_CD'!$L$6:$L$305,MATCH(K96,'04_KE_HOACH_CD'!$G$6:$G$305,0))*V96,0),0)))</x:f>
      </x:c>
      <x:c r="AC96" s="39" t="str">
        <x:f>IF(A96="","",MAX(0,(P96-O96)*1440-Q96))</x:f>
      </x:c>
      <x:c r="AD96" s="37" t="str">
        <x:f>IF(A96="","",IFERROR(AB96/AC96,0))</x:f>
      </x:c>
      <x:c r="AE96" s="33" t="str">
        <x:f>IF(A96="","",AC96/60*SUMIF(DM_NHAN_SU!$A$6:$A$105,L96,DM_NHAN_SU!$E$6:$E$105))</x:f>
      </x:c>
      <x:c r="AF96" s="33" t="str">
        <x:f>IF(A96="","",AC96/60*SUMIF(DM_MAY!$A$6:$A$105,M96,DM_MAY!$F$6:$F$105))</x:f>
      </x:c>
      <x:c r="AG96" s="33" t="str">
        <x:f>IF(A96="","",AE96+AF96)</x:f>
      </x:c>
      <x:c r="AH96" s="21"/>
      <x:c r="AI96" s="29" t="str">
        <x:f>IF(A96="","",IF(OR(B96="",D96="",E96="",I96="",L96="",N96="",O96="",P96=""),"Thiếu dữ liệu",IF(AND(OR(N96="PRODUCTION",N96="REWORK",N96="SETUP"),M96=""),"Thiếu máy",IF(P96&lt;O96,"Sai thời gian",IF(AA96&lt;&gt;0,"Sai cân đối SL","Hợp lệ")))))</x:f>
      </x:c>
      <x:c r="AJ96" s="21"/>
    </x:row>
    <x:row r="97">
      <x:c r="A97" s="21"/>
      <x:c r="B97" s="35"/>
      <x:c r="C97" s="21"/>
      <x:c r="D97" s="21"/>
      <x:c r="E97" s="21"/>
      <x:c r="F97" s="21"/>
      <x:c r="G97" s="21"/>
      <x:c r="H97" s="29" t="str">
        <x:f>IF(OR(D97="",E97=""),"",D97&amp;"|"&amp;E97&amp;"|"&amp;IF(F97="","00",F97)&amp;"|"&amp;IF(G97="","01",G97))</x:f>
      </x:c>
      <x:c r="I97" s="21"/>
      <x:c r="J97" s="29" t="str">
        <x:f>IF(K97="","",IFERROR(INDEX('04_KE_HOACH_CD'!$I$6:$I$305,MATCH(K97,'04_KE_HOACH_CD'!$G$6:$G$305,0)),""))</x:f>
      </x:c>
      <x:c r="K97" s="29" t="str">
        <x:f>IF(OR(H97="",I97=""),"",H97&amp;"|"&amp;TEXT(I97,"000"))</x:f>
      </x:c>
      <x:c r="L97" s="21"/>
      <x:c r="M97" s="21"/>
      <x:c r="N97" s="21"/>
      <x:c r="O97" s="43"/>
      <x:c r="P97" s="43"/>
      <x:c r="Q97" s="25"/>
      <x:c r="R97" s="25"/>
      <x:c r="S97" s="39" t="str">
        <x:f>IF(A97="","",SUMIF('07_DUNG_CHO'!$B$6:$B$505,A97,'07_DUNG_CHO'!$E$6:$E$505))</x:f>
      </x:c>
      <x:c r="T97" s="39" t="str">
        <x:f>IF(A97="","",IF(N97="SETUP",0,MAX(0,(P97-O97)*1440-Q97-S97)))</x:f>
      </x:c>
      <x:c r="U97" s="25"/>
      <x:c r="V97" s="25"/>
      <x:c r="W97" s="25"/>
      <x:c r="X97" s="25"/>
      <x:c r="Y97" s="25"/>
      <x:c r="Z97" s="25"/>
      <x:c r="AA97" s="39" t="str">
        <x:f>IF(A97="","",U97-SUM(V97,X97:Z97))</x:f>
      </x:c>
      <x:c r="AB97" s="39" t="str">
        <x:f>IF(A97="","",IF(N97="SETUP",IFERROR(INDEX('04_KE_HOACH_CD'!$K$6:$K$305,MATCH(K97,'04_KE_HOACH_CD'!$G$6:$G$305,0)),0),IF(OR(N97="PRODUCTION",N97="REWORK"),IFERROR(INDEX('04_KE_HOACH_CD'!$L$6:$L$305,MATCH(K97,'04_KE_HOACH_CD'!$G$6:$G$305,0))*V97,0),0)))</x:f>
      </x:c>
      <x:c r="AC97" s="39" t="str">
        <x:f>IF(A97="","",MAX(0,(P97-O97)*1440-Q97))</x:f>
      </x:c>
      <x:c r="AD97" s="37" t="str">
        <x:f>IF(A97="","",IFERROR(AB97/AC97,0))</x:f>
      </x:c>
      <x:c r="AE97" s="33" t="str">
        <x:f>IF(A97="","",AC97/60*SUMIF(DM_NHAN_SU!$A$6:$A$105,L97,DM_NHAN_SU!$E$6:$E$105))</x:f>
      </x:c>
      <x:c r="AF97" s="33" t="str">
        <x:f>IF(A97="","",AC97/60*SUMIF(DM_MAY!$A$6:$A$105,M97,DM_MAY!$F$6:$F$105))</x:f>
      </x:c>
      <x:c r="AG97" s="33" t="str">
        <x:f>IF(A97="","",AE97+AF97)</x:f>
      </x:c>
      <x:c r="AH97" s="21"/>
      <x:c r="AI97" s="29" t="str">
        <x:f>IF(A97="","",IF(OR(B97="",D97="",E97="",I97="",L97="",N97="",O97="",P97=""),"Thiếu dữ liệu",IF(AND(OR(N97="PRODUCTION",N97="REWORK",N97="SETUP"),M97=""),"Thiếu máy",IF(P97&lt;O97,"Sai thời gian",IF(AA97&lt;&gt;0,"Sai cân đối SL","Hợp lệ")))))</x:f>
      </x:c>
      <x:c r="AJ97" s="21"/>
    </x:row>
    <x:row r="98">
      <x:c r="A98" s="21"/>
      <x:c r="B98" s="35"/>
      <x:c r="C98" s="21"/>
      <x:c r="D98" s="21"/>
      <x:c r="E98" s="21"/>
      <x:c r="F98" s="21"/>
      <x:c r="G98" s="21"/>
      <x:c r="H98" s="29" t="str">
        <x:f>IF(OR(D98="",E98=""),"",D98&amp;"|"&amp;E98&amp;"|"&amp;IF(F98="","00",F98)&amp;"|"&amp;IF(G98="","01",G98))</x:f>
      </x:c>
      <x:c r="I98" s="21"/>
      <x:c r="J98" s="29" t="str">
        <x:f>IF(K98="","",IFERROR(INDEX('04_KE_HOACH_CD'!$I$6:$I$305,MATCH(K98,'04_KE_HOACH_CD'!$G$6:$G$305,0)),""))</x:f>
      </x:c>
      <x:c r="K98" s="29" t="str">
        <x:f>IF(OR(H98="",I98=""),"",H98&amp;"|"&amp;TEXT(I98,"000"))</x:f>
      </x:c>
      <x:c r="L98" s="21"/>
      <x:c r="M98" s="21"/>
      <x:c r="N98" s="21"/>
      <x:c r="O98" s="43"/>
      <x:c r="P98" s="43"/>
      <x:c r="Q98" s="25"/>
      <x:c r="R98" s="25"/>
      <x:c r="S98" s="39" t="str">
        <x:f>IF(A98="","",SUMIF('07_DUNG_CHO'!$B$6:$B$505,A98,'07_DUNG_CHO'!$E$6:$E$505))</x:f>
      </x:c>
      <x:c r="T98" s="39" t="str">
        <x:f>IF(A98="","",IF(N98="SETUP",0,MAX(0,(P98-O98)*1440-Q98-S98)))</x:f>
      </x:c>
      <x:c r="U98" s="25"/>
      <x:c r="V98" s="25"/>
      <x:c r="W98" s="25"/>
      <x:c r="X98" s="25"/>
      <x:c r="Y98" s="25"/>
      <x:c r="Z98" s="25"/>
      <x:c r="AA98" s="39" t="str">
        <x:f>IF(A98="","",U98-SUM(V98,X98:Z98))</x:f>
      </x:c>
      <x:c r="AB98" s="39" t="str">
        <x:f>IF(A98="","",IF(N98="SETUP",IFERROR(INDEX('04_KE_HOACH_CD'!$K$6:$K$305,MATCH(K98,'04_KE_HOACH_CD'!$G$6:$G$305,0)),0),IF(OR(N98="PRODUCTION",N98="REWORK"),IFERROR(INDEX('04_KE_HOACH_CD'!$L$6:$L$305,MATCH(K98,'04_KE_HOACH_CD'!$G$6:$G$305,0))*V98,0),0)))</x:f>
      </x:c>
      <x:c r="AC98" s="39" t="str">
        <x:f>IF(A98="","",MAX(0,(P98-O98)*1440-Q98))</x:f>
      </x:c>
      <x:c r="AD98" s="37" t="str">
        <x:f>IF(A98="","",IFERROR(AB98/AC98,0))</x:f>
      </x:c>
      <x:c r="AE98" s="33" t="str">
        <x:f>IF(A98="","",AC98/60*SUMIF(DM_NHAN_SU!$A$6:$A$105,L98,DM_NHAN_SU!$E$6:$E$105))</x:f>
      </x:c>
      <x:c r="AF98" s="33" t="str">
        <x:f>IF(A98="","",AC98/60*SUMIF(DM_MAY!$A$6:$A$105,M98,DM_MAY!$F$6:$F$105))</x:f>
      </x:c>
      <x:c r="AG98" s="33" t="str">
        <x:f>IF(A98="","",AE98+AF98)</x:f>
      </x:c>
      <x:c r="AH98" s="21"/>
      <x:c r="AI98" s="29" t="str">
        <x:f>IF(A98="","",IF(OR(B98="",D98="",E98="",I98="",L98="",N98="",O98="",P98=""),"Thiếu dữ liệu",IF(AND(OR(N98="PRODUCTION",N98="REWORK",N98="SETUP"),M98=""),"Thiếu máy",IF(P98&lt;O98,"Sai thời gian",IF(AA98&lt;&gt;0,"Sai cân đối SL","Hợp lệ")))))</x:f>
      </x:c>
      <x:c r="AJ98" s="21"/>
    </x:row>
    <x:row r="99">
      <x:c r="A99" s="21"/>
      <x:c r="B99" s="35"/>
      <x:c r="C99" s="21"/>
      <x:c r="D99" s="21"/>
      <x:c r="E99" s="21"/>
      <x:c r="F99" s="21"/>
      <x:c r="G99" s="21"/>
      <x:c r="H99" s="29" t="str">
        <x:f>IF(OR(D99="",E99=""),"",D99&amp;"|"&amp;E99&amp;"|"&amp;IF(F99="","00",F99)&amp;"|"&amp;IF(G99="","01",G99))</x:f>
      </x:c>
      <x:c r="I99" s="21"/>
      <x:c r="J99" s="29" t="str">
        <x:f>IF(K99="","",IFERROR(INDEX('04_KE_HOACH_CD'!$I$6:$I$305,MATCH(K99,'04_KE_HOACH_CD'!$G$6:$G$305,0)),""))</x:f>
      </x:c>
      <x:c r="K99" s="29" t="str">
        <x:f>IF(OR(H99="",I99=""),"",H99&amp;"|"&amp;TEXT(I99,"000"))</x:f>
      </x:c>
      <x:c r="L99" s="21"/>
      <x:c r="M99" s="21"/>
      <x:c r="N99" s="21"/>
      <x:c r="O99" s="43"/>
      <x:c r="P99" s="43"/>
      <x:c r="Q99" s="25"/>
      <x:c r="R99" s="25"/>
      <x:c r="S99" s="39" t="str">
        <x:f>IF(A99="","",SUMIF('07_DUNG_CHO'!$B$6:$B$505,A99,'07_DUNG_CHO'!$E$6:$E$505))</x:f>
      </x:c>
      <x:c r="T99" s="39" t="str">
        <x:f>IF(A99="","",IF(N99="SETUP",0,MAX(0,(P99-O99)*1440-Q99-S99)))</x:f>
      </x:c>
      <x:c r="U99" s="25"/>
      <x:c r="V99" s="25"/>
      <x:c r="W99" s="25"/>
      <x:c r="X99" s="25"/>
      <x:c r="Y99" s="25"/>
      <x:c r="Z99" s="25"/>
      <x:c r="AA99" s="39" t="str">
        <x:f>IF(A99="","",U99-SUM(V99,X99:Z99))</x:f>
      </x:c>
      <x:c r="AB99" s="39" t="str">
        <x:f>IF(A99="","",IF(N99="SETUP",IFERROR(INDEX('04_KE_HOACH_CD'!$K$6:$K$305,MATCH(K99,'04_KE_HOACH_CD'!$G$6:$G$305,0)),0),IF(OR(N99="PRODUCTION",N99="REWORK"),IFERROR(INDEX('04_KE_HOACH_CD'!$L$6:$L$305,MATCH(K99,'04_KE_HOACH_CD'!$G$6:$G$305,0))*V99,0),0)))</x:f>
      </x:c>
      <x:c r="AC99" s="39" t="str">
        <x:f>IF(A99="","",MAX(0,(P99-O99)*1440-Q99))</x:f>
      </x:c>
      <x:c r="AD99" s="37" t="str">
        <x:f>IF(A99="","",IFERROR(AB99/AC99,0))</x:f>
      </x:c>
      <x:c r="AE99" s="33" t="str">
        <x:f>IF(A99="","",AC99/60*SUMIF(DM_NHAN_SU!$A$6:$A$105,L99,DM_NHAN_SU!$E$6:$E$105))</x:f>
      </x:c>
      <x:c r="AF99" s="33" t="str">
        <x:f>IF(A99="","",AC99/60*SUMIF(DM_MAY!$A$6:$A$105,M99,DM_MAY!$F$6:$F$105))</x:f>
      </x:c>
      <x:c r="AG99" s="33" t="str">
        <x:f>IF(A99="","",AE99+AF99)</x:f>
      </x:c>
      <x:c r="AH99" s="21"/>
      <x:c r="AI99" s="29" t="str">
        <x:f>IF(A99="","",IF(OR(B99="",D99="",E99="",I99="",L99="",N99="",O99="",P99=""),"Thiếu dữ liệu",IF(AND(OR(N99="PRODUCTION",N99="REWORK",N99="SETUP"),M99=""),"Thiếu máy",IF(P99&lt;O99,"Sai thời gian",IF(AA99&lt;&gt;0,"Sai cân đối SL","Hợp lệ")))))</x:f>
      </x:c>
      <x:c r="AJ99" s="21"/>
    </x:row>
    <x:row r="100">
      <x:c r="A100" s="21"/>
      <x:c r="B100" s="35"/>
      <x:c r="C100" s="21"/>
      <x:c r="D100" s="21"/>
      <x:c r="E100" s="21"/>
      <x:c r="F100" s="21"/>
      <x:c r="G100" s="21"/>
      <x:c r="H100" s="29" t="str">
        <x:f>IF(OR(D100="",E100=""),"",D100&amp;"|"&amp;E100&amp;"|"&amp;IF(F100="","00",F100)&amp;"|"&amp;IF(G100="","01",G100))</x:f>
      </x:c>
      <x:c r="I100" s="21"/>
      <x:c r="J100" s="29" t="str">
        <x:f>IF(K100="","",IFERROR(INDEX('04_KE_HOACH_CD'!$I$6:$I$305,MATCH(K100,'04_KE_HOACH_CD'!$G$6:$G$305,0)),""))</x:f>
      </x:c>
      <x:c r="K100" s="29" t="str">
        <x:f>IF(OR(H100="",I100=""),"",H100&amp;"|"&amp;TEXT(I100,"000"))</x:f>
      </x:c>
      <x:c r="L100" s="21"/>
      <x:c r="M100" s="21"/>
      <x:c r="N100" s="21"/>
      <x:c r="O100" s="43"/>
      <x:c r="P100" s="43"/>
      <x:c r="Q100" s="25"/>
      <x:c r="R100" s="25"/>
      <x:c r="S100" s="39" t="str">
        <x:f>IF(A100="","",SUMIF('07_DUNG_CHO'!$B$6:$B$505,A100,'07_DUNG_CHO'!$E$6:$E$505))</x:f>
      </x:c>
      <x:c r="T100" s="39" t="str">
        <x:f>IF(A100="","",IF(N100="SETUP",0,MAX(0,(P100-O100)*1440-Q100-S100)))</x:f>
      </x:c>
      <x:c r="U100" s="25"/>
      <x:c r="V100" s="25"/>
      <x:c r="W100" s="25"/>
      <x:c r="X100" s="25"/>
      <x:c r="Y100" s="25"/>
      <x:c r="Z100" s="25"/>
      <x:c r="AA100" s="39" t="str">
        <x:f>IF(A100="","",U100-SUM(V100,X100:Z100))</x:f>
      </x:c>
      <x:c r="AB100" s="39" t="str">
        <x:f>IF(A100="","",IF(N100="SETUP",IFERROR(INDEX('04_KE_HOACH_CD'!$K$6:$K$305,MATCH(K100,'04_KE_HOACH_CD'!$G$6:$G$305,0)),0),IF(OR(N100="PRODUCTION",N100="REWORK"),IFERROR(INDEX('04_KE_HOACH_CD'!$L$6:$L$305,MATCH(K100,'04_KE_HOACH_CD'!$G$6:$G$305,0))*V100,0),0)))</x:f>
      </x:c>
      <x:c r="AC100" s="39" t="str">
        <x:f>IF(A100="","",MAX(0,(P100-O100)*1440-Q100))</x:f>
      </x:c>
      <x:c r="AD100" s="37" t="str">
        <x:f>IF(A100="","",IFERROR(AB100/AC100,0))</x:f>
      </x:c>
      <x:c r="AE100" s="33" t="str">
        <x:f>IF(A100="","",AC100/60*SUMIF(DM_NHAN_SU!$A$6:$A$105,L100,DM_NHAN_SU!$E$6:$E$105))</x:f>
      </x:c>
      <x:c r="AF100" s="33" t="str">
        <x:f>IF(A100="","",AC100/60*SUMIF(DM_MAY!$A$6:$A$105,M100,DM_MAY!$F$6:$F$105))</x:f>
      </x:c>
      <x:c r="AG100" s="33" t="str">
        <x:f>IF(A100="","",AE100+AF100)</x:f>
      </x:c>
      <x:c r="AH100" s="21"/>
      <x:c r="AI100" s="29" t="str">
        <x:f>IF(A100="","",IF(OR(B100="",D100="",E100="",I100="",L100="",N100="",O100="",P100=""),"Thiếu dữ liệu",IF(AND(OR(N100="PRODUCTION",N100="REWORK",N100="SETUP"),M100=""),"Thiếu máy",IF(P100&lt;O100,"Sai thời gian",IF(AA100&lt;&gt;0,"Sai cân đối SL","Hợp lệ")))))</x:f>
      </x:c>
      <x:c r="AJ100" s="21"/>
    </x:row>
    <x:row r="101">
      <x:c r="A101" s="21"/>
      <x:c r="B101" s="35"/>
      <x:c r="C101" s="21"/>
      <x:c r="D101" s="21"/>
      <x:c r="E101" s="21"/>
      <x:c r="F101" s="21"/>
      <x:c r="G101" s="21"/>
      <x:c r="H101" s="29" t="str">
        <x:f>IF(OR(D101="",E101=""),"",D101&amp;"|"&amp;E101&amp;"|"&amp;IF(F101="","00",F101)&amp;"|"&amp;IF(G101="","01",G101))</x:f>
      </x:c>
      <x:c r="I101" s="21"/>
      <x:c r="J101" s="29" t="str">
        <x:f>IF(K101="","",IFERROR(INDEX('04_KE_HOACH_CD'!$I$6:$I$305,MATCH(K101,'04_KE_HOACH_CD'!$G$6:$G$305,0)),""))</x:f>
      </x:c>
      <x:c r="K101" s="29" t="str">
        <x:f>IF(OR(H101="",I101=""),"",H101&amp;"|"&amp;TEXT(I101,"000"))</x:f>
      </x:c>
      <x:c r="L101" s="21"/>
      <x:c r="M101" s="21"/>
      <x:c r="N101" s="21"/>
      <x:c r="O101" s="43"/>
      <x:c r="P101" s="43"/>
      <x:c r="Q101" s="25"/>
      <x:c r="R101" s="25"/>
      <x:c r="S101" s="39" t="str">
        <x:f>IF(A101="","",SUMIF('07_DUNG_CHO'!$B$6:$B$505,A101,'07_DUNG_CHO'!$E$6:$E$505))</x:f>
      </x:c>
      <x:c r="T101" s="39" t="str">
        <x:f>IF(A101="","",IF(N101="SETUP",0,MAX(0,(P101-O101)*1440-Q101-S101)))</x:f>
      </x:c>
      <x:c r="U101" s="25"/>
      <x:c r="V101" s="25"/>
      <x:c r="W101" s="25"/>
      <x:c r="X101" s="25"/>
      <x:c r="Y101" s="25"/>
      <x:c r="Z101" s="25"/>
      <x:c r="AA101" s="39" t="str">
        <x:f>IF(A101="","",U101-SUM(V101,X101:Z101))</x:f>
      </x:c>
      <x:c r="AB101" s="39" t="str">
        <x:f>IF(A101="","",IF(N101="SETUP",IFERROR(INDEX('04_KE_HOACH_CD'!$K$6:$K$305,MATCH(K101,'04_KE_HOACH_CD'!$G$6:$G$305,0)),0),IF(OR(N101="PRODUCTION",N101="REWORK"),IFERROR(INDEX('04_KE_HOACH_CD'!$L$6:$L$305,MATCH(K101,'04_KE_HOACH_CD'!$G$6:$G$305,0))*V101,0),0)))</x:f>
      </x:c>
      <x:c r="AC101" s="39" t="str">
        <x:f>IF(A101="","",MAX(0,(P101-O101)*1440-Q101))</x:f>
      </x:c>
      <x:c r="AD101" s="37" t="str">
        <x:f>IF(A101="","",IFERROR(AB101/AC101,0))</x:f>
      </x:c>
      <x:c r="AE101" s="33" t="str">
        <x:f>IF(A101="","",AC101/60*SUMIF(DM_NHAN_SU!$A$6:$A$105,L101,DM_NHAN_SU!$E$6:$E$105))</x:f>
      </x:c>
      <x:c r="AF101" s="33" t="str">
        <x:f>IF(A101="","",AC101/60*SUMIF(DM_MAY!$A$6:$A$105,M101,DM_MAY!$F$6:$F$105))</x:f>
      </x:c>
      <x:c r="AG101" s="33" t="str">
        <x:f>IF(A101="","",AE101+AF101)</x:f>
      </x:c>
      <x:c r="AH101" s="21"/>
      <x:c r="AI101" s="29" t="str">
        <x:f>IF(A101="","",IF(OR(B101="",D101="",E101="",I101="",L101="",N101="",O101="",P101=""),"Thiếu dữ liệu",IF(AND(OR(N101="PRODUCTION",N101="REWORK",N101="SETUP"),M101=""),"Thiếu máy",IF(P101&lt;O101,"Sai thời gian",IF(AA101&lt;&gt;0,"Sai cân đối SL","Hợp lệ")))))</x:f>
      </x:c>
      <x:c r="AJ101" s="21"/>
    </x:row>
    <x:row r="102">
      <x:c r="A102" s="21"/>
      <x:c r="B102" s="35"/>
      <x:c r="C102" s="21"/>
      <x:c r="D102" s="21"/>
      <x:c r="E102" s="21"/>
      <x:c r="F102" s="21"/>
      <x:c r="G102" s="21"/>
      <x:c r="H102" s="29" t="str">
        <x:f>IF(OR(D102="",E102=""),"",D102&amp;"|"&amp;E102&amp;"|"&amp;IF(F102="","00",F102)&amp;"|"&amp;IF(G102="","01",G102))</x:f>
      </x:c>
      <x:c r="I102" s="21"/>
      <x:c r="J102" s="29" t="str">
        <x:f>IF(K102="","",IFERROR(INDEX('04_KE_HOACH_CD'!$I$6:$I$305,MATCH(K102,'04_KE_HOACH_CD'!$G$6:$G$305,0)),""))</x:f>
      </x:c>
      <x:c r="K102" s="29" t="str">
        <x:f>IF(OR(H102="",I102=""),"",H102&amp;"|"&amp;TEXT(I102,"000"))</x:f>
      </x:c>
      <x:c r="L102" s="21"/>
      <x:c r="M102" s="21"/>
      <x:c r="N102" s="21"/>
      <x:c r="O102" s="43"/>
      <x:c r="P102" s="43"/>
      <x:c r="Q102" s="25"/>
      <x:c r="R102" s="25"/>
      <x:c r="S102" s="39" t="str">
        <x:f>IF(A102="","",SUMIF('07_DUNG_CHO'!$B$6:$B$505,A102,'07_DUNG_CHO'!$E$6:$E$505))</x:f>
      </x:c>
      <x:c r="T102" s="39" t="str">
        <x:f>IF(A102="","",IF(N102="SETUP",0,MAX(0,(P102-O102)*1440-Q102-S102)))</x:f>
      </x:c>
      <x:c r="U102" s="25"/>
      <x:c r="V102" s="25"/>
      <x:c r="W102" s="25"/>
      <x:c r="X102" s="25"/>
      <x:c r="Y102" s="25"/>
      <x:c r="Z102" s="25"/>
      <x:c r="AA102" s="39" t="str">
        <x:f>IF(A102="","",U102-SUM(V102,X102:Z102))</x:f>
      </x:c>
      <x:c r="AB102" s="39" t="str">
        <x:f>IF(A102="","",IF(N102="SETUP",IFERROR(INDEX('04_KE_HOACH_CD'!$K$6:$K$305,MATCH(K102,'04_KE_HOACH_CD'!$G$6:$G$305,0)),0),IF(OR(N102="PRODUCTION",N102="REWORK"),IFERROR(INDEX('04_KE_HOACH_CD'!$L$6:$L$305,MATCH(K102,'04_KE_HOACH_CD'!$G$6:$G$305,0))*V102,0),0)))</x:f>
      </x:c>
      <x:c r="AC102" s="39" t="str">
        <x:f>IF(A102="","",MAX(0,(P102-O102)*1440-Q102))</x:f>
      </x:c>
      <x:c r="AD102" s="37" t="str">
        <x:f>IF(A102="","",IFERROR(AB102/AC102,0))</x:f>
      </x:c>
      <x:c r="AE102" s="33" t="str">
        <x:f>IF(A102="","",AC102/60*SUMIF(DM_NHAN_SU!$A$6:$A$105,L102,DM_NHAN_SU!$E$6:$E$105))</x:f>
      </x:c>
      <x:c r="AF102" s="33" t="str">
        <x:f>IF(A102="","",AC102/60*SUMIF(DM_MAY!$A$6:$A$105,M102,DM_MAY!$F$6:$F$105))</x:f>
      </x:c>
      <x:c r="AG102" s="33" t="str">
        <x:f>IF(A102="","",AE102+AF102)</x:f>
      </x:c>
      <x:c r="AH102" s="21"/>
      <x:c r="AI102" s="29" t="str">
        <x:f>IF(A102="","",IF(OR(B102="",D102="",E102="",I102="",L102="",N102="",O102="",P102=""),"Thiếu dữ liệu",IF(AND(OR(N102="PRODUCTION",N102="REWORK",N102="SETUP"),M102=""),"Thiếu máy",IF(P102&lt;O102,"Sai thời gian",IF(AA102&lt;&gt;0,"Sai cân đối SL","Hợp lệ")))))</x:f>
      </x:c>
      <x:c r="AJ102" s="21"/>
    </x:row>
    <x:row r="103">
      <x:c r="A103" s="21"/>
      <x:c r="B103" s="35"/>
      <x:c r="C103" s="21"/>
      <x:c r="D103" s="21"/>
      <x:c r="E103" s="21"/>
      <x:c r="F103" s="21"/>
      <x:c r="G103" s="21"/>
      <x:c r="H103" s="29" t="str">
        <x:f>IF(OR(D103="",E103=""),"",D103&amp;"|"&amp;E103&amp;"|"&amp;IF(F103="","00",F103)&amp;"|"&amp;IF(G103="","01",G103))</x:f>
      </x:c>
      <x:c r="I103" s="21"/>
      <x:c r="J103" s="29" t="str">
        <x:f>IF(K103="","",IFERROR(INDEX('04_KE_HOACH_CD'!$I$6:$I$305,MATCH(K103,'04_KE_HOACH_CD'!$G$6:$G$305,0)),""))</x:f>
      </x:c>
      <x:c r="K103" s="29" t="str">
        <x:f>IF(OR(H103="",I103=""),"",H103&amp;"|"&amp;TEXT(I103,"000"))</x:f>
      </x:c>
      <x:c r="L103" s="21"/>
      <x:c r="M103" s="21"/>
      <x:c r="N103" s="21"/>
      <x:c r="O103" s="43"/>
      <x:c r="P103" s="43"/>
      <x:c r="Q103" s="25"/>
      <x:c r="R103" s="25"/>
      <x:c r="S103" s="39" t="str">
        <x:f>IF(A103="","",SUMIF('07_DUNG_CHO'!$B$6:$B$505,A103,'07_DUNG_CHO'!$E$6:$E$505))</x:f>
      </x:c>
      <x:c r="T103" s="39" t="str">
        <x:f>IF(A103="","",IF(N103="SETUP",0,MAX(0,(P103-O103)*1440-Q103-S103)))</x:f>
      </x:c>
      <x:c r="U103" s="25"/>
      <x:c r="V103" s="25"/>
      <x:c r="W103" s="25"/>
      <x:c r="X103" s="25"/>
      <x:c r="Y103" s="25"/>
      <x:c r="Z103" s="25"/>
      <x:c r="AA103" s="39" t="str">
        <x:f>IF(A103="","",U103-SUM(V103,X103:Z103))</x:f>
      </x:c>
      <x:c r="AB103" s="39" t="str">
        <x:f>IF(A103="","",IF(N103="SETUP",IFERROR(INDEX('04_KE_HOACH_CD'!$K$6:$K$305,MATCH(K103,'04_KE_HOACH_CD'!$G$6:$G$305,0)),0),IF(OR(N103="PRODUCTION",N103="REWORK"),IFERROR(INDEX('04_KE_HOACH_CD'!$L$6:$L$305,MATCH(K103,'04_KE_HOACH_CD'!$G$6:$G$305,0))*V103,0),0)))</x:f>
      </x:c>
      <x:c r="AC103" s="39" t="str">
        <x:f>IF(A103="","",MAX(0,(P103-O103)*1440-Q103))</x:f>
      </x:c>
      <x:c r="AD103" s="37" t="str">
        <x:f>IF(A103="","",IFERROR(AB103/AC103,0))</x:f>
      </x:c>
      <x:c r="AE103" s="33" t="str">
        <x:f>IF(A103="","",AC103/60*SUMIF(DM_NHAN_SU!$A$6:$A$105,L103,DM_NHAN_SU!$E$6:$E$105))</x:f>
      </x:c>
      <x:c r="AF103" s="33" t="str">
        <x:f>IF(A103="","",AC103/60*SUMIF(DM_MAY!$A$6:$A$105,M103,DM_MAY!$F$6:$F$105))</x:f>
      </x:c>
      <x:c r="AG103" s="33" t="str">
        <x:f>IF(A103="","",AE103+AF103)</x:f>
      </x:c>
      <x:c r="AH103" s="21"/>
      <x:c r="AI103" s="29" t="str">
        <x:f>IF(A103="","",IF(OR(B103="",D103="",E103="",I103="",L103="",N103="",O103="",P103=""),"Thiếu dữ liệu",IF(AND(OR(N103="PRODUCTION",N103="REWORK",N103="SETUP"),M103=""),"Thiếu máy",IF(P103&lt;O103,"Sai thời gian",IF(AA103&lt;&gt;0,"Sai cân đối SL","Hợp lệ")))))</x:f>
      </x:c>
      <x:c r="AJ103" s="21"/>
    </x:row>
    <x:row r="104">
      <x:c r="A104" s="21"/>
      <x:c r="B104" s="35"/>
      <x:c r="C104" s="21"/>
      <x:c r="D104" s="21"/>
      <x:c r="E104" s="21"/>
      <x:c r="F104" s="21"/>
      <x:c r="G104" s="21"/>
      <x:c r="H104" s="29" t="str">
        <x:f>IF(OR(D104="",E104=""),"",D104&amp;"|"&amp;E104&amp;"|"&amp;IF(F104="","00",F104)&amp;"|"&amp;IF(G104="","01",G104))</x:f>
      </x:c>
      <x:c r="I104" s="21"/>
      <x:c r="J104" s="29" t="str">
        <x:f>IF(K104="","",IFERROR(INDEX('04_KE_HOACH_CD'!$I$6:$I$305,MATCH(K104,'04_KE_HOACH_CD'!$G$6:$G$305,0)),""))</x:f>
      </x:c>
      <x:c r="K104" s="29" t="str">
        <x:f>IF(OR(H104="",I104=""),"",H104&amp;"|"&amp;TEXT(I104,"000"))</x:f>
      </x:c>
      <x:c r="L104" s="21"/>
      <x:c r="M104" s="21"/>
      <x:c r="N104" s="21"/>
      <x:c r="O104" s="43"/>
      <x:c r="P104" s="43"/>
      <x:c r="Q104" s="25"/>
      <x:c r="R104" s="25"/>
      <x:c r="S104" s="39" t="str">
        <x:f>IF(A104="","",SUMIF('07_DUNG_CHO'!$B$6:$B$505,A104,'07_DUNG_CHO'!$E$6:$E$505))</x:f>
      </x:c>
      <x:c r="T104" s="39" t="str">
        <x:f>IF(A104="","",IF(N104="SETUP",0,MAX(0,(P104-O104)*1440-Q104-S104)))</x:f>
      </x:c>
      <x:c r="U104" s="25"/>
      <x:c r="V104" s="25"/>
      <x:c r="W104" s="25"/>
      <x:c r="X104" s="25"/>
      <x:c r="Y104" s="25"/>
      <x:c r="Z104" s="25"/>
      <x:c r="AA104" s="39" t="str">
        <x:f>IF(A104="","",U104-SUM(V104,X104:Z104))</x:f>
      </x:c>
      <x:c r="AB104" s="39" t="str">
        <x:f>IF(A104="","",IF(N104="SETUP",IFERROR(INDEX('04_KE_HOACH_CD'!$K$6:$K$305,MATCH(K104,'04_KE_HOACH_CD'!$G$6:$G$305,0)),0),IF(OR(N104="PRODUCTION",N104="REWORK"),IFERROR(INDEX('04_KE_HOACH_CD'!$L$6:$L$305,MATCH(K104,'04_KE_HOACH_CD'!$G$6:$G$305,0))*V104,0),0)))</x:f>
      </x:c>
      <x:c r="AC104" s="39" t="str">
        <x:f>IF(A104="","",MAX(0,(P104-O104)*1440-Q104))</x:f>
      </x:c>
      <x:c r="AD104" s="37" t="str">
        <x:f>IF(A104="","",IFERROR(AB104/AC104,0))</x:f>
      </x:c>
      <x:c r="AE104" s="33" t="str">
        <x:f>IF(A104="","",AC104/60*SUMIF(DM_NHAN_SU!$A$6:$A$105,L104,DM_NHAN_SU!$E$6:$E$105))</x:f>
      </x:c>
      <x:c r="AF104" s="33" t="str">
        <x:f>IF(A104="","",AC104/60*SUMIF(DM_MAY!$A$6:$A$105,M104,DM_MAY!$F$6:$F$105))</x:f>
      </x:c>
      <x:c r="AG104" s="33" t="str">
        <x:f>IF(A104="","",AE104+AF104)</x:f>
      </x:c>
      <x:c r="AH104" s="21"/>
      <x:c r="AI104" s="29" t="str">
        <x:f>IF(A104="","",IF(OR(B104="",D104="",E104="",I104="",L104="",N104="",O104="",P104=""),"Thiếu dữ liệu",IF(AND(OR(N104="PRODUCTION",N104="REWORK",N104="SETUP"),M104=""),"Thiếu máy",IF(P104&lt;O104,"Sai thời gian",IF(AA104&lt;&gt;0,"Sai cân đối SL","Hợp lệ")))))</x:f>
      </x:c>
      <x:c r="AJ104" s="21"/>
    </x:row>
    <x:row r="105">
      <x:c r="A105" s="21"/>
      <x:c r="B105" s="35"/>
      <x:c r="C105" s="21"/>
      <x:c r="D105" s="21"/>
      <x:c r="E105" s="21"/>
      <x:c r="F105" s="21"/>
      <x:c r="G105" s="21"/>
      <x:c r="H105" s="29" t="str">
        <x:f>IF(OR(D105="",E105=""),"",D105&amp;"|"&amp;E105&amp;"|"&amp;IF(F105="","00",F105)&amp;"|"&amp;IF(G105="","01",G105))</x:f>
      </x:c>
      <x:c r="I105" s="21"/>
      <x:c r="J105" s="29" t="str">
        <x:f>IF(K105="","",IFERROR(INDEX('04_KE_HOACH_CD'!$I$6:$I$305,MATCH(K105,'04_KE_HOACH_CD'!$G$6:$G$305,0)),""))</x:f>
      </x:c>
      <x:c r="K105" s="29" t="str">
        <x:f>IF(OR(H105="",I105=""),"",H105&amp;"|"&amp;TEXT(I105,"000"))</x:f>
      </x:c>
      <x:c r="L105" s="21"/>
      <x:c r="M105" s="21"/>
      <x:c r="N105" s="21"/>
      <x:c r="O105" s="43"/>
      <x:c r="P105" s="43"/>
      <x:c r="Q105" s="25"/>
      <x:c r="R105" s="25"/>
      <x:c r="S105" s="39" t="str">
        <x:f>IF(A105="","",SUMIF('07_DUNG_CHO'!$B$6:$B$505,A105,'07_DUNG_CHO'!$E$6:$E$505))</x:f>
      </x:c>
      <x:c r="T105" s="39" t="str">
        <x:f>IF(A105="","",IF(N105="SETUP",0,MAX(0,(P105-O105)*1440-Q105-S105)))</x:f>
      </x:c>
      <x:c r="U105" s="25"/>
      <x:c r="V105" s="25"/>
      <x:c r="W105" s="25"/>
      <x:c r="X105" s="25"/>
      <x:c r="Y105" s="25"/>
      <x:c r="Z105" s="25"/>
      <x:c r="AA105" s="39" t="str">
        <x:f>IF(A105="","",U105-SUM(V105,X105:Z105))</x:f>
      </x:c>
      <x:c r="AB105" s="39" t="str">
        <x:f>IF(A105="","",IF(N105="SETUP",IFERROR(INDEX('04_KE_HOACH_CD'!$K$6:$K$305,MATCH(K105,'04_KE_HOACH_CD'!$G$6:$G$305,0)),0),IF(OR(N105="PRODUCTION",N105="REWORK"),IFERROR(INDEX('04_KE_HOACH_CD'!$L$6:$L$305,MATCH(K105,'04_KE_HOACH_CD'!$G$6:$G$305,0))*V105,0),0)))</x:f>
      </x:c>
      <x:c r="AC105" s="39" t="str">
        <x:f>IF(A105="","",MAX(0,(P105-O105)*1440-Q105))</x:f>
      </x:c>
      <x:c r="AD105" s="37" t="str">
        <x:f>IF(A105="","",IFERROR(AB105/AC105,0))</x:f>
      </x:c>
      <x:c r="AE105" s="33" t="str">
        <x:f>IF(A105="","",AC105/60*SUMIF(DM_NHAN_SU!$A$6:$A$105,L105,DM_NHAN_SU!$E$6:$E$105))</x:f>
      </x:c>
      <x:c r="AF105" s="33" t="str">
        <x:f>IF(A105="","",AC105/60*SUMIF(DM_MAY!$A$6:$A$105,M105,DM_MAY!$F$6:$F$105))</x:f>
      </x:c>
      <x:c r="AG105" s="33" t="str">
        <x:f>IF(A105="","",AE105+AF105)</x:f>
      </x:c>
      <x:c r="AH105" s="21"/>
      <x:c r="AI105" s="29" t="str">
        <x:f>IF(A105="","",IF(OR(B105="",D105="",E105="",I105="",L105="",N105="",O105="",P105=""),"Thiếu dữ liệu",IF(AND(OR(N105="PRODUCTION",N105="REWORK",N105="SETUP"),M105=""),"Thiếu máy",IF(P105&lt;O105,"Sai thời gian",IF(AA105&lt;&gt;0,"Sai cân đối SL","Hợp lệ")))))</x:f>
      </x:c>
      <x:c r="AJ105" s="21"/>
    </x:row>
    <x:row r="106">
      <x:c r="A106" s="21"/>
      <x:c r="B106" s="35"/>
      <x:c r="C106" s="21"/>
      <x:c r="D106" s="21"/>
      <x:c r="E106" s="21"/>
      <x:c r="F106" s="21"/>
      <x:c r="G106" s="21"/>
      <x:c r="H106" s="29" t="str">
        <x:f>IF(OR(D106="",E106=""),"",D106&amp;"|"&amp;E106&amp;"|"&amp;IF(F106="","00",F106)&amp;"|"&amp;IF(G106="","01",G106))</x:f>
      </x:c>
      <x:c r="I106" s="21"/>
      <x:c r="J106" s="29" t="str">
        <x:f>IF(K106="","",IFERROR(INDEX('04_KE_HOACH_CD'!$I$6:$I$305,MATCH(K106,'04_KE_HOACH_CD'!$G$6:$G$305,0)),""))</x:f>
      </x:c>
      <x:c r="K106" s="29" t="str">
        <x:f>IF(OR(H106="",I106=""),"",H106&amp;"|"&amp;TEXT(I106,"000"))</x:f>
      </x:c>
      <x:c r="L106" s="21"/>
      <x:c r="M106" s="21"/>
      <x:c r="N106" s="21"/>
      <x:c r="O106" s="43"/>
      <x:c r="P106" s="43"/>
      <x:c r="Q106" s="25"/>
      <x:c r="R106" s="25"/>
      <x:c r="S106" s="39" t="str">
        <x:f>IF(A106="","",SUMIF('07_DUNG_CHO'!$B$6:$B$505,A106,'07_DUNG_CHO'!$E$6:$E$505))</x:f>
      </x:c>
      <x:c r="T106" s="39" t="str">
        <x:f>IF(A106="","",IF(N106="SETUP",0,MAX(0,(P106-O106)*1440-Q106-S106)))</x:f>
      </x:c>
      <x:c r="U106" s="25"/>
      <x:c r="V106" s="25"/>
      <x:c r="W106" s="25"/>
      <x:c r="X106" s="25"/>
      <x:c r="Y106" s="25"/>
      <x:c r="Z106" s="25"/>
      <x:c r="AA106" s="39" t="str">
        <x:f>IF(A106="","",U106-SUM(V106,X106:Z106))</x:f>
      </x:c>
      <x:c r="AB106" s="39" t="str">
        <x:f>IF(A106="","",IF(N106="SETUP",IFERROR(INDEX('04_KE_HOACH_CD'!$K$6:$K$305,MATCH(K106,'04_KE_HOACH_CD'!$G$6:$G$305,0)),0),IF(OR(N106="PRODUCTION",N106="REWORK"),IFERROR(INDEX('04_KE_HOACH_CD'!$L$6:$L$305,MATCH(K106,'04_KE_HOACH_CD'!$G$6:$G$305,0))*V106,0),0)))</x:f>
      </x:c>
      <x:c r="AC106" s="39" t="str">
        <x:f>IF(A106="","",MAX(0,(P106-O106)*1440-Q106))</x:f>
      </x:c>
      <x:c r="AD106" s="37" t="str">
        <x:f>IF(A106="","",IFERROR(AB106/AC106,0))</x:f>
      </x:c>
      <x:c r="AE106" s="33" t="str">
        <x:f>IF(A106="","",AC106/60*SUMIF(DM_NHAN_SU!$A$6:$A$105,L106,DM_NHAN_SU!$E$6:$E$105))</x:f>
      </x:c>
      <x:c r="AF106" s="33" t="str">
        <x:f>IF(A106="","",AC106/60*SUMIF(DM_MAY!$A$6:$A$105,M106,DM_MAY!$F$6:$F$105))</x:f>
      </x:c>
      <x:c r="AG106" s="33" t="str">
        <x:f>IF(A106="","",AE106+AF106)</x:f>
      </x:c>
      <x:c r="AH106" s="21"/>
      <x:c r="AI106" s="29" t="str">
        <x:f>IF(A106="","",IF(OR(B106="",D106="",E106="",I106="",L106="",N106="",O106="",P106=""),"Thiếu dữ liệu",IF(AND(OR(N106="PRODUCTION",N106="REWORK",N106="SETUP"),M106=""),"Thiếu máy",IF(P106&lt;O106,"Sai thời gian",IF(AA106&lt;&gt;0,"Sai cân đối SL","Hợp lệ")))))</x:f>
      </x:c>
      <x:c r="AJ106" s="21"/>
    </x:row>
    <x:row r="107">
      <x:c r="A107" s="21"/>
      <x:c r="B107" s="35"/>
      <x:c r="C107" s="21"/>
      <x:c r="D107" s="21"/>
      <x:c r="E107" s="21"/>
      <x:c r="F107" s="21"/>
      <x:c r="G107" s="21"/>
      <x:c r="H107" s="29" t="str">
        <x:f>IF(OR(D107="",E107=""),"",D107&amp;"|"&amp;E107&amp;"|"&amp;IF(F107="","00",F107)&amp;"|"&amp;IF(G107="","01",G107))</x:f>
      </x:c>
      <x:c r="I107" s="21"/>
      <x:c r="J107" s="29" t="str">
        <x:f>IF(K107="","",IFERROR(INDEX('04_KE_HOACH_CD'!$I$6:$I$305,MATCH(K107,'04_KE_HOACH_CD'!$G$6:$G$305,0)),""))</x:f>
      </x:c>
      <x:c r="K107" s="29" t="str">
        <x:f>IF(OR(H107="",I107=""),"",H107&amp;"|"&amp;TEXT(I107,"000"))</x:f>
      </x:c>
      <x:c r="L107" s="21"/>
      <x:c r="M107" s="21"/>
      <x:c r="N107" s="21"/>
      <x:c r="O107" s="43"/>
      <x:c r="P107" s="43"/>
      <x:c r="Q107" s="25"/>
      <x:c r="R107" s="25"/>
      <x:c r="S107" s="39" t="str">
        <x:f>IF(A107="","",SUMIF('07_DUNG_CHO'!$B$6:$B$505,A107,'07_DUNG_CHO'!$E$6:$E$505))</x:f>
      </x:c>
      <x:c r="T107" s="39" t="str">
        <x:f>IF(A107="","",IF(N107="SETUP",0,MAX(0,(P107-O107)*1440-Q107-S107)))</x:f>
      </x:c>
      <x:c r="U107" s="25"/>
      <x:c r="V107" s="25"/>
      <x:c r="W107" s="25"/>
      <x:c r="X107" s="25"/>
      <x:c r="Y107" s="25"/>
      <x:c r="Z107" s="25"/>
      <x:c r="AA107" s="39" t="str">
        <x:f>IF(A107="","",U107-SUM(V107,X107:Z107))</x:f>
      </x:c>
      <x:c r="AB107" s="39" t="str">
        <x:f>IF(A107="","",IF(N107="SETUP",IFERROR(INDEX('04_KE_HOACH_CD'!$K$6:$K$305,MATCH(K107,'04_KE_HOACH_CD'!$G$6:$G$305,0)),0),IF(OR(N107="PRODUCTION",N107="REWORK"),IFERROR(INDEX('04_KE_HOACH_CD'!$L$6:$L$305,MATCH(K107,'04_KE_HOACH_CD'!$G$6:$G$305,0))*V107,0),0)))</x:f>
      </x:c>
      <x:c r="AC107" s="39" t="str">
        <x:f>IF(A107="","",MAX(0,(P107-O107)*1440-Q107))</x:f>
      </x:c>
      <x:c r="AD107" s="37" t="str">
        <x:f>IF(A107="","",IFERROR(AB107/AC107,0))</x:f>
      </x:c>
      <x:c r="AE107" s="33" t="str">
        <x:f>IF(A107="","",AC107/60*SUMIF(DM_NHAN_SU!$A$6:$A$105,L107,DM_NHAN_SU!$E$6:$E$105))</x:f>
      </x:c>
      <x:c r="AF107" s="33" t="str">
        <x:f>IF(A107="","",AC107/60*SUMIF(DM_MAY!$A$6:$A$105,M107,DM_MAY!$F$6:$F$105))</x:f>
      </x:c>
      <x:c r="AG107" s="33" t="str">
        <x:f>IF(A107="","",AE107+AF107)</x:f>
      </x:c>
      <x:c r="AH107" s="21"/>
      <x:c r="AI107" s="29" t="str">
        <x:f>IF(A107="","",IF(OR(B107="",D107="",E107="",I107="",L107="",N107="",O107="",P107=""),"Thiếu dữ liệu",IF(AND(OR(N107="PRODUCTION",N107="REWORK",N107="SETUP"),M107=""),"Thiếu máy",IF(P107&lt;O107,"Sai thời gian",IF(AA107&lt;&gt;0,"Sai cân đối SL","Hợp lệ")))))</x:f>
      </x:c>
      <x:c r="AJ107" s="21"/>
    </x:row>
    <x:row r="108">
      <x:c r="A108" s="21"/>
      <x:c r="B108" s="35"/>
      <x:c r="C108" s="21"/>
      <x:c r="D108" s="21"/>
      <x:c r="E108" s="21"/>
      <x:c r="F108" s="21"/>
      <x:c r="G108" s="21"/>
      <x:c r="H108" s="29" t="str">
        <x:f>IF(OR(D108="",E108=""),"",D108&amp;"|"&amp;E108&amp;"|"&amp;IF(F108="","00",F108)&amp;"|"&amp;IF(G108="","01",G108))</x:f>
      </x:c>
      <x:c r="I108" s="21"/>
      <x:c r="J108" s="29" t="str">
        <x:f>IF(K108="","",IFERROR(INDEX('04_KE_HOACH_CD'!$I$6:$I$305,MATCH(K108,'04_KE_HOACH_CD'!$G$6:$G$305,0)),""))</x:f>
      </x:c>
      <x:c r="K108" s="29" t="str">
        <x:f>IF(OR(H108="",I108=""),"",H108&amp;"|"&amp;TEXT(I108,"000"))</x:f>
      </x:c>
      <x:c r="L108" s="21"/>
      <x:c r="M108" s="21"/>
      <x:c r="N108" s="21"/>
      <x:c r="O108" s="43"/>
      <x:c r="P108" s="43"/>
      <x:c r="Q108" s="25"/>
      <x:c r="R108" s="25"/>
      <x:c r="S108" s="39" t="str">
        <x:f>IF(A108="","",SUMIF('07_DUNG_CHO'!$B$6:$B$505,A108,'07_DUNG_CHO'!$E$6:$E$505))</x:f>
      </x:c>
      <x:c r="T108" s="39" t="str">
        <x:f>IF(A108="","",IF(N108="SETUP",0,MAX(0,(P108-O108)*1440-Q108-S108)))</x:f>
      </x:c>
      <x:c r="U108" s="25"/>
      <x:c r="V108" s="25"/>
      <x:c r="W108" s="25"/>
      <x:c r="X108" s="25"/>
      <x:c r="Y108" s="25"/>
      <x:c r="Z108" s="25"/>
      <x:c r="AA108" s="39" t="str">
        <x:f>IF(A108="","",U108-SUM(V108,X108:Z108))</x:f>
      </x:c>
      <x:c r="AB108" s="39" t="str">
        <x:f>IF(A108="","",IF(N108="SETUP",IFERROR(INDEX('04_KE_HOACH_CD'!$K$6:$K$305,MATCH(K108,'04_KE_HOACH_CD'!$G$6:$G$305,0)),0),IF(OR(N108="PRODUCTION",N108="REWORK"),IFERROR(INDEX('04_KE_HOACH_CD'!$L$6:$L$305,MATCH(K108,'04_KE_HOACH_CD'!$G$6:$G$305,0))*V108,0),0)))</x:f>
      </x:c>
      <x:c r="AC108" s="39" t="str">
        <x:f>IF(A108="","",MAX(0,(P108-O108)*1440-Q108))</x:f>
      </x:c>
      <x:c r="AD108" s="37" t="str">
        <x:f>IF(A108="","",IFERROR(AB108/AC108,0))</x:f>
      </x:c>
      <x:c r="AE108" s="33" t="str">
        <x:f>IF(A108="","",AC108/60*SUMIF(DM_NHAN_SU!$A$6:$A$105,L108,DM_NHAN_SU!$E$6:$E$105))</x:f>
      </x:c>
      <x:c r="AF108" s="33" t="str">
        <x:f>IF(A108="","",AC108/60*SUMIF(DM_MAY!$A$6:$A$105,M108,DM_MAY!$F$6:$F$105))</x:f>
      </x:c>
      <x:c r="AG108" s="33" t="str">
        <x:f>IF(A108="","",AE108+AF108)</x:f>
      </x:c>
      <x:c r="AH108" s="21"/>
      <x:c r="AI108" s="29" t="str">
        <x:f>IF(A108="","",IF(OR(B108="",D108="",E108="",I108="",L108="",N108="",O108="",P108=""),"Thiếu dữ liệu",IF(AND(OR(N108="PRODUCTION",N108="REWORK",N108="SETUP"),M108=""),"Thiếu máy",IF(P108&lt;O108,"Sai thời gian",IF(AA108&lt;&gt;0,"Sai cân đối SL","Hợp lệ")))))</x:f>
      </x:c>
      <x:c r="AJ108" s="21"/>
    </x:row>
    <x:row r="109">
      <x:c r="A109" s="21"/>
      <x:c r="B109" s="35"/>
      <x:c r="C109" s="21"/>
      <x:c r="D109" s="21"/>
      <x:c r="E109" s="21"/>
      <x:c r="F109" s="21"/>
      <x:c r="G109" s="21"/>
      <x:c r="H109" s="29" t="str">
        <x:f>IF(OR(D109="",E109=""),"",D109&amp;"|"&amp;E109&amp;"|"&amp;IF(F109="","00",F109)&amp;"|"&amp;IF(G109="","01",G109))</x:f>
      </x:c>
      <x:c r="I109" s="21"/>
      <x:c r="J109" s="29" t="str">
        <x:f>IF(K109="","",IFERROR(INDEX('04_KE_HOACH_CD'!$I$6:$I$305,MATCH(K109,'04_KE_HOACH_CD'!$G$6:$G$305,0)),""))</x:f>
      </x:c>
      <x:c r="K109" s="29" t="str">
        <x:f>IF(OR(H109="",I109=""),"",H109&amp;"|"&amp;TEXT(I109,"000"))</x:f>
      </x:c>
      <x:c r="L109" s="21"/>
      <x:c r="M109" s="21"/>
      <x:c r="N109" s="21"/>
      <x:c r="O109" s="43"/>
      <x:c r="P109" s="43"/>
      <x:c r="Q109" s="25"/>
      <x:c r="R109" s="25"/>
      <x:c r="S109" s="39" t="str">
        <x:f>IF(A109="","",SUMIF('07_DUNG_CHO'!$B$6:$B$505,A109,'07_DUNG_CHO'!$E$6:$E$505))</x:f>
      </x:c>
      <x:c r="T109" s="39" t="str">
        <x:f>IF(A109="","",IF(N109="SETUP",0,MAX(0,(P109-O109)*1440-Q109-S109)))</x:f>
      </x:c>
      <x:c r="U109" s="25"/>
      <x:c r="V109" s="25"/>
      <x:c r="W109" s="25"/>
      <x:c r="X109" s="25"/>
      <x:c r="Y109" s="25"/>
      <x:c r="Z109" s="25"/>
      <x:c r="AA109" s="39" t="str">
        <x:f>IF(A109="","",U109-SUM(V109,X109:Z109))</x:f>
      </x:c>
      <x:c r="AB109" s="39" t="str">
        <x:f>IF(A109="","",IF(N109="SETUP",IFERROR(INDEX('04_KE_HOACH_CD'!$K$6:$K$305,MATCH(K109,'04_KE_HOACH_CD'!$G$6:$G$305,0)),0),IF(OR(N109="PRODUCTION",N109="REWORK"),IFERROR(INDEX('04_KE_HOACH_CD'!$L$6:$L$305,MATCH(K109,'04_KE_HOACH_CD'!$G$6:$G$305,0))*V109,0),0)))</x:f>
      </x:c>
      <x:c r="AC109" s="39" t="str">
        <x:f>IF(A109="","",MAX(0,(P109-O109)*1440-Q109))</x:f>
      </x:c>
      <x:c r="AD109" s="37" t="str">
        <x:f>IF(A109="","",IFERROR(AB109/AC109,0))</x:f>
      </x:c>
      <x:c r="AE109" s="33" t="str">
        <x:f>IF(A109="","",AC109/60*SUMIF(DM_NHAN_SU!$A$6:$A$105,L109,DM_NHAN_SU!$E$6:$E$105))</x:f>
      </x:c>
      <x:c r="AF109" s="33" t="str">
        <x:f>IF(A109="","",AC109/60*SUMIF(DM_MAY!$A$6:$A$105,M109,DM_MAY!$F$6:$F$105))</x:f>
      </x:c>
      <x:c r="AG109" s="33" t="str">
        <x:f>IF(A109="","",AE109+AF109)</x:f>
      </x:c>
      <x:c r="AH109" s="21"/>
      <x:c r="AI109" s="29" t="str">
        <x:f>IF(A109="","",IF(OR(B109="",D109="",E109="",I109="",L109="",N109="",O109="",P109=""),"Thiếu dữ liệu",IF(AND(OR(N109="PRODUCTION",N109="REWORK",N109="SETUP"),M109=""),"Thiếu máy",IF(P109&lt;O109,"Sai thời gian",IF(AA109&lt;&gt;0,"Sai cân đối SL","Hợp lệ")))))</x:f>
      </x:c>
      <x:c r="AJ109" s="21"/>
    </x:row>
    <x:row r="110">
      <x:c r="A110" s="21"/>
      <x:c r="B110" s="35"/>
      <x:c r="C110" s="21"/>
      <x:c r="D110" s="21"/>
      <x:c r="E110" s="21"/>
      <x:c r="F110" s="21"/>
      <x:c r="G110" s="21"/>
      <x:c r="H110" s="29" t="str">
        <x:f>IF(OR(D110="",E110=""),"",D110&amp;"|"&amp;E110&amp;"|"&amp;IF(F110="","00",F110)&amp;"|"&amp;IF(G110="","01",G110))</x:f>
      </x:c>
      <x:c r="I110" s="21"/>
      <x:c r="J110" s="29" t="str">
        <x:f>IF(K110="","",IFERROR(INDEX('04_KE_HOACH_CD'!$I$6:$I$305,MATCH(K110,'04_KE_HOACH_CD'!$G$6:$G$305,0)),""))</x:f>
      </x:c>
      <x:c r="K110" s="29" t="str">
        <x:f>IF(OR(H110="",I110=""),"",H110&amp;"|"&amp;TEXT(I110,"000"))</x:f>
      </x:c>
      <x:c r="L110" s="21"/>
      <x:c r="M110" s="21"/>
      <x:c r="N110" s="21"/>
      <x:c r="O110" s="43"/>
      <x:c r="P110" s="43"/>
      <x:c r="Q110" s="25"/>
      <x:c r="R110" s="25"/>
      <x:c r="S110" s="39" t="str">
        <x:f>IF(A110="","",SUMIF('07_DUNG_CHO'!$B$6:$B$505,A110,'07_DUNG_CHO'!$E$6:$E$505))</x:f>
      </x:c>
      <x:c r="T110" s="39" t="str">
        <x:f>IF(A110="","",IF(N110="SETUP",0,MAX(0,(P110-O110)*1440-Q110-S110)))</x:f>
      </x:c>
      <x:c r="U110" s="25"/>
      <x:c r="V110" s="25"/>
      <x:c r="W110" s="25"/>
      <x:c r="X110" s="25"/>
      <x:c r="Y110" s="25"/>
      <x:c r="Z110" s="25"/>
      <x:c r="AA110" s="39" t="str">
        <x:f>IF(A110="","",U110-SUM(V110,X110:Z110))</x:f>
      </x:c>
      <x:c r="AB110" s="39" t="str">
        <x:f>IF(A110="","",IF(N110="SETUP",IFERROR(INDEX('04_KE_HOACH_CD'!$K$6:$K$305,MATCH(K110,'04_KE_HOACH_CD'!$G$6:$G$305,0)),0),IF(OR(N110="PRODUCTION",N110="REWORK"),IFERROR(INDEX('04_KE_HOACH_CD'!$L$6:$L$305,MATCH(K110,'04_KE_HOACH_CD'!$G$6:$G$305,0))*V110,0),0)))</x:f>
      </x:c>
      <x:c r="AC110" s="39" t="str">
        <x:f>IF(A110="","",MAX(0,(P110-O110)*1440-Q110))</x:f>
      </x:c>
      <x:c r="AD110" s="37" t="str">
        <x:f>IF(A110="","",IFERROR(AB110/AC110,0))</x:f>
      </x:c>
      <x:c r="AE110" s="33" t="str">
        <x:f>IF(A110="","",AC110/60*SUMIF(DM_NHAN_SU!$A$6:$A$105,L110,DM_NHAN_SU!$E$6:$E$105))</x:f>
      </x:c>
      <x:c r="AF110" s="33" t="str">
        <x:f>IF(A110="","",AC110/60*SUMIF(DM_MAY!$A$6:$A$105,M110,DM_MAY!$F$6:$F$105))</x:f>
      </x:c>
      <x:c r="AG110" s="33" t="str">
        <x:f>IF(A110="","",AE110+AF110)</x:f>
      </x:c>
      <x:c r="AH110" s="21"/>
      <x:c r="AI110" s="29" t="str">
        <x:f>IF(A110="","",IF(OR(B110="",D110="",E110="",I110="",L110="",N110="",O110="",P110=""),"Thiếu dữ liệu",IF(AND(OR(N110="PRODUCTION",N110="REWORK",N110="SETUP"),M110=""),"Thiếu máy",IF(P110&lt;O110,"Sai thời gian",IF(AA110&lt;&gt;0,"Sai cân đối SL","Hợp lệ")))))</x:f>
      </x:c>
      <x:c r="AJ110" s="21"/>
    </x:row>
    <x:row r="111">
      <x:c r="A111" s="21"/>
      <x:c r="B111" s="35"/>
      <x:c r="C111" s="21"/>
      <x:c r="D111" s="21"/>
      <x:c r="E111" s="21"/>
      <x:c r="F111" s="21"/>
      <x:c r="G111" s="21"/>
      <x:c r="H111" s="29" t="str">
        <x:f>IF(OR(D111="",E111=""),"",D111&amp;"|"&amp;E111&amp;"|"&amp;IF(F111="","00",F111)&amp;"|"&amp;IF(G111="","01",G111))</x:f>
      </x:c>
      <x:c r="I111" s="21"/>
      <x:c r="J111" s="29" t="str">
        <x:f>IF(K111="","",IFERROR(INDEX('04_KE_HOACH_CD'!$I$6:$I$305,MATCH(K111,'04_KE_HOACH_CD'!$G$6:$G$305,0)),""))</x:f>
      </x:c>
      <x:c r="K111" s="29" t="str">
        <x:f>IF(OR(H111="",I111=""),"",H111&amp;"|"&amp;TEXT(I111,"000"))</x:f>
      </x:c>
      <x:c r="L111" s="21"/>
      <x:c r="M111" s="21"/>
      <x:c r="N111" s="21"/>
      <x:c r="O111" s="43"/>
      <x:c r="P111" s="43"/>
      <x:c r="Q111" s="25"/>
      <x:c r="R111" s="25"/>
      <x:c r="S111" s="39" t="str">
        <x:f>IF(A111="","",SUMIF('07_DUNG_CHO'!$B$6:$B$505,A111,'07_DUNG_CHO'!$E$6:$E$505))</x:f>
      </x:c>
      <x:c r="T111" s="39" t="str">
        <x:f>IF(A111="","",IF(N111="SETUP",0,MAX(0,(P111-O111)*1440-Q111-S111)))</x:f>
      </x:c>
      <x:c r="U111" s="25"/>
      <x:c r="V111" s="25"/>
      <x:c r="W111" s="25"/>
      <x:c r="X111" s="25"/>
      <x:c r="Y111" s="25"/>
      <x:c r="Z111" s="25"/>
      <x:c r="AA111" s="39" t="str">
        <x:f>IF(A111="","",U111-SUM(V111,X111:Z111))</x:f>
      </x:c>
      <x:c r="AB111" s="39" t="str">
        <x:f>IF(A111="","",IF(N111="SETUP",IFERROR(INDEX('04_KE_HOACH_CD'!$K$6:$K$305,MATCH(K111,'04_KE_HOACH_CD'!$G$6:$G$305,0)),0),IF(OR(N111="PRODUCTION",N111="REWORK"),IFERROR(INDEX('04_KE_HOACH_CD'!$L$6:$L$305,MATCH(K111,'04_KE_HOACH_CD'!$G$6:$G$305,0))*V111,0),0)))</x:f>
      </x:c>
      <x:c r="AC111" s="39" t="str">
        <x:f>IF(A111="","",MAX(0,(P111-O111)*1440-Q111))</x:f>
      </x:c>
      <x:c r="AD111" s="37" t="str">
        <x:f>IF(A111="","",IFERROR(AB111/AC111,0))</x:f>
      </x:c>
      <x:c r="AE111" s="33" t="str">
        <x:f>IF(A111="","",AC111/60*SUMIF(DM_NHAN_SU!$A$6:$A$105,L111,DM_NHAN_SU!$E$6:$E$105))</x:f>
      </x:c>
      <x:c r="AF111" s="33" t="str">
        <x:f>IF(A111="","",AC111/60*SUMIF(DM_MAY!$A$6:$A$105,M111,DM_MAY!$F$6:$F$105))</x:f>
      </x:c>
      <x:c r="AG111" s="33" t="str">
        <x:f>IF(A111="","",AE111+AF111)</x:f>
      </x:c>
      <x:c r="AH111" s="21"/>
      <x:c r="AI111" s="29" t="str">
        <x:f>IF(A111="","",IF(OR(B111="",D111="",E111="",I111="",L111="",N111="",O111="",P111=""),"Thiếu dữ liệu",IF(AND(OR(N111="PRODUCTION",N111="REWORK",N111="SETUP"),M111=""),"Thiếu máy",IF(P111&lt;O111,"Sai thời gian",IF(AA111&lt;&gt;0,"Sai cân đối SL","Hợp lệ")))))</x:f>
      </x:c>
      <x:c r="AJ111" s="21"/>
    </x:row>
    <x:row r="112">
      <x:c r="A112" s="21"/>
      <x:c r="B112" s="35"/>
      <x:c r="C112" s="21"/>
      <x:c r="D112" s="21"/>
      <x:c r="E112" s="21"/>
      <x:c r="F112" s="21"/>
      <x:c r="G112" s="21"/>
      <x:c r="H112" s="29" t="str">
        <x:f>IF(OR(D112="",E112=""),"",D112&amp;"|"&amp;E112&amp;"|"&amp;IF(F112="","00",F112)&amp;"|"&amp;IF(G112="","01",G112))</x:f>
      </x:c>
      <x:c r="I112" s="21"/>
      <x:c r="J112" s="29" t="str">
        <x:f>IF(K112="","",IFERROR(INDEX('04_KE_HOACH_CD'!$I$6:$I$305,MATCH(K112,'04_KE_HOACH_CD'!$G$6:$G$305,0)),""))</x:f>
      </x:c>
      <x:c r="K112" s="29" t="str">
        <x:f>IF(OR(H112="",I112=""),"",H112&amp;"|"&amp;TEXT(I112,"000"))</x:f>
      </x:c>
      <x:c r="L112" s="21"/>
      <x:c r="M112" s="21"/>
      <x:c r="N112" s="21"/>
      <x:c r="O112" s="43"/>
      <x:c r="P112" s="43"/>
      <x:c r="Q112" s="25"/>
      <x:c r="R112" s="25"/>
      <x:c r="S112" s="39" t="str">
        <x:f>IF(A112="","",SUMIF('07_DUNG_CHO'!$B$6:$B$505,A112,'07_DUNG_CHO'!$E$6:$E$505))</x:f>
      </x:c>
      <x:c r="T112" s="39" t="str">
        <x:f>IF(A112="","",IF(N112="SETUP",0,MAX(0,(P112-O112)*1440-Q112-S112)))</x:f>
      </x:c>
      <x:c r="U112" s="25"/>
      <x:c r="V112" s="25"/>
      <x:c r="W112" s="25"/>
      <x:c r="X112" s="25"/>
      <x:c r="Y112" s="25"/>
      <x:c r="Z112" s="25"/>
      <x:c r="AA112" s="39" t="str">
        <x:f>IF(A112="","",U112-SUM(V112,X112:Z112))</x:f>
      </x:c>
      <x:c r="AB112" s="39" t="str">
        <x:f>IF(A112="","",IF(N112="SETUP",IFERROR(INDEX('04_KE_HOACH_CD'!$K$6:$K$305,MATCH(K112,'04_KE_HOACH_CD'!$G$6:$G$305,0)),0),IF(OR(N112="PRODUCTION",N112="REWORK"),IFERROR(INDEX('04_KE_HOACH_CD'!$L$6:$L$305,MATCH(K112,'04_KE_HOACH_CD'!$G$6:$G$305,0))*V112,0),0)))</x:f>
      </x:c>
      <x:c r="AC112" s="39" t="str">
        <x:f>IF(A112="","",MAX(0,(P112-O112)*1440-Q112))</x:f>
      </x:c>
      <x:c r="AD112" s="37" t="str">
        <x:f>IF(A112="","",IFERROR(AB112/AC112,0))</x:f>
      </x:c>
      <x:c r="AE112" s="33" t="str">
        <x:f>IF(A112="","",AC112/60*SUMIF(DM_NHAN_SU!$A$6:$A$105,L112,DM_NHAN_SU!$E$6:$E$105))</x:f>
      </x:c>
      <x:c r="AF112" s="33" t="str">
        <x:f>IF(A112="","",AC112/60*SUMIF(DM_MAY!$A$6:$A$105,M112,DM_MAY!$F$6:$F$105))</x:f>
      </x:c>
      <x:c r="AG112" s="33" t="str">
        <x:f>IF(A112="","",AE112+AF112)</x:f>
      </x:c>
      <x:c r="AH112" s="21"/>
      <x:c r="AI112" s="29" t="str">
        <x:f>IF(A112="","",IF(OR(B112="",D112="",E112="",I112="",L112="",N112="",O112="",P112=""),"Thiếu dữ liệu",IF(AND(OR(N112="PRODUCTION",N112="REWORK",N112="SETUP"),M112=""),"Thiếu máy",IF(P112&lt;O112,"Sai thời gian",IF(AA112&lt;&gt;0,"Sai cân đối SL","Hợp lệ")))))</x:f>
      </x:c>
      <x:c r="AJ112" s="21"/>
    </x:row>
    <x:row r="113">
      <x:c r="A113" s="21"/>
      <x:c r="B113" s="35"/>
      <x:c r="C113" s="21"/>
      <x:c r="D113" s="21"/>
      <x:c r="E113" s="21"/>
      <x:c r="F113" s="21"/>
      <x:c r="G113" s="21"/>
      <x:c r="H113" s="29" t="str">
        <x:f>IF(OR(D113="",E113=""),"",D113&amp;"|"&amp;E113&amp;"|"&amp;IF(F113="","00",F113)&amp;"|"&amp;IF(G113="","01",G113))</x:f>
      </x:c>
      <x:c r="I113" s="21"/>
      <x:c r="J113" s="29" t="str">
        <x:f>IF(K113="","",IFERROR(INDEX('04_KE_HOACH_CD'!$I$6:$I$305,MATCH(K113,'04_KE_HOACH_CD'!$G$6:$G$305,0)),""))</x:f>
      </x:c>
      <x:c r="K113" s="29" t="str">
        <x:f>IF(OR(H113="",I113=""),"",H113&amp;"|"&amp;TEXT(I113,"000"))</x:f>
      </x:c>
      <x:c r="L113" s="21"/>
      <x:c r="M113" s="21"/>
      <x:c r="N113" s="21"/>
      <x:c r="O113" s="43"/>
      <x:c r="P113" s="43"/>
      <x:c r="Q113" s="25"/>
      <x:c r="R113" s="25"/>
      <x:c r="S113" s="39" t="str">
        <x:f>IF(A113="","",SUMIF('07_DUNG_CHO'!$B$6:$B$505,A113,'07_DUNG_CHO'!$E$6:$E$505))</x:f>
      </x:c>
      <x:c r="T113" s="39" t="str">
        <x:f>IF(A113="","",IF(N113="SETUP",0,MAX(0,(P113-O113)*1440-Q113-S113)))</x:f>
      </x:c>
      <x:c r="U113" s="25"/>
      <x:c r="V113" s="25"/>
      <x:c r="W113" s="25"/>
      <x:c r="X113" s="25"/>
      <x:c r="Y113" s="25"/>
      <x:c r="Z113" s="25"/>
      <x:c r="AA113" s="39" t="str">
        <x:f>IF(A113="","",U113-SUM(V113,X113:Z113))</x:f>
      </x:c>
      <x:c r="AB113" s="39" t="str">
        <x:f>IF(A113="","",IF(N113="SETUP",IFERROR(INDEX('04_KE_HOACH_CD'!$K$6:$K$305,MATCH(K113,'04_KE_HOACH_CD'!$G$6:$G$305,0)),0),IF(OR(N113="PRODUCTION",N113="REWORK"),IFERROR(INDEX('04_KE_HOACH_CD'!$L$6:$L$305,MATCH(K113,'04_KE_HOACH_CD'!$G$6:$G$305,0))*V113,0),0)))</x:f>
      </x:c>
      <x:c r="AC113" s="39" t="str">
        <x:f>IF(A113="","",MAX(0,(P113-O113)*1440-Q113))</x:f>
      </x:c>
      <x:c r="AD113" s="37" t="str">
        <x:f>IF(A113="","",IFERROR(AB113/AC113,0))</x:f>
      </x:c>
      <x:c r="AE113" s="33" t="str">
        <x:f>IF(A113="","",AC113/60*SUMIF(DM_NHAN_SU!$A$6:$A$105,L113,DM_NHAN_SU!$E$6:$E$105))</x:f>
      </x:c>
      <x:c r="AF113" s="33" t="str">
        <x:f>IF(A113="","",AC113/60*SUMIF(DM_MAY!$A$6:$A$105,M113,DM_MAY!$F$6:$F$105))</x:f>
      </x:c>
      <x:c r="AG113" s="33" t="str">
        <x:f>IF(A113="","",AE113+AF113)</x:f>
      </x:c>
      <x:c r="AH113" s="21"/>
      <x:c r="AI113" s="29" t="str">
        <x:f>IF(A113="","",IF(OR(B113="",D113="",E113="",I113="",L113="",N113="",O113="",P113=""),"Thiếu dữ liệu",IF(AND(OR(N113="PRODUCTION",N113="REWORK",N113="SETUP"),M113=""),"Thiếu máy",IF(P113&lt;O113,"Sai thời gian",IF(AA113&lt;&gt;0,"Sai cân đối SL","Hợp lệ")))))</x:f>
      </x:c>
      <x:c r="AJ113" s="21"/>
    </x:row>
    <x:row r="114">
      <x:c r="A114" s="21"/>
      <x:c r="B114" s="35"/>
      <x:c r="C114" s="21"/>
      <x:c r="D114" s="21"/>
      <x:c r="E114" s="21"/>
      <x:c r="F114" s="21"/>
      <x:c r="G114" s="21"/>
      <x:c r="H114" s="29" t="str">
        <x:f>IF(OR(D114="",E114=""),"",D114&amp;"|"&amp;E114&amp;"|"&amp;IF(F114="","00",F114)&amp;"|"&amp;IF(G114="","01",G114))</x:f>
      </x:c>
      <x:c r="I114" s="21"/>
      <x:c r="J114" s="29" t="str">
        <x:f>IF(K114="","",IFERROR(INDEX('04_KE_HOACH_CD'!$I$6:$I$305,MATCH(K114,'04_KE_HOACH_CD'!$G$6:$G$305,0)),""))</x:f>
      </x:c>
      <x:c r="K114" s="29" t="str">
        <x:f>IF(OR(H114="",I114=""),"",H114&amp;"|"&amp;TEXT(I114,"000"))</x:f>
      </x:c>
      <x:c r="L114" s="21"/>
      <x:c r="M114" s="21"/>
      <x:c r="N114" s="21"/>
      <x:c r="O114" s="43"/>
      <x:c r="P114" s="43"/>
      <x:c r="Q114" s="25"/>
      <x:c r="R114" s="25"/>
      <x:c r="S114" s="39" t="str">
        <x:f>IF(A114="","",SUMIF('07_DUNG_CHO'!$B$6:$B$505,A114,'07_DUNG_CHO'!$E$6:$E$505))</x:f>
      </x:c>
      <x:c r="T114" s="39" t="str">
        <x:f>IF(A114="","",IF(N114="SETUP",0,MAX(0,(P114-O114)*1440-Q114-S114)))</x:f>
      </x:c>
      <x:c r="U114" s="25"/>
      <x:c r="V114" s="25"/>
      <x:c r="W114" s="25"/>
      <x:c r="X114" s="25"/>
      <x:c r="Y114" s="25"/>
      <x:c r="Z114" s="25"/>
      <x:c r="AA114" s="39" t="str">
        <x:f>IF(A114="","",U114-SUM(V114,X114:Z114))</x:f>
      </x:c>
      <x:c r="AB114" s="39" t="str">
        <x:f>IF(A114="","",IF(N114="SETUP",IFERROR(INDEX('04_KE_HOACH_CD'!$K$6:$K$305,MATCH(K114,'04_KE_HOACH_CD'!$G$6:$G$305,0)),0),IF(OR(N114="PRODUCTION",N114="REWORK"),IFERROR(INDEX('04_KE_HOACH_CD'!$L$6:$L$305,MATCH(K114,'04_KE_HOACH_CD'!$G$6:$G$305,0))*V114,0),0)))</x:f>
      </x:c>
      <x:c r="AC114" s="39" t="str">
        <x:f>IF(A114="","",MAX(0,(P114-O114)*1440-Q114))</x:f>
      </x:c>
      <x:c r="AD114" s="37" t="str">
        <x:f>IF(A114="","",IFERROR(AB114/AC114,0))</x:f>
      </x:c>
      <x:c r="AE114" s="33" t="str">
        <x:f>IF(A114="","",AC114/60*SUMIF(DM_NHAN_SU!$A$6:$A$105,L114,DM_NHAN_SU!$E$6:$E$105))</x:f>
      </x:c>
      <x:c r="AF114" s="33" t="str">
        <x:f>IF(A114="","",AC114/60*SUMIF(DM_MAY!$A$6:$A$105,M114,DM_MAY!$F$6:$F$105))</x:f>
      </x:c>
      <x:c r="AG114" s="33" t="str">
        <x:f>IF(A114="","",AE114+AF114)</x:f>
      </x:c>
      <x:c r="AH114" s="21"/>
      <x:c r="AI114" s="29" t="str">
        <x:f>IF(A114="","",IF(OR(B114="",D114="",E114="",I114="",L114="",N114="",O114="",P114=""),"Thiếu dữ liệu",IF(AND(OR(N114="PRODUCTION",N114="REWORK",N114="SETUP"),M114=""),"Thiếu máy",IF(P114&lt;O114,"Sai thời gian",IF(AA114&lt;&gt;0,"Sai cân đối SL","Hợp lệ")))))</x:f>
      </x:c>
      <x:c r="AJ114" s="21"/>
    </x:row>
    <x:row r="115">
      <x:c r="A115" s="21"/>
      <x:c r="B115" s="35"/>
      <x:c r="C115" s="21"/>
      <x:c r="D115" s="21"/>
      <x:c r="E115" s="21"/>
      <x:c r="F115" s="21"/>
      <x:c r="G115" s="21"/>
      <x:c r="H115" s="29" t="str">
        <x:f>IF(OR(D115="",E115=""),"",D115&amp;"|"&amp;E115&amp;"|"&amp;IF(F115="","00",F115)&amp;"|"&amp;IF(G115="","01",G115))</x:f>
      </x:c>
      <x:c r="I115" s="21"/>
      <x:c r="J115" s="29" t="str">
        <x:f>IF(K115="","",IFERROR(INDEX('04_KE_HOACH_CD'!$I$6:$I$305,MATCH(K115,'04_KE_HOACH_CD'!$G$6:$G$305,0)),""))</x:f>
      </x:c>
      <x:c r="K115" s="29" t="str">
        <x:f>IF(OR(H115="",I115=""),"",H115&amp;"|"&amp;TEXT(I115,"000"))</x:f>
      </x:c>
      <x:c r="L115" s="21"/>
      <x:c r="M115" s="21"/>
      <x:c r="N115" s="21"/>
      <x:c r="O115" s="43"/>
      <x:c r="P115" s="43"/>
      <x:c r="Q115" s="25"/>
      <x:c r="R115" s="25"/>
      <x:c r="S115" s="39" t="str">
        <x:f>IF(A115="","",SUMIF('07_DUNG_CHO'!$B$6:$B$505,A115,'07_DUNG_CHO'!$E$6:$E$505))</x:f>
      </x:c>
      <x:c r="T115" s="39" t="str">
        <x:f>IF(A115="","",IF(N115="SETUP",0,MAX(0,(P115-O115)*1440-Q115-S115)))</x:f>
      </x:c>
      <x:c r="U115" s="25"/>
      <x:c r="V115" s="25"/>
      <x:c r="W115" s="25"/>
      <x:c r="X115" s="25"/>
      <x:c r="Y115" s="25"/>
      <x:c r="Z115" s="25"/>
      <x:c r="AA115" s="39" t="str">
        <x:f>IF(A115="","",U115-SUM(V115,X115:Z115))</x:f>
      </x:c>
      <x:c r="AB115" s="39" t="str">
        <x:f>IF(A115="","",IF(N115="SETUP",IFERROR(INDEX('04_KE_HOACH_CD'!$K$6:$K$305,MATCH(K115,'04_KE_HOACH_CD'!$G$6:$G$305,0)),0),IF(OR(N115="PRODUCTION",N115="REWORK"),IFERROR(INDEX('04_KE_HOACH_CD'!$L$6:$L$305,MATCH(K115,'04_KE_HOACH_CD'!$G$6:$G$305,0))*V115,0),0)))</x:f>
      </x:c>
      <x:c r="AC115" s="39" t="str">
        <x:f>IF(A115="","",MAX(0,(P115-O115)*1440-Q115))</x:f>
      </x:c>
      <x:c r="AD115" s="37" t="str">
        <x:f>IF(A115="","",IFERROR(AB115/AC115,0))</x:f>
      </x:c>
      <x:c r="AE115" s="33" t="str">
        <x:f>IF(A115="","",AC115/60*SUMIF(DM_NHAN_SU!$A$6:$A$105,L115,DM_NHAN_SU!$E$6:$E$105))</x:f>
      </x:c>
      <x:c r="AF115" s="33" t="str">
        <x:f>IF(A115="","",AC115/60*SUMIF(DM_MAY!$A$6:$A$105,M115,DM_MAY!$F$6:$F$105))</x:f>
      </x:c>
      <x:c r="AG115" s="33" t="str">
        <x:f>IF(A115="","",AE115+AF115)</x:f>
      </x:c>
      <x:c r="AH115" s="21"/>
      <x:c r="AI115" s="29" t="str">
        <x:f>IF(A115="","",IF(OR(B115="",D115="",E115="",I115="",L115="",N115="",O115="",P115=""),"Thiếu dữ liệu",IF(AND(OR(N115="PRODUCTION",N115="REWORK",N115="SETUP"),M115=""),"Thiếu máy",IF(P115&lt;O115,"Sai thời gian",IF(AA115&lt;&gt;0,"Sai cân đối SL","Hợp lệ")))))</x:f>
      </x:c>
      <x:c r="AJ115" s="21"/>
    </x:row>
    <x:row r="116">
      <x:c r="A116" s="21"/>
      <x:c r="B116" s="35"/>
      <x:c r="C116" s="21"/>
      <x:c r="D116" s="21"/>
      <x:c r="E116" s="21"/>
      <x:c r="F116" s="21"/>
      <x:c r="G116" s="21"/>
      <x:c r="H116" s="29" t="str">
        <x:f>IF(OR(D116="",E116=""),"",D116&amp;"|"&amp;E116&amp;"|"&amp;IF(F116="","00",F116)&amp;"|"&amp;IF(G116="","01",G116))</x:f>
      </x:c>
      <x:c r="I116" s="21"/>
      <x:c r="J116" s="29" t="str">
        <x:f>IF(K116="","",IFERROR(INDEX('04_KE_HOACH_CD'!$I$6:$I$305,MATCH(K116,'04_KE_HOACH_CD'!$G$6:$G$305,0)),""))</x:f>
      </x:c>
      <x:c r="K116" s="29" t="str">
        <x:f>IF(OR(H116="",I116=""),"",H116&amp;"|"&amp;TEXT(I116,"000"))</x:f>
      </x:c>
      <x:c r="L116" s="21"/>
      <x:c r="M116" s="21"/>
      <x:c r="N116" s="21"/>
      <x:c r="O116" s="43"/>
      <x:c r="P116" s="43"/>
      <x:c r="Q116" s="25"/>
      <x:c r="R116" s="25"/>
      <x:c r="S116" s="39" t="str">
        <x:f>IF(A116="","",SUMIF('07_DUNG_CHO'!$B$6:$B$505,A116,'07_DUNG_CHO'!$E$6:$E$505))</x:f>
      </x:c>
      <x:c r="T116" s="39" t="str">
        <x:f>IF(A116="","",IF(N116="SETUP",0,MAX(0,(P116-O116)*1440-Q116-S116)))</x:f>
      </x:c>
      <x:c r="U116" s="25"/>
      <x:c r="V116" s="25"/>
      <x:c r="W116" s="25"/>
      <x:c r="X116" s="25"/>
      <x:c r="Y116" s="25"/>
      <x:c r="Z116" s="25"/>
      <x:c r="AA116" s="39" t="str">
        <x:f>IF(A116="","",U116-SUM(V116,X116:Z116))</x:f>
      </x:c>
      <x:c r="AB116" s="39" t="str">
        <x:f>IF(A116="","",IF(N116="SETUP",IFERROR(INDEX('04_KE_HOACH_CD'!$K$6:$K$305,MATCH(K116,'04_KE_HOACH_CD'!$G$6:$G$305,0)),0),IF(OR(N116="PRODUCTION",N116="REWORK"),IFERROR(INDEX('04_KE_HOACH_CD'!$L$6:$L$305,MATCH(K116,'04_KE_HOACH_CD'!$G$6:$G$305,0))*V116,0),0)))</x:f>
      </x:c>
      <x:c r="AC116" s="39" t="str">
        <x:f>IF(A116="","",MAX(0,(P116-O116)*1440-Q116))</x:f>
      </x:c>
      <x:c r="AD116" s="37" t="str">
        <x:f>IF(A116="","",IFERROR(AB116/AC116,0))</x:f>
      </x:c>
      <x:c r="AE116" s="33" t="str">
        <x:f>IF(A116="","",AC116/60*SUMIF(DM_NHAN_SU!$A$6:$A$105,L116,DM_NHAN_SU!$E$6:$E$105))</x:f>
      </x:c>
      <x:c r="AF116" s="33" t="str">
        <x:f>IF(A116="","",AC116/60*SUMIF(DM_MAY!$A$6:$A$105,M116,DM_MAY!$F$6:$F$105))</x:f>
      </x:c>
      <x:c r="AG116" s="33" t="str">
        <x:f>IF(A116="","",AE116+AF116)</x:f>
      </x:c>
      <x:c r="AH116" s="21"/>
      <x:c r="AI116" s="29" t="str">
        <x:f>IF(A116="","",IF(OR(B116="",D116="",E116="",I116="",L116="",N116="",O116="",P116=""),"Thiếu dữ liệu",IF(AND(OR(N116="PRODUCTION",N116="REWORK",N116="SETUP"),M116=""),"Thiếu máy",IF(P116&lt;O116,"Sai thời gian",IF(AA116&lt;&gt;0,"Sai cân đối SL","Hợp lệ")))))</x:f>
      </x:c>
      <x:c r="AJ116" s="21"/>
    </x:row>
    <x:row r="117">
      <x:c r="A117" s="21"/>
      <x:c r="B117" s="35"/>
      <x:c r="C117" s="21"/>
      <x:c r="D117" s="21"/>
      <x:c r="E117" s="21"/>
      <x:c r="F117" s="21"/>
      <x:c r="G117" s="21"/>
      <x:c r="H117" s="29" t="str">
        <x:f>IF(OR(D117="",E117=""),"",D117&amp;"|"&amp;E117&amp;"|"&amp;IF(F117="","00",F117)&amp;"|"&amp;IF(G117="","01",G117))</x:f>
      </x:c>
      <x:c r="I117" s="21"/>
      <x:c r="J117" s="29" t="str">
        <x:f>IF(K117="","",IFERROR(INDEX('04_KE_HOACH_CD'!$I$6:$I$305,MATCH(K117,'04_KE_HOACH_CD'!$G$6:$G$305,0)),""))</x:f>
      </x:c>
      <x:c r="K117" s="29" t="str">
        <x:f>IF(OR(H117="",I117=""),"",H117&amp;"|"&amp;TEXT(I117,"000"))</x:f>
      </x:c>
      <x:c r="L117" s="21"/>
      <x:c r="M117" s="21"/>
      <x:c r="N117" s="21"/>
      <x:c r="O117" s="43"/>
      <x:c r="P117" s="43"/>
      <x:c r="Q117" s="25"/>
      <x:c r="R117" s="25"/>
      <x:c r="S117" s="39" t="str">
        <x:f>IF(A117="","",SUMIF('07_DUNG_CHO'!$B$6:$B$505,A117,'07_DUNG_CHO'!$E$6:$E$505))</x:f>
      </x:c>
      <x:c r="T117" s="39" t="str">
        <x:f>IF(A117="","",IF(N117="SETUP",0,MAX(0,(P117-O117)*1440-Q117-S117)))</x:f>
      </x:c>
      <x:c r="U117" s="25"/>
      <x:c r="V117" s="25"/>
      <x:c r="W117" s="25"/>
      <x:c r="X117" s="25"/>
      <x:c r="Y117" s="25"/>
      <x:c r="Z117" s="25"/>
      <x:c r="AA117" s="39" t="str">
        <x:f>IF(A117="","",U117-SUM(V117,X117:Z117))</x:f>
      </x:c>
      <x:c r="AB117" s="39" t="str">
        <x:f>IF(A117="","",IF(N117="SETUP",IFERROR(INDEX('04_KE_HOACH_CD'!$K$6:$K$305,MATCH(K117,'04_KE_HOACH_CD'!$G$6:$G$305,0)),0),IF(OR(N117="PRODUCTION",N117="REWORK"),IFERROR(INDEX('04_KE_HOACH_CD'!$L$6:$L$305,MATCH(K117,'04_KE_HOACH_CD'!$G$6:$G$305,0))*V117,0),0)))</x:f>
      </x:c>
      <x:c r="AC117" s="39" t="str">
        <x:f>IF(A117="","",MAX(0,(P117-O117)*1440-Q117))</x:f>
      </x:c>
      <x:c r="AD117" s="37" t="str">
        <x:f>IF(A117="","",IFERROR(AB117/AC117,0))</x:f>
      </x:c>
      <x:c r="AE117" s="33" t="str">
        <x:f>IF(A117="","",AC117/60*SUMIF(DM_NHAN_SU!$A$6:$A$105,L117,DM_NHAN_SU!$E$6:$E$105))</x:f>
      </x:c>
      <x:c r="AF117" s="33" t="str">
        <x:f>IF(A117="","",AC117/60*SUMIF(DM_MAY!$A$6:$A$105,M117,DM_MAY!$F$6:$F$105))</x:f>
      </x:c>
      <x:c r="AG117" s="33" t="str">
        <x:f>IF(A117="","",AE117+AF117)</x:f>
      </x:c>
      <x:c r="AH117" s="21"/>
      <x:c r="AI117" s="29" t="str">
        <x:f>IF(A117="","",IF(OR(B117="",D117="",E117="",I117="",L117="",N117="",O117="",P117=""),"Thiếu dữ liệu",IF(AND(OR(N117="PRODUCTION",N117="REWORK",N117="SETUP"),M117=""),"Thiếu máy",IF(P117&lt;O117,"Sai thời gian",IF(AA117&lt;&gt;0,"Sai cân đối SL","Hợp lệ")))))</x:f>
      </x:c>
      <x:c r="AJ117" s="21"/>
    </x:row>
    <x:row r="118">
      <x:c r="A118" s="21"/>
      <x:c r="B118" s="35"/>
      <x:c r="C118" s="21"/>
      <x:c r="D118" s="21"/>
      <x:c r="E118" s="21"/>
      <x:c r="F118" s="21"/>
      <x:c r="G118" s="21"/>
      <x:c r="H118" s="29" t="str">
        <x:f>IF(OR(D118="",E118=""),"",D118&amp;"|"&amp;E118&amp;"|"&amp;IF(F118="","00",F118)&amp;"|"&amp;IF(G118="","01",G118))</x:f>
      </x:c>
      <x:c r="I118" s="21"/>
      <x:c r="J118" s="29" t="str">
        <x:f>IF(K118="","",IFERROR(INDEX('04_KE_HOACH_CD'!$I$6:$I$305,MATCH(K118,'04_KE_HOACH_CD'!$G$6:$G$305,0)),""))</x:f>
      </x:c>
      <x:c r="K118" s="29" t="str">
        <x:f>IF(OR(H118="",I118=""),"",H118&amp;"|"&amp;TEXT(I118,"000"))</x:f>
      </x:c>
      <x:c r="L118" s="21"/>
      <x:c r="M118" s="21"/>
      <x:c r="N118" s="21"/>
      <x:c r="O118" s="43"/>
      <x:c r="P118" s="43"/>
      <x:c r="Q118" s="25"/>
      <x:c r="R118" s="25"/>
      <x:c r="S118" s="39" t="str">
        <x:f>IF(A118="","",SUMIF('07_DUNG_CHO'!$B$6:$B$505,A118,'07_DUNG_CHO'!$E$6:$E$505))</x:f>
      </x:c>
      <x:c r="T118" s="39" t="str">
        <x:f>IF(A118="","",IF(N118="SETUP",0,MAX(0,(P118-O118)*1440-Q118-S118)))</x:f>
      </x:c>
      <x:c r="U118" s="25"/>
      <x:c r="V118" s="25"/>
      <x:c r="W118" s="25"/>
      <x:c r="X118" s="25"/>
      <x:c r="Y118" s="25"/>
      <x:c r="Z118" s="25"/>
      <x:c r="AA118" s="39" t="str">
        <x:f>IF(A118="","",U118-SUM(V118,X118:Z118))</x:f>
      </x:c>
      <x:c r="AB118" s="39" t="str">
        <x:f>IF(A118="","",IF(N118="SETUP",IFERROR(INDEX('04_KE_HOACH_CD'!$K$6:$K$305,MATCH(K118,'04_KE_HOACH_CD'!$G$6:$G$305,0)),0),IF(OR(N118="PRODUCTION",N118="REWORK"),IFERROR(INDEX('04_KE_HOACH_CD'!$L$6:$L$305,MATCH(K118,'04_KE_HOACH_CD'!$G$6:$G$305,0))*V118,0),0)))</x:f>
      </x:c>
      <x:c r="AC118" s="39" t="str">
        <x:f>IF(A118="","",MAX(0,(P118-O118)*1440-Q118))</x:f>
      </x:c>
      <x:c r="AD118" s="37" t="str">
        <x:f>IF(A118="","",IFERROR(AB118/AC118,0))</x:f>
      </x:c>
      <x:c r="AE118" s="33" t="str">
        <x:f>IF(A118="","",AC118/60*SUMIF(DM_NHAN_SU!$A$6:$A$105,L118,DM_NHAN_SU!$E$6:$E$105))</x:f>
      </x:c>
      <x:c r="AF118" s="33" t="str">
        <x:f>IF(A118="","",AC118/60*SUMIF(DM_MAY!$A$6:$A$105,M118,DM_MAY!$F$6:$F$105))</x:f>
      </x:c>
      <x:c r="AG118" s="33" t="str">
        <x:f>IF(A118="","",AE118+AF118)</x:f>
      </x:c>
      <x:c r="AH118" s="21"/>
      <x:c r="AI118" s="29" t="str">
        <x:f>IF(A118="","",IF(OR(B118="",D118="",E118="",I118="",L118="",N118="",O118="",P118=""),"Thiếu dữ liệu",IF(AND(OR(N118="PRODUCTION",N118="REWORK",N118="SETUP"),M118=""),"Thiếu máy",IF(P118&lt;O118,"Sai thời gian",IF(AA118&lt;&gt;0,"Sai cân đối SL","Hợp lệ")))))</x:f>
      </x:c>
      <x:c r="AJ118" s="21"/>
    </x:row>
    <x:row r="119">
      <x:c r="A119" s="21"/>
      <x:c r="B119" s="35"/>
      <x:c r="C119" s="21"/>
      <x:c r="D119" s="21"/>
      <x:c r="E119" s="21"/>
      <x:c r="F119" s="21"/>
      <x:c r="G119" s="21"/>
      <x:c r="H119" s="29" t="str">
        <x:f>IF(OR(D119="",E119=""),"",D119&amp;"|"&amp;E119&amp;"|"&amp;IF(F119="","00",F119)&amp;"|"&amp;IF(G119="","01",G119))</x:f>
      </x:c>
      <x:c r="I119" s="21"/>
      <x:c r="J119" s="29" t="str">
        <x:f>IF(K119="","",IFERROR(INDEX('04_KE_HOACH_CD'!$I$6:$I$305,MATCH(K119,'04_KE_HOACH_CD'!$G$6:$G$305,0)),""))</x:f>
      </x:c>
      <x:c r="K119" s="29" t="str">
        <x:f>IF(OR(H119="",I119=""),"",H119&amp;"|"&amp;TEXT(I119,"000"))</x:f>
      </x:c>
      <x:c r="L119" s="21"/>
      <x:c r="M119" s="21"/>
      <x:c r="N119" s="21"/>
      <x:c r="O119" s="43"/>
      <x:c r="P119" s="43"/>
      <x:c r="Q119" s="25"/>
      <x:c r="R119" s="25"/>
      <x:c r="S119" s="39" t="str">
        <x:f>IF(A119="","",SUMIF('07_DUNG_CHO'!$B$6:$B$505,A119,'07_DUNG_CHO'!$E$6:$E$505))</x:f>
      </x:c>
      <x:c r="T119" s="39" t="str">
        <x:f>IF(A119="","",IF(N119="SETUP",0,MAX(0,(P119-O119)*1440-Q119-S119)))</x:f>
      </x:c>
      <x:c r="U119" s="25"/>
      <x:c r="V119" s="25"/>
      <x:c r="W119" s="25"/>
      <x:c r="X119" s="25"/>
      <x:c r="Y119" s="25"/>
      <x:c r="Z119" s="25"/>
      <x:c r="AA119" s="39" t="str">
        <x:f>IF(A119="","",U119-SUM(V119,X119:Z119))</x:f>
      </x:c>
      <x:c r="AB119" s="39" t="str">
        <x:f>IF(A119="","",IF(N119="SETUP",IFERROR(INDEX('04_KE_HOACH_CD'!$K$6:$K$305,MATCH(K119,'04_KE_HOACH_CD'!$G$6:$G$305,0)),0),IF(OR(N119="PRODUCTION",N119="REWORK"),IFERROR(INDEX('04_KE_HOACH_CD'!$L$6:$L$305,MATCH(K119,'04_KE_HOACH_CD'!$G$6:$G$305,0))*V119,0),0)))</x:f>
      </x:c>
      <x:c r="AC119" s="39" t="str">
        <x:f>IF(A119="","",MAX(0,(P119-O119)*1440-Q119))</x:f>
      </x:c>
      <x:c r="AD119" s="37" t="str">
        <x:f>IF(A119="","",IFERROR(AB119/AC119,0))</x:f>
      </x:c>
      <x:c r="AE119" s="33" t="str">
        <x:f>IF(A119="","",AC119/60*SUMIF(DM_NHAN_SU!$A$6:$A$105,L119,DM_NHAN_SU!$E$6:$E$105))</x:f>
      </x:c>
      <x:c r="AF119" s="33" t="str">
        <x:f>IF(A119="","",AC119/60*SUMIF(DM_MAY!$A$6:$A$105,M119,DM_MAY!$F$6:$F$105))</x:f>
      </x:c>
      <x:c r="AG119" s="33" t="str">
        <x:f>IF(A119="","",AE119+AF119)</x:f>
      </x:c>
      <x:c r="AH119" s="21"/>
      <x:c r="AI119" s="29" t="str">
        <x:f>IF(A119="","",IF(OR(B119="",D119="",E119="",I119="",L119="",N119="",O119="",P119=""),"Thiếu dữ liệu",IF(AND(OR(N119="PRODUCTION",N119="REWORK",N119="SETUP"),M119=""),"Thiếu máy",IF(P119&lt;O119,"Sai thời gian",IF(AA119&lt;&gt;0,"Sai cân đối SL","Hợp lệ")))))</x:f>
      </x:c>
      <x:c r="AJ119" s="21"/>
    </x:row>
    <x:row r="120">
      <x:c r="A120" s="21"/>
      <x:c r="B120" s="35"/>
      <x:c r="C120" s="21"/>
      <x:c r="D120" s="21"/>
      <x:c r="E120" s="21"/>
      <x:c r="F120" s="21"/>
      <x:c r="G120" s="21"/>
      <x:c r="H120" s="29" t="str">
        <x:f>IF(OR(D120="",E120=""),"",D120&amp;"|"&amp;E120&amp;"|"&amp;IF(F120="","00",F120)&amp;"|"&amp;IF(G120="","01",G120))</x:f>
      </x:c>
      <x:c r="I120" s="21"/>
      <x:c r="J120" s="29" t="str">
        <x:f>IF(K120="","",IFERROR(INDEX('04_KE_HOACH_CD'!$I$6:$I$305,MATCH(K120,'04_KE_HOACH_CD'!$G$6:$G$305,0)),""))</x:f>
      </x:c>
      <x:c r="K120" s="29" t="str">
        <x:f>IF(OR(H120="",I120=""),"",H120&amp;"|"&amp;TEXT(I120,"000"))</x:f>
      </x:c>
      <x:c r="L120" s="21"/>
      <x:c r="M120" s="21"/>
      <x:c r="N120" s="21"/>
      <x:c r="O120" s="43"/>
      <x:c r="P120" s="43"/>
      <x:c r="Q120" s="25"/>
      <x:c r="R120" s="25"/>
      <x:c r="S120" s="39" t="str">
        <x:f>IF(A120="","",SUMIF('07_DUNG_CHO'!$B$6:$B$505,A120,'07_DUNG_CHO'!$E$6:$E$505))</x:f>
      </x:c>
      <x:c r="T120" s="39" t="str">
        <x:f>IF(A120="","",IF(N120="SETUP",0,MAX(0,(P120-O120)*1440-Q120-S120)))</x:f>
      </x:c>
      <x:c r="U120" s="25"/>
      <x:c r="V120" s="25"/>
      <x:c r="W120" s="25"/>
      <x:c r="X120" s="25"/>
      <x:c r="Y120" s="25"/>
      <x:c r="Z120" s="25"/>
      <x:c r="AA120" s="39" t="str">
        <x:f>IF(A120="","",U120-SUM(V120,X120:Z120))</x:f>
      </x:c>
      <x:c r="AB120" s="39" t="str">
        <x:f>IF(A120="","",IF(N120="SETUP",IFERROR(INDEX('04_KE_HOACH_CD'!$K$6:$K$305,MATCH(K120,'04_KE_HOACH_CD'!$G$6:$G$305,0)),0),IF(OR(N120="PRODUCTION",N120="REWORK"),IFERROR(INDEX('04_KE_HOACH_CD'!$L$6:$L$305,MATCH(K120,'04_KE_HOACH_CD'!$G$6:$G$305,0))*V120,0),0)))</x:f>
      </x:c>
      <x:c r="AC120" s="39" t="str">
        <x:f>IF(A120="","",MAX(0,(P120-O120)*1440-Q120))</x:f>
      </x:c>
      <x:c r="AD120" s="37" t="str">
        <x:f>IF(A120="","",IFERROR(AB120/AC120,0))</x:f>
      </x:c>
      <x:c r="AE120" s="33" t="str">
        <x:f>IF(A120="","",AC120/60*SUMIF(DM_NHAN_SU!$A$6:$A$105,L120,DM_NHAN_SU!$E$6:$E$105))</x:f>
      </x:c>
      <x:c r="AF120" s="33" t="str">
        <x:f>IF(A120="","",AC120/60*SUMIF(DM_MAY!$A$6:$A$105,M120,DM_MAY!$F$6:$F$105))</x:f>
      </x:c>
      <x:c r="AG120" s="33" t="str">
        <x:f>IF(A120="","",AE120+AF120)</x:f>
      </x:c>
      <x:c r="AH120" s="21"/>
      <x:c r="AI120" s="29" t="str">
        <x:f>IF(A120="","",IF(OR(B120="",D120="",E120="",I120="",L120="",N120="",O120="",P120=""),"Thiếu dữ liệu",IF(AND(OR(N120="PRODUCTION",N120="REWORK",N120="SETUP"),M120=""),"Thiếu máy",IF(P120&lt;O120,"Sai thời gian",IF(AA120&lt;&gt;0,"Sai cân đối SL","Hợp lệ")))))</x:f>
      </x:c>
      <x:c r="AJ120" s="21"/>
    </x:row>
    <x:row r="121">
      <x:c r="A121" s="21"/>
      <x:c r="B121" s="35"/>
      <x:c r="C121" s="21"/>
      <x:c r="D121" s="21"/>
      <x:c r="E121" s="21"/>
      <x:c r="F121" s="21"/>
      <x:c r="G121" s="21"/>
      <x:c r="H121" s="29" t="str">
        <x:f>IF(OR(D121="",E121=""),"",D121&amp;"|"&amp;E121&amp;"|"&amp;IF(F121="","00",F121)&amp;"|"&amp;IF(G121="","01",G121))</x:f>
      </x:c>
      <x:c r="I121" s="21"/>
      <x:c r="J121" s="29" t="str">
        <x:f>IF(K121="","",IFERROR(INDEX('04_KE_HOACH_CD'!$I$6:$I$305,MATCH(K121,'04_KE_HOACH_CD'!$G$6:$G$305,0)),""))</x:f>
      </x:c>
      <x:c r="K121" s="29" t="str">
        <x:f>IF(OR(H121="",I121=""),"",H121&amp;"|"&amp;TEXT(I121,"000"))</x:f>
      </x:c>
      <x:c r="L121" s="21"/>
      <x:c r="M121" s="21"/>
      <x:c r="N121" s="21"/>
      <x:c r="O121" s="43"/>
      <x:c r="P121" s="43"/>
      <x:c r="Q121" s="25"/>
      <x:c r="R121" s="25"/>
      <x:c r="S121" s="39" t="str">
        <x:f>IF(A121="","",SUMIF('07_DUNG_CHO'!$B$6:$B$505,A121,'07_DUNG_CHO'!$E$6:$E$505))</x:f>
      </x:c>
      <x:c r="T121" s="39" t="str">
        <x:f>IF(A121="","",IF(N121="SETUP",0,MAX(0,(P121-O121)*1440-Q121-S121)))</x:f>
      </x:c>
      <x:c r="U121" s="25"/>
      <x:c r="V121" s="25"/>
      <x:c r="W121" s="25"/>
      <x:c r="X121" s="25"/>
      <x:c r="Y121" s="25"/>
      <x:c r="Z121" s="25"/>
      <x:c r="AA121" s="39" t="str">
        <x:f>IF(A121="","",U121-SUM(V121,X121:Z121))</x:f>
      </x:c>
      <x:c r="AB121" s="39" t="str">
        <x:f>IF(A121="","",IF(N121="SETUP",IFERROR(INDEX('04_KE_HOACH_CD'!$K$6:$K$305,MATCH(K121,'04_KE_HOACH_CD'!$G$6:$G$305,0)),0),IF(OR(N121="PRODUCTION",N121="REWORK"),IFERROR(INDEX('04_KE_HOACH_CD'!$L$6:$L$305,MATCH(K121,'04_KE_HOACH_CD'!$G$6:$G$305,0))*V121,0),0)))</x:f>
      </x:c>
      <x:c r="AC121" s="39" t="str">
        <x:f>IF(A121="","",MAX(0,(P121-O121)*1440-Q121))</x:f>
      </x:c>
      <x:c r="AD121" s="37" t="str">
        <x:f>IF(A121="","",IFERROR(AB121/AC121,0))</x:f>
      </x:c>
      <x:c r="AE121" s="33" t="str">
        <x:f>IF(A121="","",AC121/60*SUMIF(DM_NHAN_SU!$A$6:$A$105,L121,DM_NHAN_SU!$E$6:$E$105))</x:f>
      </x:c>
      <x:c r="AF121" s="33" t="str">
        <x:f>IF(A121="","",AC121/60*SUMIF(DM_MAY!$A$6:$A$105,M121,DM_MAY!$F$6:$F$105))</x:f>
      </x:c>
      <x:c r="AG121" s="33" t="str">
        <x:f>IF(A121="","",AE121+AF121)</x:f>
      </x:c>
      <x:c r="AH121" s="21"/>
      <x:c r="AI121" s="29" t="str">
        <x:f>IF(A121="","",IF(OR(B121="",D121="",E121="",I121="",L121="",N121="",O121="",P121=""),"Thiếu dữ liệu",IF(AND(OR(N121="PRODUCTION",N121="REWORK",N121="SETUP"),M121=""),"Thiếu máy",IF(P121&lt;O121,"Sai thời gian",IF(AA121&lt;&gt;0,"Sai cân đối SL","Hợp lệ")))))</x:f>
      </x:c>
      <x:c r="AJ121" s="21"/>
    </x:row>
    <x:row r="122">
      <x:c r="A122" s="21"/>
      <x:c r="B122" s="35"/>
      <x:c r="C122" s="21"/>
      <x:c r="D122" s="21"/>
      <x:c r="E122" s="21"/>
      <x:c r="F122" s="21"/>
      <x:c r="G122" s="21"/>
      <x:c r="H122" s="29" t="str">
        <x:f>IF(OR(D122="",E122=""),"",D122&amp;"|"&amp;E122&amp;"|"&amp;IF(F122="","00",F122)&amp;"|"&amp;IF(G122="","01",G122))</x:f>
      </x:c>
      <x:c r="I122" s="21"/>
      <x:c r="J122" s="29" t="str">
        <x:f>IF(K122="","",IFERROR(INDEX('04_KE_HOACH_CD'!$I$6:$I$305,MATCH(K122,'04_KE_HOACH_CD'!$G$6:$G$305,0)),""))</x:f>
      </x:c>
      <x:c r="K122" s="29" t="str">
        <x:f>IF(OR(H122="",I122=""),"",H122&amp;"|"&amp;TEXT(I122,"000"))</x:f>
      </x:c>
      <x:c r="L122" s="21"/>
      <x:c r="M122" s="21"/>
      <x:c r="N122" s="21"/>
      <x:c r="O122" s="43"/>
      <x:c r="P122" s="43"/>
      <x:c r="Q122" s="25"/>
      <x:c r="R122" s="25"/>
      <x:c r="S122" s="39" t="str">
        <x:f>IF(A122="","",SUMIF('07_DUNG_CHO'!$B$6:$B$505,A122,'07_DUNG_CHO'!$E$6:$E$505))</x:f>
      </x:c>
      <x:c r="T122" s="39" t="str">
        <x:f>IF(A122="","",IF(N122="SETUP",0,MAX(0,(P122-O122)*1440-Q122-S122)))</x:f>
      </x:c>
      <x:c r="U122" s="25"/>
      <x:c r="V122" s="25"/>
      <x:c r="W122" s="25"/>
      <x:c r="X122" s="25"/>
      <x:c r="Y122" s="25"/>
      <x:c r="Z122" s="25"/>
      <x:c r="AA122" s="39" t="str">
        <x:f>IF(A122="","",U122-SUM(V122,X122:Z122))</x:f>
      </x:c>
      <x:c r="AB122" s="39" t="str">
        <x:f>IF(A122="","",IF(N122="SETUP",IFERROR(INDEX('04_KE_HOACH_CD'!$K$6:$K$305,MATCH(K122,'04_KE_HOACH_CD'!$G$6:$G$305,0)),0),IF(OR(N122="PRODUCTION",N122="REWORK"),IFERROR(INDEX('04_KE_HOACH_CD'!$L$6:$L$305,MATCH(K122,'04_KE_HOACH_CD'!$G$6:$G$305,0))*V122,0),0)))</x:f>
      </x:c>
      <x:c r="AC122" s="39" t="str">
        <x:f>IF(A122="","",MAX(0,(P122-O122)*1440-Q122))</x:f>
      </x:c>
      <x:c r="AD122" s="37" t="str">
        <x:f>IF(A122="","",IFERROR(AB122/AC122,0))</x:f>
      </x:c>
      <x:c r="AE122" s="33" t="str">
        <x:f>IF(A122="","",AC122/60*SUMIF(DM_NHAN_SU!$A$6:$A$105,L122,DM_NHAN_SU!$E$6:$E$105))</x:f>
      </x:c>
      <x:c r="AF122" s="33" t="str">
        <x:f>IF(A122="","",AC122/60*SUMIF(DM_MAY!$A$6:$A$105,M122,DM_MAY!$F$6:$F$105))</x:f>
      </x:c>
      <x:c r="AG122" s="33" t="str">
        <x:f>IF(A122="","",AE122+AF122)</x:f>
      </x:c>
      <x:c r="AH122" s="21"/>
      <x:c r="AI122" s="29" t="str">
        <x:f>IF(A122="","",IF(OR(B122="",D122="",E122="",I122="",L122="",N122="",O122="",P122=""),"Thiếu dữ liệu",IF(AND(OR(N122="PRODUCTION",N122="REWORK",N122="SETUP"),M122=""),"Thiếu máy",IF(P122&lt;O122,"Sai thời gian",IF(AA122&lt;&gt;0,"Sai cân đối SL","Hợp lệ")))))</x:f>
      </x:c>
      <x:c r="AJ122" s="21"/>
    </x:row>
    <x:row r="123">
      <x:c r="A123" s="21"/>
      <x:c r="B123" s="35"/>
      <x:c r="C123" s="21"/>
      <x:c r="D123" s="21"/>
      <x:c r="E123" s="21"/>
      <x:c r="F123" s="21"/>
      <x:c r="G123" s="21"/>
      <x:c r="H123" s="29" t="str">
        <x:f>IF(OR(D123="",E123=""),"",D123&amp;"|"&amp;E123&amp;"|"&amp;IF(F123="","00",F123)&amp;"|"&amp;IF(G123="","01",G123))</x:f>
      </x:c>
      <x:c r="I123" s="21"/>
      <x:c r="J123" s="29" t="str">
        <x:f>IF(K123="","",IFERROR(INDEX('04_KE_HOACH_CD'!$I$6:$I$305,MATCH(K123,'04_KE_HOACH_CD'!$G$6:$G$305,0)),""))</x:f>
      </x:c>
      <x:c r="K123" s="29" t="str">
        <x:f>IF(OR(H123="",I123=""),"",H123&amp;"|"&amp;TEXT(I123,"000"))</x:f>
      </x:c>
      <x:c r="L123" s="21"/>
      <x:c r="M123" s="21"/>
      <x:c r="N123" s="21"/>
      <x:c r="O123" s="43"/>
      <x:c r="P123" s="43"/>
      <x:c r="Q123" s="25"/>
      <x:c r="R123" s="25"/>
      <x:c r="S123" s="39" t="str">
        <x:f>IF(A123="","",SUMIF('07_DUNG_CHO'!$B$6:$B$505,A123,'07_DUNG_CHO'!$E$6:$E$505))</x:f>
      </x:c>
      <x:c r="T123" s="39" t="str">
        <x:f>IF(A123="","",IF(N123="SETUP",0,MAX(0,(P123-O123)*1440-Q123-S123)))</x:f>
      </x:c>
      <x:c r="U123" s="25"/>
      <x:c r="V123" s="25"/>
      <x:c r="W123" s="25"/>
      <x:c r="X123" s="25"/>
      <x:c r="Y123" s="25"/>
      <x:c r="Z123" s="25"/>
      <x:c r="AA123" s="39" t="str">
        <x:f>IF(A123="","",U123-SUM(V123,X123:Z123))</x:f>
      </x:c>
      <x:c r="AB123" s="39" t="str">
        <x:f>IF(A123="","",IF(N123="SETUP",IFERROR(INDEX('04_KE_HOACH_CD'!$K$6:$K$305,MATCH(K123,'04_KE_HOACH_CD'!$G$6:$G$305,0)),0),IF(OR(N123="PRODUCTION",N123="REWORK"),IFERROR(INDEX('04_KE_HOACH_CD'!$L$6:$L$305,MATCH(K123,'04_KE_HOACH_CD'!$G$6:$G$305,0))*V123,0),0)))</x:f>
      </x:c>
      <x:c r="AC123" s="39" t="str">
        <x:f>IF(A123="","",MAX(0,(P123-O123)*1440-Q123))</x:f>
      </x:c>
      <x:c r="AD123" s="37" t="str">
        <x:f>IF(A123="","",IFERROR(AB123/AC123,0))</x:f>
      </x:c>
      <x:c r="AE123" s="33" t="str">
        <x:f>IF(A123="","",AC123/60*SUMIF(DM_NHAN_SU!$A$6:$A$105,L123,DM_NHAN_SU!$E$6:$E$105))</x:f>
      </x:c>
      <x:c r="AF123" s="33" t="str">
        <x:f>IF(A123="","",AC123/60*SUMIF(DM_MAY!$A$6:$A$105,M123,DM_MAY!$F$6:$F$105))</x:f>
      </x:c>
      <x:c r="AG123" s="33" t="str">
        <x:f>IF(A123="","",AE123+AF123)</x:f>
      </x:c>
      <x:c r="AH123" s="21"/>
      <x:c r="AI123" s="29" t="str">
        <x:f>IF(A123="","",IF(OR(B123="",D123="",E123="",I123="",L123="",N123="",O123="",P123=""),"Thiếu dữ liệu",IF(AND(OR(N123="PRODUCTION",N123="REWORK",N123="SETUP"),M123=""),"Thiếu máy",IF(P123&lt;O123,"Sai thời gian",IF(AA123&lt;&gt;0,"Sai cân đối SL","Hợp lệ")))))</x:f>
      </x:c>
      <x:c r="AJ123" s="21"/>
    </x:row>
    <x:row r="124">
      <x:c r="A124" s="21"/>
      <x:c r="B124" s="35"/>
      <x:c r="C124" s="21"/>
      <x:c r="D124" s="21"/>
      <x:c r="E124" s="21"/>
      <x:c r="F124" s="21"/>
      <x:c r="G124" s="21"/>
      <x:c r="H124" s="29" t="str">
        <x:f>IF(OR(D124="",E124=""),"",D124&amp;"|"&amp;E124&amp;"|"&amp;IF(F124="","00",F124)&amp;"|"&amp;IF(G124="","01",G124))</x:f>
      </x:c>
      <x:c r="I124" s="21"/>
      <x:c r="J124" s="29" t="str">
        <x:f>IF(K124="","",IFERROR(INDEX('04_KE_HOACH_CD'!$I$6:$I$305,MATCH(K124,'04_KE_HOACH_CD'!$G$6:$G$305,0)),""))</x:f>
      </x:c>
      <x:c r="K124" s="29" t="str">
        <x:f>IF(OR(H124="",I124=""),"",H124&amp;"|"&amp;TEXT(I124,"000"))</x:f>
      </x:c>
      <x:c r="L124" s="21"/>
      <x:c r="M124" s="21"/>
      <x:c r="N124" s="21"/>
      <x:c r="O124" s="43"/>
      <x:c r="P124" s="43"/>
      <x:c r="Q124" s="25"/>
      <x:c r="R124" s="25"/>
      <x:c r="S124" s="39" t="str">
        <x:f>IF(A124="","",SUMIF('07_DUNG_CHO'!$B$6:$B$505,A124,'07_DUNG_CHO'!$E$6:$E$505))</x:f>
      </x:c>
      <x:c r="T124" s="39" t="str">
        <x:f>IF(A124="","",IF(N124="SETUP",0,MAX(0,(P124-O124)*1440-Q124-S124)))</x:f>
      </x:c>
      <x:c r="U124" s="25"/>
      <x:c r="V124" s="25"/>
      <x:c r="W124" s="25"/>
      <x:c r="X124" s="25"/>
      <x:c r="Y124" s="25"/>
      <x:c r="Z124" s="25"/>
      <x:c r="AA124" s="39" t="str">
        <x:f>IF(A124="","",U124-SUM(V124,X124:Z124))</x:f>
      </x:c>
      <x:c r="AB124" s="39" t="str">
        <x:f>IF(A124="","",IF(N124="SETUP",IFERROR(INDEX('04_KE_HOACH_CD'!$K$6:$K$305,MATCH(K124,'04_KE_HOACH_CD'!$G$6:$G$305,0)),0),IF(OR(N124="PRODUCTION",N124="REWORK"),IFERROR(INDEX('04_KE_HOACH_CD'!$L$6:$L$305,MATCH(K124,'04_KE_HOACH_CD'!$G$6:$G$305,0))*V124,0),0)))</x:f>
      </x:c>
      <x:c r="AC124" s="39" t="str">
        <x:f>IF(A124="","",MAX(0,(P124-O124)*1440-Q124))</x:f>
      </x:c>
      <x:c r="AD124" s="37" t="str">
        <x:f>IF(A124="","",IFERROR(AB124/AC124,0))</x:f>
      </x:c>
      <x:c r="AE124" s="33" t="str">
        <x:f>IF(A124="","",AC124/60*SUMIF(DM_NHAN_SU!$A$6:$A$105,L124,DM_NHAN_SU!$E$6:$E$105))</x:f>
      </x:c>
      <x:c r="AF124" s="33" t="str">
        <x:f>IF(A124="","",AC124/60*SUMIF(DM_MAY!$A$6:$A$105,M124,DM_MAY!$F$6:$F$105))</x:f>
      </x:c>
      <x:c r="AG124" s="33" t="str">
        <x:f>IF(A124="","",AE124+AF124)</x:f>
      </x:c>
      <x:c r="AH124" s="21"/>
      <x:c r="AI124" s="29" t="str">
        <x:f>IF(A124="","",IF(OR(B124="",D124="",E124="",I124="",L124="",N124="",O124="",P124=""),"Thiếu dữ liệu",IF(AND(OR(N124="PRODUCTION",N124="REWORK",N124="SETUP"),M124=""),"Thiếu máy",IF(P124&lt;O124,"Sai thời gian",IF(AA124&lt;&gt;0,"Sai cân đối SL","Hợp lệ")))))</x:f>
      </x:c>
      <x:c r="AJ124" s="21"/>
    </x:row>
    <x:row r="125">
      <x:c r="A125" s="21"/>
      <x:c r="B125" s="35"/>
      <x:c r="C125" s="21"/>
      <x:c r="D125" s="21"/>
      <x:c r="E125" s="21"/>
      <x:c r="F125" s="21"/>
      <x:c r="G125" s="21"/>
      <x:c r="H125" s="29" t="str">
        <x:f>IF(OR(D125="",E125=""),"",D125&amp;"|"&amp;E125&amp;"|"&amp;IF(F125="","00",F125)&amp;"|"&amp;IF(G125="","01",G125))</x:f>
      </x:c>
      <x:c r="I125" s="21"/>
      <x:c r="J125" s="29" t="str">
        <x:f>IF(K125="","",IFERROR(INDEX('04_KE_HOACH_CD'!$I$6:$I$305,MATCH(K125,'04_KE_HOACH_CD'!$G$6:$G$305,0)),""))</x:f>
      </x:c>
      <x:c r="K125" s="29" t="str">
        <x:f>IF(OR(H125="",I125=""),"",H125&amp;"|"&amp;TEXT(I125,"000"))</x:f>
      </x:c>
      <x:c r="L125" s="21"/>
      <x:c r="M125" s="21"/>
      <x:c r="N125" s="21"/>
      <x:c r="O125" s="43"/>
      <x:c r="P125" s="43"/>
      <x:c r="Q125" s="25"/>
      <x:c r="R125" s="25"/>
      <x:c r="S125" s="39" t="str">
        <x:f>IF(A125="","",SUMIF('07_DUNG_CHO'!$B$6:$B$505,A125,'07_DUNG_CHO'!$E$6:$E$505))</x:f>
      </x:c>
      <x:c r="T125" s="39" t="str">
        <x:f>IF(A125="","",IF(N125="SETUP",0,MAX(0,(P125-O125)*1440-Q125-S125)))</x:f>
      </x:c>
      <x:c r="U125" s="25"/>
      <x:c r="V125" s="25"/>
      <x:c r="W125" s="25"/>
      <x:c r="X125" s="25"/>
      <x:c r="Y125" s="25"/>
      <x:c r="Z125" s="25"/>
      <x:c r="AA125" s="39" t="str">
        <x:f>IF(A125="","",U125-SUM(V125,X125:Z125))</x:f>
      </x:c>
      <x:c r="AB125" s="39" t="str">
        <x:f>IF(A125="","",IF(N125="SETUP",IFERROR(INDEX('04_KE_HOACH_CD'!$K$6:$K$305,MATCH(K125,'04_KE_HOACH_CD'!$G$6:$G$305,0)),0),IF(OR(N125="PRODUCTION",N125="REWORK"),IFERROR(INDEX('04_KE_HOACH_CD'!$L$6:$L$305,MATCH(K125,'04_KE_HOACH_CD'!$G$6:$G$305,0))*V125,0),0)))</x:f>
      </x:c>
      <x:c r="AC125" s="39" t="str">
        <x:f>IF(A125="","",MAX(0,(P125-O125)*1440-Q125))</x:f>
      </x:c>
      <x:c r="AD125" s="37" t="str">
        <x:f>IF(A125="","",IFERROR(AB125/AC125,0))</x:f>
      </x:c>
      <x:c r="AE125" s="33" t="str">
        <x:f>IF(A125="","",AC125/60*SUMIF(DM_NHAN_SU!$A$6:$A$105,L125,DM_NHAN_SU!$E$6:$E$105))</x:f>
      </x:c>
      <x:c r="AF125" s="33" t="str">
        <x:f>IF(A125="","",AC125/60*SUMIF(DM_MAY!$A$6:$A$105,M125,DM_MAY!$F$6:$F$105))</x:f>
      </x:c>
      <x:c r="AG125" s="33" t="str">
        <x:f>IF(A125="","",AE125+AF125)</x:f>
      </x:c>
      <x:c r="AH125" s="21"/>
      <x:c r="AI125" s="29" t="str">
        <x:f>IF(A125="","",IF(OR(B125="",D125="",E125="",I125="",L125="",N125="",O125="",P125=""),"Thiếu dữ liệu",IF(AND(OR(N125="PRODUCTION",N125="REWORK",N125="SETUP"),M125=""),"Thiếu máy",IF(P125&lt;O125,"Sai thời gian",IF(AA125&lt;&gt;0,"Sai cân đối SL","Hợp lệ")))))</x:f>
      </x:c>
      <x:c r="AJ125" s="21"/>
    </x:row>
    <x:row r="126">
      <x:c r="A126" s="21"/>
      <x:c r="B126" s="35"/>
      <x:c r="C126" s="21"/>
      <x:c r="D126" s="21"/>
      <x:c r="E126" s="21"/>
      <x:c r="F126" s="21"/>
      <x:c r="G126" s="21"/>
      <x:c r="H126" s="29" t="str">
        <x:f>IF(OR(D126="",E126=""),"",D126&amp;"|"&amp;E126&amp;"|"&amp;IF(F126="","00",F126)&amp;"|"&amp;IF(G126="","01",G126))</x:f>
      </x:c>
      <x:c r="I126" s="21"/>
      <x:c r="J126" s="29" t="str">
        <x:f>IF(K126="","",IFERROR(INDEX('04_KE_HOACH_CD'!$I$6:$I$305,MATCH(K126,'04_KE_HOACH_CD'!$G$6:$G$305,0)),""))</x:f>
      </x:c>
      <x:c r="K126" s="29" t="str">
        <x:f>IF(OR(H126="",I126=""),"",H126&amp;"|"&amp;TEXT(I126,"000"))</x:f>
      </x:c>
      <x:c r="L126" s="21"/>
      <x:c r="M126" s="21"/>
      <x:c r="N126" s="21"/>
      <x:c r="O126" s="43"/>
      <x:c r="P126" s="43"/>
      <x:c r="Q126" s="25"/>
      <x:c r="R126" s="25"/>
      <x:c r="S126" s="39" t="str">
        <x:f>IF(A126="","",SUMIF('07_DUNG_CHO'!$B$6:$B$505,A126,'07_DUNG_CHO'!$E$6:$E$505))</x:f>
      </x:c>
      <x:c r="T126" s="39" t="str">
        <x:f>IF(A126="","",IF(N126="SETUP",0,MAX(0,(P126-O126)*1440-Q126-S126)))</x:f>
      </x:c>
      <x:c r="U126" s="25"/>
      <x:c r="V126" s="25"/>
      <x:c r="W126" s="25"/>
      <x:c r="X126" s="25"/>
      <x:c r="Y126" s="25"/>
      <x:c r="Z126" s="25"/>
      <x:c r="AA126" s="39" t="str">
        <x:f>IF(A126="","",U126-SUM(V126,X126:Z126))</x:f>
      </x:c>
      <x:c r="AB126" s="39" t="str">
        <x:f>IF(A126="","",IF(N126="SETUP",IFERROR(INDEX('04_KE_HOACH_CD'!$K$6:$K$305,MATCH(K126,'04_KE_HOACH_CD'!$G$6:$G$305,0)),0),IF(OR(N126="PRODUCTION",N126="REWORK"),IFERROR(INDEX('04_KE_HOACH_CD'!$L$6:$L$305,MATCH(K126,'04_KE_HOACH_CD'!$G$6:$G$305,0))*V126,0),0)))</x:f>
      </x:c>
      <x:c r="AC126" s="39" t="str">
        <x:f>IF(A126="","",MAX(0,(P126-O126)*1440-Q126))</x:f>
      </x:c>
      <x:c r="AD126" s="37" t="str">
        <x:f>IF(A126="","",IFERROR(AB126/AC126,0))</x:f>
      </x:c>
      <x:c r="AE126" s="33" t="str">
        <x:f>IF(A126="","",AC126/60*SUMIF(DM_NHAN_SU!$A$6:$A$105,L126,DM_NHAN_SU!$E$6:$E$105))</x:f>
      </x:c>
      <x:c r="AF126" s="33" t="str">
        <x:f>IF(A126="","",AC126/60*SUMIF(DM_MAY!$A$6:$A$105,M126,DM_MAY!$F$6:$F$105))</x:f>
      </x:c>
      <x:c r="AG126" s="33" t="str">
        <x:f>IF(A126="","",AE126+AF126)</x:f>
      </x:c>
      <x:c r="AH126" s="21"/>
      <x:c r="AI126" s="29" t="str">
        <x:f>IF(A126="","",IF(OR(B126="",D126="",E126="",I126="",L126="",N126="",O126="",P126=""),"Thiếu dữ liệu",IF(AND(OR(N126="PRODUCTION",N126="REWORK",N126="SETUP"),M126=""),"Thiếu máy",IF(P126&lt;O126,"Sai thời gian",IF(AA126&lt;&gt;0,"Sai cân đối SL","Hợp lệ")))))</x:f>
      </x:c>
      <x:c r="AJ126" s="21"/>
    </x:row>
    <x:row r="127">
      <x:c r="A127" s="21"/>
      <x:c r="B127" s="35"/>
      <x:c r="C127" s="21"/>
      <x:c r="D127" s="21"/>
      <x:c r="E127" s="21"/>
      <x:c r="F127" s="21"/>
      <x:c r="G127" s="21"/>
      <x:c r="H127" s="29" t="str">
        <x:f>IF(OR(D127="",E127=""),"",D127&amp;"|"&amp;E127&amp;"|"&amp;IF(F127="","00",F127)&amp;"|"&amp;IF(G127="","01",G127))</x:f>
      </x:c>
      <x:c r="I127" s="21"/>
      <x:c r="J127" s="29" t="str">
        <x:f>IF(K127="","",IFERROR(INDEX('04_KE_HOACH_CD'!$I$6:$I$305,MATCH(K127,'04_KE_HOACH_CD'!$G$6:$G$305,0)),""))</x:f>
      </x:c>
      <x:c r="K127" s="29" t="str">
        <x:f>IF(OR(H127="",I127=""),"",H127&amp;"|"&amp;TEXT(I127,"000"))</x:f>
      </x:c>
      <x:c r="L127" s="21"/>
      <x:c r="M127" s="21"/>
      <x:c r="N127" s="21"/>
      <x:c r="O127" s="43"/>
      <x:c r="P127" s="43"/>
      <x:c r="Q127" s="25"/>
      <x:c r="R127" s="25"/>
      <x:c r="S127" s="39" t="str">
        <x:f>IF(A127="","",SUMIF('07_DUNG_CHO'!$B$6:$B$505,A127,'07_DUNG_CHO'!$E$6:$E$505))</x:f>
      </x:c>
      <x:c r="T127" s="39" t="str">
        <x:f>IF(A127="","",IF(N127="SETUP",0,MAX(0,(P127-O127)*1440-Q127-S127)))</x:f>
      </x:c>
      <x:c r="U127" s="25"/>
      <x:c r="V127" s="25"/>
      <x:c r="W127" s="25"/>
      <x:c r="X127" s="25"/>
      <x:c r="Y127" s="25"/>
      <x:c r="Z127" s="25"/>
      <x:c r="AA127" s="39" t="str">
        <x:f>IF(A127="","",U127-SUM(V127,X127:Z127))</x:f>
      </x:c>
      <x:c r="AB127" s="39" t="str">
        <x:f>IF(A127="","",IF(N127="SETUP",IFERROR(INDEX('04_KE_HOACH_CD'!$K$6:$K$305,MATCH(K127,'04_KE_HOACH_CD'!$G$6:$G$305,0)),0),IF(OR(N127="PRODUCTION",N127="REWORK"),IFERROR(INDEX('04_KE_HOACH_CD'!$L$6:$L$305,MATCH(K127,'04_KE_HOACH_CD'!$G$6:$G$305,0))*V127,0),0)))</x:f>
      </x:c>
      <x:c r="AC127" s="39" t="str">
        <x:f>IF(A127="","",MAX(0,(P127-O127)*1440-Q127))</x:f>
      </x:c>
      <x:c r="AD127" s="37" t="str">
        <x:f>IF(A127="","",IFERROR(AB127/AC127,0))</x:f>
      </x:c>
      <x:c r="AE127" s="33" t="str">
        <x:f>IF(A127="","",AC127/60*SUMIF(DM_NHAN_SU!$A$6:$A$105,L127,DM_NHAN_SU!$E$6:$E$105))</x:f>
      </x:c>
      <x:c r="AF127" s="33" t="str">
        <x:f>IF(A127="","",AC127/60*SUMIF(DM_MAY!$A$6:$A$105,M127,DM_MAY!$F$6:$F$105))</x:f>
      </x:c>
      <x:c r="AG127" s="33" t="str">
        <x:f>IF(A127="","",AE127+AF127)</x:f>
      </x:c>
      <x:c r="AH127" s="21"/>
      <x:c r="AI127" s="29" t="str">
        <x:f>IF(A127="","",IF(OR(B127="",D127="",E127="",I127="",L127="",N127="",O127="",P127=""),"Thiếu dữ liệu",IF(AND(OR(N127="PRODUCTION",N127="REWORK",N127="SETUP"),M127=""),"Thiếu máy",IF(P127&lt;O127,"Sai thời gian",IF(AA127&lt;&gt;0,"Sai cân đối SL","Hợp lệ")))))</x:f>
      </x:c>
      <x:c r="AJ127" s="21"/>
    </x:row>
    <x:row r="128">
      <x:c r="A128" s="21"/>
      <x:c r="B128" s="35"/>
      <x:c r="C128" s="21"/>
      <x:c r="D128" s="21"/>
      <x:c r="E128" s="21"/>
      <x:c r="F128" s="21"/>
      <x:c r="G128" s="21"/>
      <x:c r="H128" s="29" t="str">
        <x:f>IF(OR(D128="",E128=""),"",D128&amp;"|"&amp;E128&amp;"|"&amp;IF(F128="","00",F128)&amp;"|"&amp;IF(G128="","01",G128))</x:f>
      </x:c>
      <x:c r="I128" s="21"/>
      <x:c r="J128" s="29" t="str">
        <x:f>IF(K128="","",IFERROR(INDEX('04_KE_HOACH_CD'!$I$6:$I$305,MATCH(K128,'04_KE_HOACH_CD'!$G$6:$G$305,0)),""))</x:f>
      </x:c>
      <x:c r="K128" s="29" t="str">
        <x:f>IF(OR(H128="",I128=""),"",H128&amp;"|"&amp;TEXT(I128,"000"))</x:f>
      </x:c>
      <x:c r="L128" s="21"/>
      <x:c r="M128" s="21"/>
      <x:c r="N128" s="21"/>
      <x:c r="O128" s="43"/>
      <x:c r="P128" s="43"/>
      <x:c r="Q128" s="25"/>
      <x:c r="R128" s="25"/>
      <x:c r="S128" s="39" t="str">
        <x:f>IF(A128="","",SUMIF('07_DUNG_CHO'!$B$6:$B$505,A128,'07_DUNG_CHO'!$E$6:$E$505))</x:f>
      </x:c>
      <x:c r="T128" s="39" t="str">
        <x:f>IF(A128="","",IF(N128="SETUP",0,MAX(0,(P128-O128)*1440-Q128-S128)))</x:f>
      </x:c>
      <x:c r="U128" s="25"/>
      <x:c r="V128" s="25"/>
      <x:c r="W128" s="25"/>
      <x:c r="X128" s="25"/>
      <x:c r="Y128" s="25"/>
      <x:c r="Z128" s="25"/>
      <x:c r="AA128" s="39" t="str">
        <x:f>IF(A128="","",U128-SUM(V128,X128:Z128))</x:f>
      </x:c>
      <x:c r="AB128" s="39" t="str">
        <x:f>IF(A128="","",IF(N128="SETUP",IFERROR(INDEX('04_KE_HOACH_CD'!$K$6:$K$305,MATCH(K128,'04_KE_HOACH_CD'!$G$6:$G$305,0)),0),IF(OR(N128="PRODUCTION",N128="REWORK"),IFERROR(INDEX('04_KE_HOACH_CD'!$L$6:$L$305,MATCH(K128,'04_KE_HOACH_CD'!$G$6:$G$305,0))*V128,0),0)))</x:f>
      </x:c>
      <x:c r="AC128" s="39" t="str">
        <x:f>IF(A128="","",MAX(0,(P128-O128)*1440-Q128))</x:f>
      </x:c>
      <x:c r="AD128" s="37" t="str">
        <x:f>IF(A128="","",IFERROR(AB128/AC128,0))</x:f>
      </x:c>
      <x:c r="AE128" s="33" t="str">
        <x:f>IF(A128="","",AC128/60*SUMIF(DM_NHAN_SU!$A$6:$A$105,L128,DM_NHAN_SU!$E$6:$E$105))</x:f>
      </x:c>
      <x:c r="AF128" s="33" t="str">
        <x:f>IF(A128="","",AC128/60*SUMIF(DM_MAY!$A$6:$A$105,M128,DM_MAY!$F$6:$F$105))</x:f>
      </x:c>
      <x:c r="AG128" s="33" t="str">
        <x:f>IF(A128="","",AE128+AF128)</x:f>
      </x:c>
      <x:c r="AH128" s="21"/>
      <x:c r="AI128" s="29" t="str">
        <x:f>IF(A128="","",IF(OR(B128="",D128="",E128="",I128="",L128="",N128="",O128="",P128=""),"Thiếu dữ liệu",IF(AND(OR(N128="PRODUCTION",N128="REWORK",N128="SETUP"),M128=""),"Thiếu máy",IF(P128&lt;O128,"Sai thời gian",IF(AA128&lt;&gt;0,"Sai cân đối SL","Hợp lệ")))))</x:f>
      </x:c>
      <x:c r="AJ128" s="21"/>
    </x:row>
    <x:row r="129">
      <x:c r="A129" s="21"/>
      <x:c r="B129" s="35"/>
      <x:c r="C129" s="21"/>
      <x:c r="D129" s="21"/>
      <x:c r="E129" s="21"/>
      <x:c r="F129" s="21"/>
      <x:c r="G129" s="21"/>
      <x:c r="H129" s="29" t="str">
        <x:f>IF(OR(D129="",E129=""),"",D129&amp;"|"&amp;E129&amp;"|"&amp;IF(F129="","00",F129)&amp;"|"&amp;IF(G129="","01",G129))</x:f>
      </x:c>
      <x:c r="I129" s="21"/>
      <x:c r="J129" s="29" t="str">
        <x:f>IF(K129="","",IFERROR(INDEX('04_KE_HOACH_CD'!$I$6:$I$305,MATCH(K129,'04_KE_HOACH_CD'!$G$6:$G$305,0)),""))</x:f>
      </x:c>
      <x:c r="K129" s="29" t="str">
        <x:f>IF(OR(H129="",I129=""),"",H129&amp;"|"&amp;TEXT(I129,"000"))</x:f>
      </x:c>
      <x:c r="L129" s="21"/>
      <x:c r="M129" s="21"/>
      <x:c r="N129" s="21"/>
      <x:c r="O129" s="43"/>
      <x:c r="P129" s="43"/>
      <x:c r="Q129" s="25"/>
      <x:c r="R129" s="25"/>
      <x:c r="S129" s="39" t="str">
        <x:f>IF(A129="","",SUMIF('07_DUNG_CHO'!$B$6:$B$505,A129,'07_DUNG_CHO'!$E$6:$E$505))</x:f>
      </x:c>
      <x:c r="T129" s="39" t="str">
        <x:f>IF(A129="","",IF(N129="SETUP",0,MAX(0,(P129-O129)*1440-Q129-S129)))</x:f>
      </x:c>
      <x:c r="U129" s="25"/>
      <x:c r="V129" s="25"/>
      <x:c r="W129" s="25"/>
      <x:c r="X129" s="25"/>
      <x:c r="Y129" s="25"/>
      <x:c r="Z129" s="25"/>
      <x:c r="AA129" s="39" t="str">
        <x:f>IF(A129="","",U129-SUM(V129,X129:Z129))</x:f>
      </x:c>
      <x:c r="AB129" s="39" t="str">
        <x:f>IF(A129="","",IF(N129="SETUP",IFERROR(INDEX('04_KE_HOACH_CD'!$K$6:$K$305,MATCH(K129,'04_KE_HOACH_CD'!$G$6:$G$305,0)),0),IF(OR(N129="PRODUCTION",N129="REWORK"),IFERROR(INDEX('04_KE_HOACH_CD'!$L$6:$L$305,MATCH(K129,'04_KE_HOACH_CD'!$G$6:$G$305,0))*V129,0),0)))</x:f>
      </x:c>
      <x:c r="AC129" s="39" t="str">
        <x:f>IF(A129="","",MAX(0,(P129-O129)*1440-Q129))</x:f>
      </x:c>
      <x:c r="AD129" s="37" t="str">
        <x:f>IF(A129="","",IFERROR(AB129/AC129,0))</x:f>
      </x:c>
      <x:c r="AE129" s="33" t="str">
        <x:f>IF(A129="","",AC129/60*SUMIF(DM_NHAN_SU!$A$6:$A$105,L129,DM_NHAN_SU!$E$6:$E$105))</x:f>
      </x:c>
      <x:c r="AF129" s="33" t="str">
        <x:f>IF(A129="","",AC129/60*SUMIF(DM_MAY!$A$6:$A$105,M129,DM_MAY!$F$6:$F$105))</x:f>
      </x:c>
      <x:c r="AG129" s="33" t="str">
        <x:f>IF(A129="","",AE129+AF129)</x:f>
      </x:c>
      <x:c r="AH129" s="21"/>
      <x:c r="AI129" s="29" t="str">
        <x:f>IF(A129="","",IF(OR(B129="",D129="",E129="",I129="",L129="",N129="",O129="",P129=""),"Thiếu dữ liệu",IF(AND(OR(N129="PRODUCTION",N129="REWORK",N129="SETUP"),M129=""),"Thiếu máy",IF(P129&lt;O129,"Sai thời gian",IF(AA129&lt;&gt;0,"Sai cân đối SL","Hợp lệ")))))</x:f>
      </x:c>
      <x:c r="AJ129" s="21"/>
    </x:row>
    <x:row r="130">
      <x:c r="A130" s="21"/>
      <x:c r="B130" s="35"/>
      <x:c r="C130" s="21"/>
      <x:c r="D130" s="21"/>
      <x:c r="E130" s="21"/>
      <x:c r="F130" s="21"/>
      <x:c r="G130" s="21"/>
      <x:c r="H130" s="29" t="str">
        <x:f>IF(OR(D130="",E130=""),"",D130&amp;"|"&amp;E130&amp;"|"&amp;IF(F130="","00",F130)&amp;"|"&amp;IF(G130="","01",G130))</x:f>
      </x:c>
      <x:c r="I130" s="21"/>
      <x:c r="J130" s="29" t="str">
        <x:f>IF(K130="","",IFERROR(INDEX('04_KE_HOACH_CD'!$I$6:$I$305,MATCH(K130,'04_KE_HOACH_CD'!$G$6:$G$305,0)),""))</x:f>
      </x:c>
      <x:c r="K130" s="29" t="str">
        <x:f>IF(OR(H130="",I130=""),"",H130&amp;"|"&amp;TEXT(I130,"000"))</x:f>
      </x:c>
      <x:c r="L130" s="21"/>
      <x:c r="M130" s="21"/>
      <x:c r="N130" s="21"/>
      <x:c r="O130" s="43"/>
      <x:c r="P130" s="43"/>
      <x:c r="Q130" s="25"/>
      <x:c r="R130" s="25"/>
      <x:c r="S130" s="39" t="str">
        <x:f>IF(A130="","",SUMIF('07_DUNG_CHO'!$B$6:$B$505,A130,'07_DUNG_CHO'!$E$6:$E$505))</x:f>
      </x:c>
      <x:c r="T130" s="39" t="str">
        <x:f>IF(A130="","",IF(N130="SETUP",0,MAX(0,(P130-O130)*1440-Q130-S130)))</x:f>
      </x:c>
      <x:c r="U130" s="25"/>
      <x:c r="V130" s="25"/>
      <x:c r="W130" s="25"/>
      <x:c r="X130" s="25"/>
      <x:c r="Y130" s="25"/>
      <x:c r="Z130" s="25"/>
      <x:c r="AA130" s="39" t="str">
        <x:f>IF(A130="","",U130-SUM(V130,X130:Z130))</x:f>
      </x:c>
      <x:c r="AB130" s="39" t="str">
        <x:f>IF(A130="","",IF(N130="SETUP",IFERROR(INDEX('04_KE_HOACH_CD'!$K$6:$K$305,MATCH(K130,'04_KE_HOACH_CD'!$G$6:$G$305,0)),0),IF(OR(N130="PRODUCTION",N130="REWORK"),IFERROR(INDEX('04_KE_HOACH_CD'!$L$6:$L$305,MATCH(K130,'04_KE_HOACH_CD'!$G$6:$G$305,0))*V130,0),0)))</x:f>
      </x:c>
      <x:c r="AC130" s="39" t="str">
        <x:f>IF(A130="","",MAX(0,(P130-O130)*1440-Q130))</x:f>
      </x:c>
      <x:c r="AD130" s="37" t="str">
        <x:f>IF(A130="","",IFERROR(AB130/AC130,0))</x:f>
      </x:c>
      <x:c r="AE130" s="33" t="str">
        <x:f>IF(A130="","",AC130/60*SUMIF(DM_NHAN_SU!$A$6:$A$105,L130,DM_NHAN_SU!$E$6:$E$105))</x:f>
      </x:c>
      <x:c r="AF130" s="33" t="str">
        <x:f>IF(A130="","",AC130/60*SUMIF(DM_MAY!$A$6:$A$105,M130,DM_MAY!$F$6:$F$105))</x:f>
      </x:c>
      <x:c r="AG130" s="33" t="str">
        <x:f>IF(A130="","",AE130+AF130)</x:f>
      </x:c>
      <x:c r="AH130" s="21"/>
      <x:c r="AI130" s="29" t="str">
        <x:f>IF(A130="","",IF(OR(B130="",D130="",E130="",I130="",L130="",N130="",O130="",P130=""),"Thiếu dữ liệu",IF(AND(OR(N130="PRODUCTION",N130="REWORK",N130="SETUP"),M130=""),"Thiếu máy",IF(P130&lt;O130,"Sai thời gian",IF(AA130&lt;&gt;0,"Sai cân đối SL","Hợp lệ")))))</x:f>
      </x:c>
      <x:c r="AJ130" s="21"/>
    </x:row>
    <x:row r="131">
      <x:c r="A131" s="21"/>
      <x:c r="B131" s="35"/>
      <x:c r="C131" s="21"/>
      <x:c r="D131" s="21"/>
      <x:c r="E131" s="21"/>
      <x:c r="F131" s="21"/>
      <x:c r="G131" s="21"/>
      <x:c r="H131" s="29" t="str">
        <x:f>IF(OR(D131="",E131=""),"",D131&amp;"|"&amp;E131&amp;"|"&amp;IF(F131="","00",F131)&amp;"|"&amp;IF(G131="","01",G131))</x:f>
      </x:c>
      <x:c r="I131" s="21"/>
      <x:c r="J131" s="29" t="str">
        <x:f>IF(K131="","",IFERROR(INDEX('04_KE_HOACH_CD'!$I$6:$I$305,MATCH(K131,'04_KE_HOACH_CD'!$G$6:$G$305,0)),""))</x:f>
      </x:c>
      <x:c r="K131" s="29" t="str">
        <x:f>IF(OR(H131="",I131=""),"",H131&amp;"|"&amp;TEXT(I131,"000"))</x:f>
      </x:c>
      <x:c r="L131" s="21"/>
      <x:c r="M131" s="21"/>
      <x:c r="N131" s="21"/>
      <x:c r="O131" s="43"/>
      <x:c r="P131" s="43"/>
      <x:c r="Q131" s="25"/>
      <x:c r="R131" s="25"/>
      <x:c r="S131" s="39" t="str">
        <x:f>IF(A131="","",SUMIF('07_DUNG_CHO'!$B$6:$B$505,A131,'07_DUNG_CHO'!$E$6:$E$505))</x:f>
      </x:c>
      <x:c r="T131" s="39" t="str">
        <x:f>IF(A131="","",IF(N131="SETUP",0,MAX(0,(P131-O131)*1440-Q131-S131)))</x:f>
      </x:c>
      <x:c r="U131" s="25"/>
      <x:c r="V131" s="25"/>
      <x:c r="W131" s="25"/>
      <x:c r="X131" s="25"/>
      <x:c r="Y131" s="25"/>
      <x:c r="Z131" s="25"/>
      <x:c r="AA131" s="39" t="str">
        <x:f>IF(A131="","",U131-SUM(V131,X131:Z131))</x:f>
      </x:c>
      <x:c r="AB131" s="39" t="str">
        <x:f>IF(A131="","",IF(N131="SETUP",IFERROR(INDEX('04_KE_HOACH_CD'!$K$6:$K$305,MATCH(K131,'04_KE_HOACH_CD'!$G$6:$G$305,0)),0),IF(OR(N131="PRODUCTION",N131="REWORK"),IFERROR(INDEX('04_KE_HOACH_CD'!$L$6:$L$305,MATCH(K131,'04_KE_HOACH_CD'!$G$6:$G$305,0))*V131,0),0)))</x:f>
      </x:c>
      <x:c r="AC131" s="39" t="str">
        <x:f>IF(A131="","",MAX(0,(P131-O131)*1440-Q131))</x:f>
      </x:c>
      <x:c r="AD131" s="37" t="str">
        <x:f>IF(A131="","",IFERROR(AB131/AC131,0))</x:f>
      </x:c>
      <x:c r="AE131" s="33" t="str">
        <x:f>IF(A131="","",AC131/60*SUMIF(DM_NHAN_SU!$A$6:$A$105,L131,DM_NHAN_SU!$E$6:$E$105))</x:f>
      </x:c>
      <x:c r="AF131" s="33" t="str">
        <x:f>IF(A131="","",AC131/60*SUMIF(DM_MAY!$A$6:$A$105,M131,DM_MAY!$F$6:$F$105))</x:f>
      </x:c>
      <x:c r="AG131" s="33" t="str">
        <x:f>IF(A131="","",AE131+AF131)</x:f>
      </x:c>
      <x:c r="AH131" s="21"/>
      <x:c r="AI131" s="29" t="str">
        <x:f>IF(A131="","",IF(OR(B131="",D131="",E131="",I131="",L131="",N131="",O131="",P131=""),"Thiếu dữ liệu",IF(AND(OR(N131="PRODUCTION",N131="REWORK",N131="SETUP"),M131=""),"Thiếu máy",IF(P131&lt;O131,"Sai thời gian",IF(AA131&lt;&gt;0,"Sai cân đối SL","Hợp lệ")))))</x:f>
      </x:c>
      <x:c r="AJ131" s="21"/>
    </x:row>
    <x:row r="132">
      <x:c r="A132" s="21"/>
      <x:c r="B132" s="35"/>
      <x:c r="C132" s="21"/>
      <x:c r="D132" s="21"/>
      <x:c r="E132" s="21"/>
      <x:c r="F132" s="21"/>
      <x:c r="G132" s="21"/>
      <x:c r="H132" s="29" t="str">
        <x:f>IF(OR(D132="",E132=""),"",D132&amp;"|"&amp;E132&amp;"|"&amp;IF(F132="","00",F132)&amp;"|"&amp;IF(G132="","01",G132))</x:f>
      </x:c>
      <x:c r="I132" s="21"/>
      <x:c r="J132" s="29" t="str">
        <x:f>IF(K132="","",IFERROR(INDEX('04_KE_HOACH_CD'!$I$6:$I$305,MATCH(K132,'04_KE_HOACH_CD'!$G$6:$G$305,0)),""))</x:f>
      </x:c>
      <x:c r="K132" s="29" t="str">
        <x:f>IF(OR(H132="",I132=""),"",H132&amp;"|"&amp;TEXT(I132,"000"))</x:f>
      </x:c>
      <x:c r="L132" s="21"/>
      <x:c r="M132" s="21"/>
      <x:c r="N132" s="21"/>
      <x:c r="O132" s="43"/>
      <x:c r="P132" s="43"/>
      <x:c r="Q132" s="25"/>
      <x:c r="R132" s="25"/>
      <x:c r="S132" s="39" t="str">
        <x:f>IF(A132="","",SUMIF('07_DUNG_CHO'!$B$6:$B$505,A132,'07_DUNG_CHO'!$E$6:$E$505))</x:f>
      </x:c>
      <x:c r="T132" s="39" t="str">
        <x:f>IF(A132="","",IF(N132="SETUP",0,MAX(0,(P132-O132)*1440-Q132-S132)))</x:f>
      </x:c>
      <x:c r="U132" s="25"/>
      <x:c r="V132" s="25"/>
      <x:c r="W132" s="25"/>
      <x:c r="X132" s="25"/>
      <x:c r="Y132" s="25"/>
      <x:c r="Z132" s="25"/>
      <x:c r="AA132" s="39" t="str">
        <x:f>IF(A132="","",U132-SUM(V132,X132:Z132))</x:f>
      </x:c>
      <x:c r="AB132" s="39" t="str">
        <x:f>IF(A132="","",IF(N132="SETUP",IFERROR(INDEX('04_KE_HOACH_CD'!$K$6:$K$305,MATCH(K132,'04_KE_HOACH_CD'!$G$6:$G$305,0)),0),IF(OR(N132="PRODUCTION",N132="REWORK"),IFERROR(INDEX('04_KE_HOACH_CD'!$L$6:$L$305,MATCH(K132,'04_KE_HOACH_CD'!$G$6:$G$305,0))*V132,0),0)))</x:f>
      </x:c>
      <x:c r="AC132" s="39" t="str">
        <x:f>IF(A132="","",MAX(0,(P132-O132)*1440-Q132))</x:f>
      </x:c>
      <x:c r="AD132" s="37" t="str">
        <x:f>IF(A132="","",IFERROR(AB132/AC132,0))</x:f>
      </x:c>
      <x:c r="AE132" s="33" t="str">
        <x:f>IF(A132="","",AC132/60*SUMIF(DM_NHAN_SU!$A$6:$A$105,L132,DM_NHAN_SU!$E$6:$E$105))</x:f>
      </x:c>
      <x:c r="AF132" s="33" t="str">
        <x:f>IF(A132="","",AC132/60*SUMIF(DM_MAY!$A$6:$A$105,M132,DM_MAY!$F$6:$F$105))</x:f>
      </x:c>
      <x:c r="AG132" s="33" t="str">
        <x:f>IF(A132="","",AE132+AF132)</x:f>
      </x:c>
      <x:c r="AH132" s="21"/>
      <x:c r="AI132" s="29" t="str">
        <x:f>IF(A132="","",IF(OR(B132="",D132="",E132="",I132="",L132="",N132="",O132="",P132=""),"Thiếu dữ liệu",IF(AND(OR(N132="PRODUCTION",N132="REWORK",N132="SETUP"),M132=""),"Thiếu máy",IF(P132&lt;O132,"Sai thời gian",IF(AA132&lt;&gt;0,"Sai cân đối SL","Hợp lệ")))))</x:f>
      </x:c>
      <x:c r="AJ132" s="21"/>
    </x:row>
    <x:row r="133">
      <x:c r="A133" s="21"/>
      <x:c r="B133" s="35"/>
      <x:c r="C133" s="21"/>
      <x:c r="D133" s="21"/>
      <x:c r="E133" s="21"/>
      <x:c r="F133" s="21"/>
      <x:c r="G133" s="21"/>
      <x:c r="H133" s="29" t="str">
        <x:f>IF(OR(D133="",E133=""),"",D133&amp;"|"&amp;E133&amp;"|"&amp;IF(F133="","00",F133)&amp;"|"&amp;IF(G133="","01",G133))</x:f>
      </x:c>
      <x:c r="I133" s="21"/>
      <x:c r="J133" s="29" t="str">
        <x:f>IF(K133="","",IFERROR(INDEX('04_KE_HOACH_CD'!$I$6:$I$305,MATCH(K133,'04_KE_HOACH_CD'!$G$6:$G$305,0)),""))</x:f>
      </x:c>
      <x:c r="K133" s="29" t="str">
        <x:f>IF(OR(H133="",I133=""),"",H133&amp;"|"&amp;TEXT(I133,"000"))</x:f>
      </x:c>
      <x:c r="L133" s="21"/>
      <x:c r="M133" s="21"/>
      <x:c r="N133" s="21"/>
      <x:c r="O133" s="43"/>
      <x:c r="P133" s="43"/>
      <x:c r="Q133" s="25"/>
      <x:c r="R133" s="25"/>
      <x:c r="S133" s="39" t="str">
        <x:f>IF(A133="","",SUMIF('07_DUNG_CHO'!$B$6:$B$505,A133,'07_DUNG_CHO'!$E$6:$E$505))</x:f>
      </x:c>
      <x:c r="T133" s="39" t="str">
        <x:f>IF(A133="","",IF(N133="SETUP",0,MAX(0,(P133-O133)*1440-Q133-S133)))</x:f>
      </x:c>
      <x:c r="U133" s="25"/>
      <x:c r="V133" s="25"/>
      <x:c r="W133" s="25"/>
      <x:c r="X133" s="25"/>
      <x:c r="Y133" s="25"/>
      <x:c r="Z133" s="25"/>
      <x:c r="AA133" s="39" t="str">
        <x:f>IF(A133="","",U133-SUM(V133,X133:Z133))</x:f>
      </x:c>
      <x:c r="AB133" s="39" t="str">
        <x:f>IF(A133="","",IF(N133="SETUP",IFERROR(INDEX('04_KE_HOACH_CD'!$K$6:$K$305,MATCH(K133,'04_KE_HOACH_CD'!$G$6:$G$305,0)),0),IF(OR(N133="PRODUCTION",N133="REWORK"),IFERROR(INDEX('04_KE_HOACH_CD'!$L$6:$L$305,MATCH(K133,'04_KE_HOACH_CD'!$G$6:$G$305,0))*V133,0),0)))</x:f>
      </x:c>
      <x:c r="AC133" s="39" t="str">
        <x:f>IF(A133="","",MAX(0,(P133-O133)*1440-Q133))</x:f>
      </x:c>
      <x:c r="AD133" s="37" t="str">
        <x:f>IF(A133="","",IFERROR(AB133/AC133,0))</x:f>
      </x:c>
      <x:c r="AE133" s="33" t="str">
        <x:f>IF(A133="","",AC133/60*SUMIF(DM_NHAN_SU!$A$6:$A$105,L133,DM_NHAN_SU!$E$6:$E$105))</x:f>
      </x:c>
      <x:c r="AF133" s="33" t="str">
        <x:f>IF(A133="","",AC133/60*SUMIF(DM_MAY!$A$6:$A$105,M133,DM_MAY!$F$6:$F$105))</x:f>
      </x:c>
      <x:c r="AG133" s="33" t="str">
        <x:f>IF(A133="","",AE133+AF133)</x:f>
      </x:c>
      <x:c r="AH133" s="21"/>
      <x:c r="AI133" s="29" t="str">
        <x:f>IF(A133="","",IF(OR(B133="",D133="",E133="",I133="",L133="",N133="",O133="",P133=""),"Thiếu dữ liệu",IF(AND(OR(N133="PRODUCTION",N133="REWORK",N133="SETUP"),M133=""),"Thiếu máy",IF(P133&lt;O133,"Sai thời gian",IF(AA133&lt;&gt;0,"Sai cân đối SL","Hợp lệ")))))</x:f>
      </x:c>
      <x:c r="AJ133" s="21"/>
    </x:row>
    <x:row r="134">
      <x:c r="A134" s="21"/>
      <x:c r="B134" s="35"/>
      <x:c r="C134" s="21"/>
      <x:c r="D134" s="21"/>
      <x:c r="E134" s="21"/>
      <x:c r="F134" s="21"/>
      <x:c r="G134" s="21"/>
      <x:c r="H134" s="29" t="str">
        <x:f>IF(OR(D134="",E134=""),"",D134&amp;"|"&amp;E134&amp;"|"&amp;IF(F134="","00",F134)&amp;"|"&amp;IF(G134="","01",G134))</x:f>
      </x:c>
      <x:c r="I134" s="21"/>
      <x:c r="J134" s="29" t="str">
        <x:f>IF(K134="","",IFERROR(INDEX('04_KE_HOACH_CD'!$I$6:$I$305,MATCH(K134,'04_KE_HOACH_CD'!$G$6:$G$305,0)),""))</x:f>
      </x:c>
      <x:c r="K134" s="29" t="str">
        <x:f>IF(OR(H134="",I134=""),"",H134&amp;"|"&amp;TEXT(I134,"000"))</x:f>
      </x:c>
      <x:c r="L134" s="21"/>
      <x:c r="M134" s="21"/>
      <x:c r="N134" s="21"/>
      <x:c r="O134" s="43"/>
      <x:c r="P134" s="43"/>
      <x:c r="Q134" s="25"/>
      <x:c r="R134" s="25"/>
      <x:c r="S134" s="39" t="str">
        <x:f>IF(A134="","",SUMIF('07_DUNG_CHO'!$B$6:$B$505,A134,'07_DUNG_CHO'!$E$6:$E$505))</x:f>
      </x:c>
      <x:c r="T134" s="39" t="str">
        <x:f>IF(A134="","",IF(N134="SETUP",0,MAX(0,(P134-O134)*1440-Q134-S134)))</x:f>
      </x:c>
      <x:c r="U134" s="25"/>
      <x:c r="V134" s="25"/>
      <x:c r="W134" s="25"/>
      <x:c r="X134" s="25"/>
      <x:c r="Y134" s="25"/>
      <x:c r="Z134" s="25"/>
      <x:c r="AA134" s="39" t="str">
        <x:f>IF(A134="","",U134-SUM(V134,X134:Z134))</x:f>
      </x:c>
      <x:c r="AB134" s="39" t="str">
        <x:f>IF(A134="","",IF(N134="SETUP",IFERROR(INDEX('04_KE_HOACH_CD'!$K$6:$K$305,MATCH(K134,'04_KE_HOACH_CD'!$G$6:$G$305,0)),0),IF(OR(N134="PRODUCTION",N134="REWORK"),IFERROR(INDEX('04_KE_HOACH_CD'!$L$6:$L$305,MATCH(K134,'04_KE_HOACH_CD'!$G$6:$G$305,0))*V134,0),0)))</x:f>
      </x:c>
      <x:c r="AC134" s="39" t="str">
        <x:f>IF(A134="","",MAX(0,(P134-O134)*1440-Q134))</x:f>
      </x:c>
      <x:c r="AD134" s="37" t="str">
        <x:f>IF(A134="","",IFERROR(AB134/AC134,0))</x:f>
      </x:c>
      <x:c r="AE134" s="33" t="str">
        <x:f>IF(A134="","",AC134/60*SUMIF(DM_NHAN_SU!$A$6:$A$105,L134,DM_NHAN_SU!$E$6:$E$105))</x:f>
      </x:c>
      <x:c r="AF134" s="33" t="str">
        <x:f>IF(A134="","",AC134/60*SUMIF(DM_MAY!$A$6:$A$105,M134,DM_MAY!$F$6:$F$105))</x:f>
      </x:c>
      <x:c r="AG134" s="33" t="str">
        <x:f>IF(A134="","",AE134+AF134)</x:f>
      </x:c>
      <x:c r="AH134" s="21"/>
      <x:c r="AI134" s="29" t="str">
        <x:f>IF(A134="","",IF(OR(B134="",D134="",E134="",I134="",L134="",N134="",O134="",P134=""),"Thiếu dữ liệu",IF(AND(OR(N134="PRODUCTION",N134="REWORK",N134="SETUP"),M134=""),"Thiếu máy",IF(P134&lt;O134,"Sai thời gian",IF(AA134&lt;&gt;0,"Sai cân đối SL","Hợp lệ")))))</x:f>
      </x:c>
      <x:c r="AJ134" s="21"/>
    </x:row>
    <x:row r="135">
      <x:c r="A135" s="21"/>
      <x:c r="B135" s="35"/>
      <x:c r="C135" s="21"/>
      <x:c r="D135" s="21"/>
      <x:c r="E135" s="21"/>
      <x:c r="F135" s="21"/>
      <x:c r="G135" s="21"/>
      <x:c r="H135" s="29" t="str">
        <x:f>IF(OR(D135="",E135=""),"",D135&amp;"|"&amp;E135&amp;"|"&amp;IF(F135="","00",F135)&amp;"|"&amp;IF(G135="","01",G135))</x:f>
      </x:c>
      <x:c r="I135" s="21"/>
      <x:c r="J135" s="29" t="str">
        <x:f>IF(K135="","",IFERROR(INDEX('04_KE_HOACH_CD'!$I$6:$I$305,MATCH(K135,'04_KE_HOACH_CD'!$G$6:$G$305,0)),""))</x:f>
      </x:c>
      <x:c r="K135" s="29" t="str">
        <x:f>IF(OR(H135="",I135=""),"",H135&amp;"|"&amp;TEXT(I135,"000"))</x:f>
      </x:c>
      <x:c r="L135" s="21"/>
      <x:c r="M135" s="21"/>
      <x:c r="N135" s="21"/>
      <x:c r="O135" s="43"/>
      <x:c r="P135" s="43"/>
      <x:c r="Q135" s="25"/>
      <x:c r="R135" s="25"/>
      <x:c r="S135" s="39" t="str">
        <x:f>IF(A135="","",SUMIF('07_DUNG_CHO'!$B$6:$B$505,A135,'07_DUNG_CHO'!$E$6:$E$505))</x:f>
      </x:c>
      <x:c r="T135" s="39" t="str">
        <x:f>IF(A135="","",IF(N135="SETUP",0,MAX(0,(P135-O135)*1440-Q135-S135)))</x:f>
      </x:c>
      <x:c r="U135" s="25"/>
      <x:c r="V135" s="25"/>
      <x:c r="W135" s="25"/>
      <x:c r="X135" s="25"/>
      <x:c r="Y135" s="25"/>
      <x:c r="Z135" s="25"/>
      <x:c r="AA135" s="39" t="str">
        <x:f>IF(A135="","",U135-SUM(V135,X135:Z135))</x:f>
      </x:c>
      <x:c r="AB135" s="39" t="str">
        <x:f>IF(A135="","",IF(N135="SETUP",IFERROR(INDEX('04_KE_HOACH_CD'!$K$6:$K$305,MATCH(K135,'04_KE_HOACH_CD'!$G$6:$G$305,0)),0),IF(OR(N135="PRODUCTION",N135="REWORK"),IFERROR(INDEX('04_KE_HOACH_CD'!$L$6:$L$305,MATCH(K135,'04_KE_HOACH_CD'!$G$6:$G$305,0))*V135,0),0)))</x:f>
      </x:c>
      <x:c r="AC135" s="39" t="str">
        <x:f>IF(A135="","",MAX(0,(P135-O135)*1440-Q135))</x:f>
      </x:c>
      <x:c r="AD135" s="37" t="str">
        <x:f>IF(A135="","",IFERROR(AB135/AC135,0))</x:f>
      </x:c>
      <x:c r="AE135" s="33" t="str">
        <x:f>IF(A135="","",AC135/60*SUMIF(DM_NHAN_SU!$A$6:$A$105,L135,DM_NHAN_SU!$E$6:$E$105))</x:f>
      </x:c>
      <x:c r="AF135" s="33" t="str">
        <x:f>IF(A135="","",AC135/60*SUMIF(DM_MAY!$A$6:$A$105,M135,DM_MAY!$F$6:$F$105))</x:f>
      </x:c>
      <x:c r="AG135" s="33" t="str">
        <x:f>IF(A135="","",AE135+AF135)</x:f>
      </x:c>
      <x:c r="AH135" s="21"/>
      <x:c r="AI135" s="29" t="str">
        <x:f>IF(A135="","",IF(OR(B135="",D135="",E135="",I135="",L135="",N135="",O135="",P135=""),"Thiếu dữ liệu",IF(AND(OR(N135="PRODUCTION",N135="REWORK",N135="SETUP"),M135=""),"Thiếu máy",IF(P135&lt;O135,"Sai thời gian",IF(AA135&lt;&gt;0,"Sai cân đối SL","Hợp lệ")))))</x:f>
      </x:c>
      <x:c r="AJ135" s="21"/>
    </x:row>
    <x:row r="136">
      <x:c r="A136" s="21"/>
      <x:c r="B136" s="35"/>
      <x:c r="C136" s="21"/>
      <x:c r="D136" s="21"/>
      <x:c r="E136" s="21"/>
      <x:c r="F136" s="21"/>
      <x:c r="G136" s="21"/>
      <x:c r="H136" s="29" t="str">
        <x:f>IF(OR(D136="",E136=""),"",D136&amp;"|"&amp;E136&amp;"|"&amp;IF(F136="","00",F136)&amp;"|"&amp;IF(G136="","01",G136))</x:f>
      </x:c>
      <x:c r="I136" s="21"/>
      <x:c r="J136" s="29" t="str">
        <x:f>IF(K136="","",IFERROR(INDEX('04_KE_HOACH_CD'!$I$6:$I$305,MATCH(K136,'04_KE_HOACH_CD'!$G$6:$G$305,0)),""))</x:f>
      </x:c>
      <x:c r="K136" s="29" t="str">
        <x:f>IF(OR(H136="",I136=""),"",H136&amp;"|"&amp;TEXT(I136,"000"))</x:f>
      </x:c>
      <x:c r="L136" s="21"/>
      <x:c r="M136" s="21"/>
      <x:c r="N136" s="21"/>
      <x:c r="O136" s="43"/>
      <x:c r="P136" s="43"/>
      <x:c r="Q136" s="25"/>
      <x:c r="R136" s="25"/>
      <x:c r="S136" s="39" t="str">
        <x:f>IF(A136="","",SUMIF('07_DUNG_CHO'!$B$6:$B$505,A136,'07_DUNG_CHO'!$E$6:$E$505))</x:f>
      </x:c>
      <x:c r="T136" s="39" t="str">
        <x:f>IF(A136="","",IF(N136="SETUP",0,MAX(0,(P136-O136)*1440-Q136-S136)))</x:f>
      </x:c>
      <x:c r="U136" s="25"/>
      <x:c r="V136" s="25"/>
      <x:c r="W136" s="25"/>
      <x:c r="X136" s="25"/>
      <x:c r="Y136" s="25"/>
      <x:c r="Z136" s="25"/>
      <x:c r="AA136" s="39" t="str">
        <x:f>IF(A136="","",U136-SUM(V136,X136:Z136))</x:f>
      </x:c>
      <x:c r="AB136" s="39" t="str">
        <x:f>IF(A136="","",IF(N136="SETUP",IFERROR(INDEX('04_KE_HOACH_CD'!$K$6:$K$305,MATCH(K136,'04_KE_HOACH_CD'!$G$6:$G$305,0)),0),IF(OR(N136="PRODUCTION",N136="REWORK"),IFERROR(INDEX('04_KE_HOACH_CD'!$L$6:$L$305,MATCH(K136,'04_KE_HOACH_CD'!$G$6:$G$305,0))*V136,0),0)))</x:f>
      </x:c>
      <x:c r="AC136" s="39" t="str">
        <x:f>IF(A136="","",MAX(0,(P136-O136)*1440-Q136))</x:f>
      </x:c>
      <x:c r="AD136" s="37" t="str">
        <x:f>IF(A136="","",IFERROR(AB136/AC136,0))</x:f>
      </x:c>
      <x:c r="AE136" s="33" t="str">
        <x:f>IF(A136="","",AC136/60*SUMIF(DM_NHAN_SU!$A$6:$A$105,L136,DM_NHAN_SU!$E$6:$E$105))</x:f>
      </x:c>
      <x:c r="AF136" s="33" t="str">
        <x:f>IF(A136="","",AC136/60*SUMIF(DM_MAY!$A$6:$A$105,M136,DM_MAY!$F$6:$F$105))</x:f>
      </x:c>
      <x:c r="AG136" s="33" t="str">
        <x:f>IF(A136="","",AE136+AF136)</x:f>
      </x:c>
      <x:c r="AH136" s="21"/>
      <x:c r="AI136" s="29" t="str">
        <x:f>IF(A136="","",IF(OR(B136="",D136="",E136="",I136="",L136="",N136="",O136="",P136=""),"Thiếu dữ liệu",IF(AND(OR(N136="PRODUCTION",N136="REWORK",N136="SETUP"),M136=""),"Thiếu máy",IF(P136&lt;O136,"Sai thời gian",IF(AA136&lt;&gt;0,"Sai cân đối SL","Hợp lệ")))))</x:f>
      </x:c>
      <x:c r="AJ136" s="21"/>
    </x:row>
    <x:row r="137">
      <x:c r="A137" s="21"/>
      <x:c r="B137" s="35"/>
      <x:c r="C137" s="21"/>
      <x:c r="D137" s="21"/>
      <x:c r="E137" s="21"/>
      <x:c r="F137" s="21"/>
      <x:c r="G137" s="21"/>
      <x:c r="H137" s="29" t="str">
        <x:f>IF(OR(D137="",E137=""),"",D137&amp;"|"&amp;E137&amp;"|"&amp;IF(F137="","00",F137)&amp;"|"&amp;IF(G137="","01",G137))</x:f>
      </x:c>
      <x:c r="I137" s="21"/>
      <x:c r="J137" s="29" t="str">
        <x:f>IF(K137="","",IFERROR(INDEX('04_KE_HOACH_CD'!$I$6:$I$305,MATCH(K137,'04_KE_HOACH_CD'!$G$6:$G$305,0)),""))</x:f>
      </x:c>
      <x:c r="K137" s="29" t="str">
        <x:f>IF(OR(H137="",I137=""),"",H137&amp;"|"&amp;TEXT(I137,"000"))</x:f>
      </x:c>
      <x:c r="L137" s="21"/>
      <x:c r="M137" s="21"/>
      <x:c r="N137" s="21"/>
      <x:c r="O137" s="43"/>
      <x:c r="P137" s="43"/>
      <x:c r="Q137" s="25"/>
      <x:c r="R137" s="25"/>
      <x:c r="S137" s="39" t="str">
        <x:f>IF(A137="","",SUMIF('07_DUNG_CHO'!$B$6:$B$505,A137,'07_DUNG_CHO'!$E$6:$E$505))</x:f>
      </x:c>
      <x:c r="T137" s="39" t="str">
        <x:f>IF(A137="","",IF(N137="SETUP",0,MAX(0,(P137-O137)*1440-Q137-S137)))</x:f>
      </x:c>
      <x:c r="U137" s="25"/>
      <x:c r="V137" s="25"/>
      <x:c r="W137" s="25"/>
      <x:c r="X137" s="25"/>
      <x:c r="Y137" s="25"/>
      <x:c r="Z137" s="25"/>
      <x:c r="AA137" s="39" t="str">
        <x:f>IF(A137="","",U137-SUM(V137,X137:Z137))</x:f>
      </x:c>
      <x:c r="AB137" s="39" t="str">
        <x:f>IF(A137="","",IF(N137="SETUP",IFERROR(INDEX('04_KE_HOACH_CD'!$K$6:$K$305,MATCH(K137,'04_KE_HOACH_CD'!$G$6:$G$305,0)),0),IF(OR(N137="PRODUCTION",N137="REWORK"),IFERROR(INDEX('04_KE_HOACH_CD'!$L$6:$L$305,MATCH(K137,'04_KE_HOACH_CD'!$G$6:$G$305,0))*V137,0),0)))</x:f>
      </x:c>
      <x:c r="AC137" s="39" t="str">
        <x:f>IF(A137="","",MAX(0,(P137-O137)*1440-Q137))</x:f>
      </x:c>
      <x:c r="AD137" s="37" t="str">
        <x:f>IF(A137="","",IFERROR(AB137/AC137,0))</x:f>
      </x:c>
      <x:c r="AE137" s="33" t="str">
        <x:f>IF(A137="","",AC137/60*SUMIF(DM_NHAN_SU!$A$6:$A$105,L137,DM_NHAN_SU!$E$6:$E$105))</x:f>
      </x:c>
      <x:c r="AF137" s="33" t="str">
        <x:f>IF(A137="","",AC137/60*SUMIF(DM_MAY!$A$6:$A$105,M137,DM_MAY!$F$6:$F$105))</x:f>
      </x:c>
      <x:c r="AG137" s="33" t="str">
        <x:f>IF(A137="","",AE137+AF137)</x:f>
      </x:c>
      <x:c r="AH137" s="21"/>
      <x:c r="AI137" s="29" t="str">
        <x:f>IF(A137="","",IF(OR(B137="",D137="",E137="",I137="",L137="",N137="",O137="",P137=""),"Thiếu dữ liệu",IF(AND(OR(N137="PRODUCTION",N137="REWORK",N137="SETUP"),M137=""),"Thiếu máy",IF(P137&lt;O137,"Sai thời gian",IF(AA137&lt;&gt;0,"Sai cân đối SL","Hợp lệ")))))</x:f>
      </x:c>
      <x:c r="AJ137" s="21"/>
    </x:row>
    <x:row r="138">
      <x:c r="A138" s="21"/>
      <x:c r="B138" s="35"/>
      <x:c r="C138" s="21"/>
      <x:c r="D138" s="21"/>
      <x:c r="E138" s="21"/>
      <x:c r="F138" s="21"/>
      <x:c r="G138" s="21"/>
      <x:c r="H138" s="29" t="str">
        <x:f>IF(OR(D138="",E138=""),"",D138&amp;"|"&amp;E138&amp;"|"&amp;IF(F138="","00",F138)&amp;"|"&amp;IF(G138="","01",G138))</x:f>
      </x:c>
      <x:c r="I138" s="21"/>
      <x:c r="J138" s="29" t="str">
        <x:f>IF(K138="","",IFERROR(INDEX('04_KE_HOACH_CD'!$I$6:$I$305,MATCH(K138,'04_KE_HOACH_CD'!$G$6:$G$305,0)),""))</x:f>
      </x:c>
      <x:c r="K138" s="29" t="str">
        <x:f>IF(OR(H138="",I138=""),"",H138&amp;"|"&amp;TEXT(I138,"000"))</x:f>
      </x:c>
      <x:c r="L138" s="21"/>
      <x:c r="M138" s="21"/>
      <x:c r="N138" s="21"/>
      <x:c r="O138" s="43"/>
      <x:c r="P138" s="43"/>
      <x:c r="Q138" s="25"/>
      <x:c r="R138" s="25"/>
      <x:c r="S138" s="39" t="str">
        <x:f>IF(A138="","",SUMIF('07_DUNG_CHO'!$B$6:$B$505,A138,'07_DUNG_CHO'!$E$6:$E$505))</x:f>
      </x:c>
      <x:c r="T138" s="39" t="str">
        <x:f>IF(A138="","",IF(N138="SETUP",0,MAX(0,(P138-O138)*1440-Q138-S138)))</x:f>
      </x:c>
      <x:c r="U138" s="25"/>
      <x:c r="V138" s="25"/>
      <x:c r="W138" s="25"/>
      <x:c r="X138" s="25"/>
      <x:c r="Y138" s="25"/>
      <x:c r="Z138" s="25"/>
      <x:c r="AA138" s="39" t="str">
        <x:f>IF(A138="","",U138-SUM(V138,X138:Z138))</x:f>
      </x:c>
      <x:c r="AB138" s="39" t="str">
        <x:f>IF(A138="","",IF(N138="SETUP",IFERROR(INDEX('04_KE_HOACH_CD'!$K$6:$K$305,MATCH(K138,'04_KE_HOACH_CD'!$G$6:$G$305,0)),0),IF(OR(N138="PRODUCTION",N138="REWORK"),IFERROR(INDEX('04_KE_HOACH_CD'!$L$6:$L$305,MATCH(K138,'04_KE_HOACH_CD'!$G$6:$G$305,0))*V138,0),0)))</x:f>
      </x:c>
      <x:c r="AC138" s="39" t="str">
        <x:f>IF(A138="","",MAX(0,(P138-O138)*1440-Q138))</x:f>
      </x:c>
      <x:c r="AD138" s="37" t="str">
        <x:f>IF(A138="","",IFERROR(AB138/AC138,0))</x:f>
      </x:c>
      <x:c r="AE138" s="33" t="str">
        <x:f>IF(A138="","",AC138/60*SUMIF(DM_NHAN_SU!$A$6:$A$105,L138,DM_NHAN_SU!$E$6:$E$105))</x:f>
      </x:c>
      <x:c r="AF138" s="33" t="str">
        <x:f>IF(A138="","",AC138/60*SUMIF(DM_MAY!$A$6:$A$105,M138,DM_MAY!$F$6:$F$105))</x:f>
      </x:c>
      <x:c r="AG138" s="33" t="str">
        <x:f>IF(A138="","",AE138+AF138)</x:f>
      </x:c>
      <x:c r="AH138" s="21"/>
      <x:c r="AI138" s="29" t="str">
        <x:f>IF(A138="","",IF(OR(B138="",D138="",E138="",I138="",L138="",N138="",O138="",P138=""),"Thiếu dữ liệu",IF(AND(OR(N138="PRODUCTION",N138="REWORK",N138="SETUP"),M138=""),"Thiếu máy",IF(P138&lt;O138,"Sai thời gian",IF(AA138&lt;&gt;0,"Sai cân đối SL","Hợp lệ")))))</x:f>
      </x:c>
      <x:c r="AJ138" s="21"/>
    </x:row>
    <x:row r="139">
      <x:c r="A139" s="21"/>
      <x:c r="B139" s="35"/>
      <x:c r="C139" s="21"/>
      <x:c r="D139" s="21"/>
      <x:c r="E139" s="21"/>
      <x:c r="F139" s="21"/>
      <x:c r="G139" s="21"/>
      <x:c r="H139" s="29" t="str">
        <x:f>IF(OR(D139="",E139=""),"",D139&amp;"|"&amp;E139&amp;"|"&amp;IF(F139="","00",F139)&amp;"|"&amp;IF(G139="","01",G139))</x:f>
      </x:c>
      <x:c r="I139" s="21"/>
      <x:c r="J139" s="29" t="str">
        <x:f>IF(K139="","",IFERROR(INDEX('04_KE_HOACH_CD'!$I$6:$I$305,MATCH(K139,'04_KE_HOACH_CD'!$G$6:$G$305,0)),""))</x:f>
      </x:c>
      <x:c r="K139" s="29" t="str">
        <x:f>IF(OR(H139="",I139=""),"",H139&amp;"|"&amp;TEXT(I139,"000"))</x:f>
      </x:c>
      <x:c r="L139" s="21"/>
      <x:c r="M139" s="21"/>
      <x:c r="N139" s="21"/>
      <x:c r="O139" s="43"/>
      <x:c r="P139" s="43"/>
      <x:c r="Q139" s="25"/>
      <x:c r="R139" s="25"/>
      <x:c r="S139" s="39" t="str">
        <x:f>IF(A139="","",SUMIF('07_DUNG_CHO'!$B$6:$B$505,A139,'07_DUNG_CHO'!$E$6:$E$505))</x:f>
      </x:c>
      <x:c r="T139" s="39" t="str">
        <x:f>IF(A139="","",IF(N139="SETUP",0,MAX(0,(P139-O139)*1440-Q139-S139)))</x:f>
      </x:c>
      <x:c r="U139" s="25"/>
      <x:c r="V139" s="25"/>
      <x:c r="W139" s="25"/>
      <x:c r="X139" s="25"/>
      <x:c r="Y139" s="25"/>
      <x:c r="Z139" s="25"/>
      <x:c r="AA139" s="39" t="str">
        <x:f>IF(A139="","",U139-SUM(V139,X139:Z139))</x:f>
      </x:c>
      <x:c r="AB139" s="39" t="str">
        <x:f>IF(A139="","",IF(N139="SETUP",IFERROR(INDEX('04_KE_HOACH_CD'!$K$6:$K$305,MATCH(K139,'04_KE_HOACH_CD'!$G$6:$G$305,0)),0),IF(OR(N139="PRODUCTION",N139="REWORK"),IFERROR(INDEX('04_KE_HOACH_CD'!$L$6:$L$305,MATCH(K139,'04_KE_HOACH_CD'!$G$6:$G$305,0))*V139,0),0)))</x:f>
      </x:c>
      <x:c r="AC139" s="39" t="str">
        <x:f>IF(A139="","",MAX(0,(P139-O139)*1440-Q139))</x:f>
      </x:c>
      <x:c r="AD139" s="37" t="str">
        <x:f>IF(A139="","",IFERROR(AB139/AC139,0))</x:f>
      </x:c>
      <x:c r="AE139" s="33" t="str">
        <x:f>IF(A139="","",AC139/60*SUMIF(DM_NHAN_SU!$A$6:$A$105,L139,DM_NHAN_SU!$E$6:$E$105))</x:f>
      </x:c>
      <x:c r="AF139" s="33" t="str">
        <x:f>IF(A139="","",AC139/60*SUMIF(DM_MAY!$A$6:$A$105,M139,DM_MAY!$F$6:$F$105))</x:f>
      </x:c>
      <x:c r="AG139" s="33" t="str">
        <x:f>IF(A139="","",AE139+AF139)</x:f>
      </x:c>
      <x:c r="AH139" s="21"/>
      <x:c r="AI139" s="29" t="str">
        <x:f>IF(A139="","",IF(OR(B139="",D139="",E139="",I139="",L139="",N139="",O139="",P139=""),"Thiếu dữ liệu",IF(AND(OR(N139="PRODUCTION",N139="REWORK",N139="SETUP"),M139=""),"Thiếu máy",IF(P139&lt;O139,"Sai thời gian",IF(AA139&lt;&gt;0,"Sai cân đối SL","Hợp lệ")))))</x:f>
      </x:c>
      <x:c r="AJ139" s="21"/>
    </x:row>
    <x:row r="140">
      <x:c r="A140" s="21"/>
      <x:c r="B140" s="35"/>
      <x:c r="C140" s="21"/>
      <x:c r="D140" s="21"/>
      <x:c r="E140" s="21"/>
      <x:c r="F140" s="21"/>
      <x:c r="G140" s="21"/>
      <x:c r="H140" s="29" t="str">
        <x:f>IF(OR(D140="",E140=""),"",D140&amp;"|"&amp;E140&amp;"|"&amp;IF(F140="","00",F140)&amp;"|"&amp;IF(G140="","01",G140))</x:f>
      </x:c>
      <x:c r="I140" s="21"/>
      <x:c r="J140" s="29" t="str">
        <x:f>IF(K140="","",IFERROR(INDEX('04_KE_HOACH_CD'!$I$6:$I$305,MATCH(K140,'04_KE_HOACH_CD'!$G$6:$G$305,0)),""))</x:f>
      </x:c>
      <x:c r="K140" s="29" t="str">
        <x:f>IF(OR(H140="",I140=""),"",H140&amp;"|"&amp;TEXT(I140,"000"))</x:f>
      </x:c>
      <x:c r="L140" s="21"/>
      <x:c r="M140" s="21"/>
      <x:c r="N140" s="21"/>
      <x:c r="O140" s="43"/>
      <x:c r="P140" s="43"/>
      <x:c r="Q140" s="25"/>
      <x:c r="R140" s="25"/>
      <x:c r="S140" s="39" t="str">
        <x:f>IF(A140="","",SUMIF('07_DUNG_CHO'!$B$6:$B$505,A140,'07_DUNG_CHO'!$E$6:$E$505))</x:f>
      </x:c>
      <x:c r="T140" s="39" t="str">
        <x:f>IF(A140="","",IF(N140="SETUP",0,MAX(0,(P140-O140)*1440-Q140-S140)))</x:f>
      </x:c>
      <x:c r="U140" s="25"/>
      <x:c r="V140" s="25"/>
      <x:c r="W140" s="25"/>
      <x:c r="X140" s="25"/>
      <x:c r="Y140" s="25"/>
      <x:c r="Z140" s="25"/>
      <x:c r="AA140" s="39" t="str">
        <x:f>IF(A140="","",U140-SUM(V140,X140:Z140))</x:f>
      </x:c>
      <x:c r="AB140" s="39" t="str">
        <x:f>IF(A140="","",IF(N140="SETUP",IFERROR(INDEX('04_KE_HOACH_CD'!$K$6:$K$305,MATCH(K140,'04_KE_HOACH_CD'!$G$6:$G$305,0)),0),IF(OR(N140="PRODUCTION",N140="REWORK"),IFERROR(INDEX('04_KE_HOACH_CD'!$L$6:$L$305,MATCH(K140,'04_KE_HOACH_CD'!$G$6:$G$305,0))*V140,0),0)))</x:f>
      </x:c>
      <x:c r="AC140" s="39" t="str">
        <x:f>IF(A140="","",MAX(0,(P140-O140)*1440-Q140))</x:f>
      </x:c>
      <x:c r="AD140" s="37" t="str">
        <x:f>IF(A140="","",IFERROR(AB140/AC140,0))</x:f>
      </x:c>
      <x:c r="AE140" s="33" t="str">
        <x:f>IF(A140="","",AC140/60*SUMIF(DM_NHAN_SU!$A$6:$A$105,L140,DM_NHAN_SU!$E$6:$E$105))</x:f>
      </x:c>
      <x:c r="AF140" s="33" t="str">
        <x:f>IF(A140="","",AC140/60*SUMIF(DM_MAY!$A$6:$A$105,M140,DM_MAY!$F$6:$F$105))</x:f>
      </x:c>
      <x:c r="AG140" s="33" t="str">
        <x:f>IF(A140="","",AE140+AF140)</x:f>
      </x:c>
      <x:c r="AH140" s="21"/>
      <x:c r="AI140" s="29" t="str">
        <x:f>IF(A140="","",IF(OR(B140="",D140="",E140="",I140="",L140="",N140="",O140="",P140=""),"Thiếu dữ liệu",IF(AND(OR(N140="PRODUCTION",N140="REWORK",N140="SETUP"),M140=""),"Thiếu máy",IF(P140&lt;O140,"Sai thời gian",IF(AA140&lt;&gt;0,"Sai cân đối SL","Hợp lệ")))))</x:f>
      </x:c>
      <x:c r="AJ140" s="21"/>
    </x:row>
    <x:row r="141">
      <x:c r="A141" s="21"/>
      <x:c r="B141" s="35"/>
      <x:c r="C141" s="21"/>
      <x:c r="D141" s="21"/>
      <x:c r="E141" s="21"/>
      <x:c r="F141" s="21"/>
      <x:c r="G141" s="21"/>
      <x:c r="H141" s="29" t="str">
        <x:f>IF(OR(D141="",E141=""),"",D141&amp;"|"&amp;E141&amp;"|"&amp;IF(F141="","00",F141)&amp;"|"&amp;IF(G141="","01",G141))</x:f>
      </x:c>
      <x:c r="I141" s="21"/>
      <x:c r="J141" s="29" t="str">
        <x:f>IF(K141="","",IFERROR(INDEX('04_KE_HOACH_CD'!$I$6:$I$305,MATCH(K141,'04_KE_HOACH_CD'!$G$6:$G$305,0)),""))</x:f>
      </x:c>
      <x:c r="K141" s="29" t="str">
        <x:f>IF(OR(H141="",I141=""),"",H141&amp;"|"&amp;TEXT(I141,"000"))</x:f>
      </x:c>
      <x:c r="L141" s="21"/>
      <x:c r="M141" s="21"/>
      <x:c r="N141" s="21"/>
      <x:c r="O141" s="43"/>
      <x:c r="P141" s="43"/>
      <x:c r="Q141" s="25"/>
      <x:c r="R141" s="25"/>
      <x:c r="S141" s="39" t="str">
        <x:f>IF(A141="","",SUMIF('07_DUNG_CHO'!$B$6:$B$505,A141,'07_DUNG_CHO'!$E$6:$E$505))</x:f>
      </x:c>
      <x:c r="T141" s="39" t="str">
        <x:f>IF(A141="","",IF(N141="SETUP",0,MAX(0,(P141-O141)*1440-Q141-S141)))</x:f>
      </x:c>
      <x:c r="U141" s="25"/>
      <x:c r="V141" s="25"/>
      <x:c r="W141" s="25"/>
      <x:c r="X141" s="25"/>
      <x:c r="Y141" s="25"/>
      <x:c r="Z141" s="25"/>
      <x:c r="AA141" s="39" t="str">
        <x:f>IF(A141="","",U141-SUM(V141,X141:Z141))</x:f>
      </x:c>
      <x:c r="AB141" s="39" t="str">
        <x:f>IF(A141="","",IF(N141="SETUP",IFERROR(INDEX('04_KE_HOACH_CD'!$K$6:$K$305,MATCH(K141,'04_KE_HOACH_CD'!$G$6:$G$305,0)),0),IF(OR(N141="PRODUCTION",N141="REWORK"),IFERROR(INDEX('04_KE_HOACH_CD'!$L$6:$L$305,MATCH(K141,'04_KE_HOACH_CD'!$G$6:$G$305,0))*V141,0),0)))</x:f>
      </x:c>
      <x:c r="AC141" s="39" t="str">
        <x:f>IF(A141="","",MAX(0,(P141-O141)*1440-Q141))</x:f>
      </x:c>
      <x:c r="AD141" s="37" t="str">
        <x:f>IF(A141="","",IFERROR(AB141/AC141,0))</x:f>
      </x:c>
      <x:c r="AE141" s="33" t="str">
        <x:f>IF(A141="","",AC141/60*SUMIF(DM_NHAN_SU!$A$6:$A$105,L141,DM_NHAN_SU!$E$6:$E$105))</x:f>
      </x:c>
      <x:c r="AF141" s="33" t="str">
        <x:f>IF(A141="","",AC141/60*SUMIF(DM_MAY!$A$6:$A$105,M141,DM_MAY!$F$6:$F$105))</x:f>
      </x:c>
      <x:c r="AG141" s="33" t="str">
        <x:f>IF(A141="","",AE141+AF141)</x:f>
      </x:c>
      <x:c r="AH141" s="21"/>
      <x:c r="AI141" s="29" t="str">
        <x:f>IF(A141="","",IF(OR(B141="",D141="",E141="",I141="",L141="",N141="",O141="",P141=""),"Thiếu dữ liệu",IF(AND(OR(N141="PRODUCTION",N141="REWORK",N141="SETUP"),M141=""),"Thiếu máy",IF(P141&lt;O141,"Sai thời gian",IF(AA141&lt;&gt;0,"Sai cân đối SL","Hợp lệ")))))</x:f>
      </x:c>
      <x:c r="AJ141" s="21"/>
    </x:row>
    <x:row r="142">
      <x:c r="A142" s="21"/>
      <x:c r="B142" s="35"/>
      <x:c r="C142" s="21"/>
      <x:c r="D142" s="21"/>
      <x:c r="E142" s="21"/>
      <x:c r="F142" s="21"/>
      <x:c r="G142" s="21"/>
      <x:c r="H142" s="29" t="str">
        <x:f>IF(OR(D142="",E142=""),"",D142&amp;"|"&amp;E142&amp;"|"&amp;IF(F142="","00",F142)&amp;"|"&amp;IF(G142="","01",G142))</x:f>
      </x:c>
      <x:c r="I142" s="21"/>
      <x:c r="J142" s="29" t="str">
        <x:f>IF(K142="","",IFERROR(INDEX('04_KE_HOACH_CD'!$I$6:$I$305,MATCH(K142,'04_KE_HOACH_CD'!$G$6:$G$305,0)),""))</x:f>
      </x:c>
      <x:c r="K142" s="29" t="str">
        <x:f>IF(OR(H142="",I142=""),"",H142&amp;"|"&amp;TEXT(I142,"000"))</x:f>
      </x:c>
      <x:c r="L142" s="21"/>
      <x:c r="M142" s="21"/>
      <x:c r="N142" s="21"/>
      <x:c r="O142" s="43"/>
      <x:c r="P142" s="43"/>
      <x:c r="Q142" s="25"/>
      <x:c r="R142" s="25"/>
      <x:c r="S142" s="39" t="str">
        <x:f>IF(A142="","",SUMIF('07_DUNG_CHO'!$B$6:$B$505,A142,'07_DUNG_CHO'!$E$6:$E$505))</x:f>
      </x:c>
      <x:c r="T142" s="39" t="str">
        <x:f>IF(A142="","",IF(N142="SETUP",0,MAX(0,(P142-O142)*1440-Q142-S142)))</x:f>
      </x:c>
      <x:c r="U142" s="25"/>
      <x:c r="V142" s="25"/>
      <x:c r="W142" s="25"/>
      <x:c r="X142" s="25"/>
      <x:c r="Y142" s="25"/>
      <x:c r="Z142" s="25"/>
      <x:c r="AA142" s="39" t="str">
        <x:f>IF(A142="","",U142-SUM(V142,X142:Z142))</x:f>
      </x:c>
      <x:c r="AB142" s="39" t="str">
        <x:f>IF(A142="","",IF(N142="SETUP",IFERROR(INDEX('04_KE_HOACH_CD'!$K$6:$K$305,MATCH(K142,'04_KE_HOACH_CD'!$G$6:$G$305,0)),0),IF(OR(N142="PRODUCTION",N142="REWORK"),IFERROR(INDEX('04_KE_HOACH_CD'!$L$6:$L$305,MATCH(K142,'04_KE_HOACH_CD'!$G$6:$G$305,0))*V142,0),0)))</x:f>
      </x:c>
      <x:c r="AC142" s="39" t="str">
        <x:f>IF(A142="","",MAX(0,(P142-O142)*1440-Q142))</x:f>
      </x:c>
      <x:c r="AD142" s="37" t="str">
        <x:f>IF(A142="","",IFERROR(AB142/AC142,0))</x:f>
      </x:c>
      <x:c r="AE142" s="33" t="str">
        <x:f>IF(A142="","",AC142/60*SUMIF(DM_NHAN_SU!$A$6:$A$105,L142,DM_NHAN_SU!$E$6:$E$105))</x:f>
      </x:c>
      <x:c r="AF142" s="33" t="str">
        <x:f>IF(A142="","",AC142/60*SUMIF(DM_MAY!$A$6:$A$105,M142,DM_MAY!$F$6:$F$105))</x:f>
      </x:c>
      <x:c r="AG142" s="33" t="str">
        <x:f>IF(A142="","",AE142+AF142)</x:f>
      </x:c>
      <x:c r="AH142" s="21"/>
      <x:c r="AI142" s="29" t="str">
        <x:f>IF(A142="","",IF(OR(B142="",D142="",E142="",I142="",L142="",N142="",O142="",P142=""),"Thiếu dữ liệu",IF(AND(OR(N142="PRODUCTION",N142="REWORK",N142="SETUP"),M142=""),"Thiếu máy",IF(P142&lt;O142,"Sai thời gian",IF(AA142&lt;&gt;0,"Sai cân đối SL","Hợp lệ")))))</x:f>
      </x:c>
      <x:c r="AJ142" s="21"/>
    </x:row>
    <x:row r="143">
      <x:c r="A143" s="21"/>
      <x:c r="B143" s="35"/>
      <x:c r="C143" s="21"/>
      <x:c r="D143" s="21"/>
      <x:c r="E143" s="21"/>
      <x:c r="F143" s="21"/>
      <x:c r="G143" s="21"/>
      <x:c r="H143" s="29" t="str">
        <x:f>IF(OR(D143="",E143=""),"",D143&amp;"|"&amp;E143&amp;"|"&amp;IF(F143="","00",F143)&amp;"|"&amp;IF(G143="","01",G143))</x:f>
      </x:c>
      <x:c r="I143" s="21"/>
      <x:c r="J143" s="29" t="str">
        <x:f>IF(K143="","",IFERROR(INDEX('04_KE_HOACH_CD'!$I$6:$I$305,MATCH(K143,'04_KE_HOACH_CD'!$G$6:$G$305,0)),""))</x:f>
      </x:c>
      <x:c r="K143" s="29" t="str">
        <x:f>IF(OR(H143="",I143=""),"",H143&amp;"|"&amp;TEXT(I143,"000"))</x:f>
      </x:c>
      <x:c r="L143" s="21"/>
      <x:c r="M143" s="21"/>
      <x:c r="N143" s="21"/>
      <x:c r="O143" s="43"/>
      <x:c r="P143" s="43"/>
      <x:c r="Q143" s="25"/>
      <x:c r="R143" s="25"/>
      <x:c r="S143" s="39" t="str">
        <x:f>IF(A143="","",SUMIF('07_DUNG_CHO'!$B$6:$B$505,A143,'07_DUNG_CHO'!$E$6:$E$505))</x:f>
      </x:c>
      <x:c r="T143" s="39" t="str">
        <x:f>IF(A143="","",IF(N143="SETUP",0,MAX(0,(P143-O143)*1440-Q143-S143)))</x:f>
      </x:c>
      <x:c r="U143" s="25"/>
      <x:c r="V143" s="25"/>
      <x:c r="W143" s="25"/>
      <x:c r="X143" s="25"/>
      <x:c r="Y143" s="25"/>
      <x:c r="Z143" s="25"/>
      <x:c r="AA143" s="39" t="str">
        <x:f>IF(A143="","",U143-SUM(V143,X143:Z143))</x:f>
      </x:c>
      <x:c r="AB143" s="39" t="str">
        <x:f>IF(A143="","",IF(N143="SETUP",IFERROR(INDEX('04_KE_HOACH_CD'!$K$6:$K$305,MATCH(K143,'04_KE_HOACH_CD'!$G$6:$G$305,0)),0),IF(OR(N143="PRODUCTION",N143="REWORK"),IFERROR(INDEX('04_KE_HOACH_CD'!$L$6:$L$305,MATCH(K143,'04_KE_HOACH_CD'!$G$6:$G$305,0))*V143,0),0)))</x:f>
      </x:c>
      <x:c r="AC143" s="39" t="str">
        <x:f>IF(A143="","",MAX(0,(P143-O143)*1440-Q143))</x:f>
      </x:c>
      <x:c r="AD143" s="37" t="str">
        <x:f>IF(A143="","",IFERROR(AB143/AC143,0))</x:f>
      </x:c>
      <x:c r="AE143" s="33" t="str">
        <x:f>IF(A143="","",AC143/60*SUMIF(DM_NHAN_SU!$A$6:$A$105,L143,DM_NHAN_SU!$E$6:$E$105))</x:f>
      </x:c>
      <x:c r="AF143" s="33" t="str">
        <x:f>IF(A143="","",AC143/60*SUMIF(DM_MAY!$A$6:$A$105,M143,DM_MAY!$F$6:$F$105))</x:f>
      </x:c>
      <x:c r="AG143" s="33" t="str">
        <x:f>IF(A143="","",AE143+AF143)</x:f>
      </x:c>
      <x:c r="AH143" s="21"/>
      <x:c r="AI143" s="29" t="str">
        <x:f>IF(A143="","",IF(OR(B143="",D143="",E143="",I143="",L143="",N143="",O143="",P143=""),"Thiếu dữ liệu",IF(AND(OR(N143="PRODUCTION",N143="REWORK",N143="SETUP"),M143=""),"Thiếu máy",IF(P143&lt;O143,"Sai thời gian",IF(AA143&lt;&gt;0,"Sai cân đối SL","Hợp lệ")))))</x:f>
      </x:c>
      <x:c r="AJ143" s="21"/>
    </x:row>
    <x:row r="144">
      <x:c r="A144" s="21"/>
      <x:c r="B144" s="35"/>
      <x:c r="C144" s="21"/>
      <x:c r="D144" s="21"/>
      <x:c r="E144" s="21"/>
      <x:c r="F144" s="21"/>
      <x:c r="G144" s="21"/>
      <x:c r="H144" s="29" t="str">
        <x:f>IF(OR(D144="",E144=""),"",D144&amp;"|"&amp;E144&amp;"|"&amp;IF(F144="","00",F144)&amp;"|"&amp;IF(G144="","01",G144))</x:f>
      </x:c>
      <x:c r="I144" s="21"/>
      <x:c r="J144" s="29" t="str">
        <x:f>IF(K144="","",IFERROR(INDEX('04_KE_HOACH_CD'!$I$6:$I$305,MATCH(K144,'04_KE_HOACH_CD'!$G$6:$G$305,0)),""))</x:f>
      </x:c>
      <x:c r="K144" s="29" t="str">
        <x:f>IF(OR(H144="",I144=""),"",H144&amp;"|"&amp;TEXT(I144,"000"))</x:f>
      </x:c>
      <x:c r="L144" s="21"/>
      <x:c r="M144" s="21"/>
      <x:c r="N144" s="21"/>
      <x:c r="O144" s="43"/>
      <x:c r="P144" s="43"/>
      <x:c r="Q144" s="25"/>
      <x:c r="R144" s="25"/>
      <x:c r="S144" s="39" t="str">
        <x:f>IF(A144="","",SUMIF('07_DUNG_CHO'!$B$6:$B$505,A144,'07_DUNG_CHO'!$E$6:$E$505))</x:f>
      </x:c>
      <x:c r="T144" s="39" t="str">
        <x:f>IF(A144="","",IF(N144="SETUP",0,MAX(0,(P144-O144)*1440-Q144-S144)))</x:f>
      </x:c>
      <x:c r="U144" s="25"/>
      <x:c r="V144" s="25"/>
      <x:c r="W144" s="25"/>
      <x:c r="X144" s="25"/>
      <x:c r="Y144" s="25"/>
      <x:c r="Z144" s="25"/>
      <x:c r="AA144" s="39" t="str">
        <x:f>IF(A144="","",U144-SUM(V144,X144:Z144))</x:f>
      </x:c>
      <x:c r="AB144" s="39" t="str">
        <x:f>IF(A144="","",IF(N144="SETUP",IFERROR(INDEX('04_KE_HOACH_CD'!$K$6:$K$305,MATCH(K144,'04_KE_HOACH_CD'!$G$6:$G$305,0)),0),IF(OR(N144="PRODUCTION",N144="REWORK"),IFERROR(INDEX('04_KE_HOACH_CD'!$L$6:$L$305,MATCH(K144,'04_KE_HOACH_CD'!$G$6:$G$305,0))*V144,0),0)))</x:f>
      </x:c>
      <x:c r="AC144" s="39" t="str">
        <x:f>IF(A144="","",MAX(0,(P144-O144)*1440-Q144))</x:f>
      </x:c>
      <x:c r="AD144" s="37" t="str">
        <x:f>IF(A144="","",IFERROR(AB144/AC144,0))</x:f>
      </x:c>
      <x:c r="AE144" s="33" t="str">
        <x:f>IF(A144="","",AC144/60*SUMIF(DM_NHAN_SU!$A$6:$A$105,L144,DM_NHAN_SU!$E$6:$E$105))</x:f>
      </x:c>
      <x:c r="AF144" s="33" t="str">
        <x:f>IF(A144="","",AC144/60*SUMIF(DM_MAY!$A$6:$A$105,M144,DM_MAY!$F$6:$F$105))</x:f>
      </x:c>
      <x:c r="AG144" s="33" t="str">
        <x:f>IF(A144="","",AE144+AF144)</x:f>
      </x:c>
      <x:c r="AH144" s="21"/>
      <x:c r="AI144" s="29" t="str">
        <x:f>IF(A144="","",IF(OR(B144="",D144="",E144="",I144="",L144="",N144="",O144="",P144=""),"Thiếu dữ liệu",IF(AND(OR(N144="PRODUCTION",N144="REWORK",N144="SETUP"),M144=""),"Thiếu máy",IF(P144&lt;O144,"Sai thời gian",IF(AA144&lt;&gt;0,"Sai cân đối SL","Hợp lệ")))))</x:f>
      </x:c>
      <x:c r="AJ144" s="21"/>
    </x:row>
    <x:row r="145">
      <x:c r="A145" s="21"/>
      <x:c r="B145" s="35"/>
      <x:c r="C145" s="21"/>
      <x:c r="D145" s="21"/>
      <x:c r="E145" s="21"/>
      <x:c r="F145" s="21"/>
      <x:c r="G145" s="21"/>
      <x:c r="H145" s="29" t="str">
        <x:f>IF(OR(D145="",E145=""),"",D145&amp;"|"&amp;E145&amp;"|"&amp;IF(F145="","00",F145)&amp;"|"&amp;IF(G145="","01",G145))</x:f>
      </x:c>
      <x:c r="I145" s="21"/>
      <x:c r="J145" s="29" t="str">
        <x:f>IF(K145="","",IFERROR(INDEX('04_KE_HOACH_CD'!$I$6:$I$305,MATCH(K145,'04_KE_HOACH_CD'!$G$6:$G$305,0)),""))</x:f>
      </x:c>
      <x:c r="K145" s="29" t="str">
        <x:f>IF(OR(H145="",I145=""),"",H145&amp;"|"&amp;TEXT(I145,"000"))</x:f>
      </x:c>
      <x:c r="L145" s="21"/>
      <x:c r="M145" s="21"/>
      <x:c r="N145" s="21"/>
      <x:c r="O145" s="43"/>
      <x:c r="P145" s="43"/>
      <x:c r="Q145" s="25"/>
      <x:c r="R145" s="25"/>
      <x:c r="S145" s="39" t="str">
        <x:f>IF(A145="","",SUMIF('07_DUNG_CHO'!$B$6:$B$505,A145,'07_DUNG_CHO'!$E$6:$E$505))</x:f>
      </x:c>
      <x:c r="T145" s="39" t="str">
        <x:f>IF(A145="","",IF(N145="SETUP",0,MAX(0,(P145-O145)*1440-Q145-S145)))</x:f>
      </x:c>
      <x:c r="U145" s="25"/>
      <x:c r="V145" s="25"/>
      <x:c r="W145" s="25"/>
      <x:c r="X145" s="25"/>
      <x:c r="Y145" s="25"/>
      <x:c r="Z145" s="25"/>
      <x:c r="AA145" s="39" t="str">
        <x:f>IF(A145="","",U145-SUM(V145,X145:Z145))</x:f>
      </x:c>
      <x:c r="AB145" s="39" t="str">
        <x:f>IF(A145="","",IF(N145="SETUP",IFERROR(INDEX('04_KE_HOACH_CD'!$K$6:$K$305,MATCH(K145,'04_KE_HOACH_CD'!$G$6:$G$305,0)),0),IF(OR(N145="PRODUCTION",N145="REWORK"),IFERROR(INDEX('04_KE_HOACH_CD'!$L$6:$L$305,MATCH(K145,'04_KE_HOACH_CD'!$G$6:$G$305,0))*V145,0),0)))</x:f>
      </x:c>
      <x:c r="AC145" s="39" t="str">
        <x:f>IF(A145="","",MAX(0,(P145-O145)*1440-Q145))</x:f>
      </x:c>
      <x:c r="AD145" s="37" t="str">
        <x:f>IF(A145="","",IFERROR(AB145/AC145,0))</x:f>
      </x:c>
      <x:c r="AE145" s="33" t="str">
        <x:f>IF(A145="","",AC145/60*SUMIF(DM_NHAN_SU!$A$6:$A$105,L145,DM_NHAN_SU!$E$6:$E$105))</x:f>
      </x:c>
      <x:c r="AF145" s="33" t="str">
        <x:f>IF(A145="","",AC145/60*SUMIF(DM_MAY!$A$6:$A$105,M145,DM_MAY!$F$6:$F$105))</x:f>
      </x:c>
      <x:c r="AG145" s="33" t="str">
        <x:f>IF(A145="","",AE145+AF145)</x:f>
      </x:c>
      <x:c r="AH145" s="21"/>
      <x:c r="AI145" s="29" t="str">
        <x:f>IF(A145="","",IF(OR(B145="",D145="",E145="",I145="",L145="",N145="",O145="",P145=""),"Thiếu dữ liệu",IF(AND(OR(N145="PRODUCTION",N145="REWORK",N145="SETUP"),M145=""),"Thiếu máy",IF(P145&lt;O145,"Sai thời gian",IF(AA145&lt;&gt;0,"Sai cân đối SL","Hợp lệ")))))</x:f>
      </x:c>
      <x:c r="AJ145" s="21"/>
    </x:row>
    <x:row r="146">
      <x:c r="A146" s="21"/>
      <x:c r="B146" s="35"/>
      <x:c r="C146" s="21"/>
      <x:c r="D146" s="21"/>
      <x:c r="E146" s="21"/>
      <x:c r="F146" s="21"/>
      <x:c r="G146" s="21"/>
      <x:c r="H146" s="29" t="str">
        <x:f>IF(OR(D146="",E146=""),"",D146&amp;"|"&amp;E146&amp;"|"&amp;IF(F146="","00",F146)&amp;"|"&amp;IF(G146="","01",G146))</x:f>
      </x:c>
      <x:c r="I146" s="21"/>
      <x:c r="J146" s="29" t="str">
        <x:f>IF(K146="","",IFERROR(INDEX('04_KE_HOACH_CD'!$I$6:$I$305,MATCH(K146,'04_KE_HOACH_CD'!$G$6:$G$305,0)),""))</x:f>
      </x:c>
      <x:c r="K146" s="29" t="str">
        <x:f>IF(OR(H146="",I146=""),"",H146&amp;"|"&amp;TEXT(I146,"000"))</x:f>
      </x:c>
      <x:c r="L146" s="21"/>
      <x:c r="M146" s="21"/>
      <x:c r="N146" s="21"/>
      <x:c r="O146" s="43"/>
      <x:c r="P146" s="43"/>
      <x:c r="Q146" s="25"/>
      <x:c r="R146" s="25"/>
      <x:c r="S146" s="39" t="str">
        <x:f>IF(A146="","",SUMIF('07_DUNG_CHO'!$B$6:$B$505,A146,'07_DUNG_CHO'!$E$6:$E$505))</x:f>
      </x:c>
      <x:c r="T146" s="39" t="str">
        <x:f>IF(A146="","",IF(N146="SETUP",0,MAX(0,(P146-O146)*1440-Q146-S146)))</x:f>
      </x:c>
      <x:c r="U146" s="25"/>
      <x:c r="V146" s="25"/>
      <x:c r="W146" s="25"/>
      <x:c r="X146" s="25"/>
      <x:c r="Y146" s="25"/>
      <x:c r="Z146" s="25"/>
      <x:c r="AA146" s="39" t="str">
        <x:f>IF(A146="","",U146-SUM(V146,X146:Z146))</x:f>
      </x:c>
      <x:c r="AB146" s="39" t="str">
        <x:f>IF(A146="","",IF(N146="SETUP",IFERROR(INDEX('04_KE_HOACH_CD'!$K$6:$K$305,MATCH(K146,'04_KE_HOACH_CD'!$G$6:$G$305,0)),0),IF(OR(N146="PRODUCTION",N146="REWORK"),IFERROR(INDEX('04_KE_HOACH_CD'!$L$6:$L$305,MATCH(K146,'04_KE_HOACH_CD'!$G$6:$G$305,0))*V146,0),0)))</x:f>
      </x:c>
      <x:c r="AC146" s="39" t="str">
        <x:f>IF(A146="","",MAX(0,(P146-O146)*1440-Q146))</x:f>
      </x:c>
      <x:c r="AD146" s="37" t="str">
        <x:f>IF(A146="","",IFERROR(AB146/AC146,0))</x:f>
      </x:c>
      <x:c r="AE146" s="33" t="str">
        <x:f>IF(A146="","",AC146/60*SUMIF(DM_NHAN_SU!$A$6:$A$105,L146,DM_NHAN_SU!$E$6:$E$105))</x:f>
      </x:c>
      <x:c r="AF146" s="33" t="str">
        <x:f>IF(A146="","",AC146/60*SUMIF(DM_MAY!$A$6:$A$105,M146,DM_MAY!$F$6:$F$105))</x:f>
      </x:c>
      <x:c r="AG146" s="33" t="str">
        <x:f>IF(A146="","",AE146+AF146)</x:f>
      </x:c>
      <x:c r="AH146" s="21"/>
      <x:c r="AI146" s="29" t="str">
        <x:f>IF(A146="","",IF(OR(B146="",D146="",E146="",I146="",L146="",N146="",O146="",P146=""),"Thiếu dữ liệu",IF(AND(OR(N146="PRODUCTION",N146="REWORK",N146="SETUP"),M146=""),"Thiếu máy",IF(P146&lt;O146,"Sai thời gian",IF(AA146&lt;&gt;0,"Sai cân đối SL","Hợp lệ")))))</x:f>
      </x:c>
      <x:c r="AJ146" s="21"/>
    </x:row>
    <x:row r="147">
      <x:c r="A147" s="21"/>
      <x:c r="B147" s="35"/>
      <x:c r="C147" s="21"/>
      <x:c r="D147" s="21"/>
      <x:c r="E147" s="21"/>
      <x:c r="F147" s="21"/>
      <x:c r="G147" s="21"/>
      <x:c r="H147" s="29" t="str">
        <x:f>IF(OR(D147="",E147=""),"",D147&amp;"|"&amp;E147&amp;"|"&amp;IF(F147="","00",F147)&amp;"|"&amp;IF(G147="","01",G147))</x:f>
      </x:c>
      <x:c r="I147" s="21"/>
      <x:c r="J147" s="29" t="str">
        <x:f>IF(K147="","",IFERROR(INDEX('04_KE_HOACH_CD'!$I$6:$I$305,MATCH(K147,'04_KE_HOACH_CD'!$G$6:$G$305,0)),""))</x:f>
      </x:c>
      <x:c r="K147" s="29" t="str">
        <x:f>IF(OR(H147="",I147=""),"",H147&amp;"|"&amp;TEXT(I147,"000"))</x:f>
      </x:c>
      <x:c r="L147" s="21"/>
      <x:c r="M147" s="21"/>
      <x:c r="N147" s="21"/>
      <x:c r="O147" s="43"/>
      <x:c r="P147" s="43"/>
      <x:c r="Q147" s="25"/>
      <x:c r="R147" s="25"/>
      <x:c r="S147" s="39" t="str">
        <x:f>IF(A147="","",SUMIF('07_DUNG_CHO'!$B$6:$B$505,A147,'07_DUNG_CHO'!$E$6:$E$505))</x:f>
      </x:c>
      <x:c r="T147" s="39" t="str">
        <x:f>IF(A147="","",IF(N147="SETUP",0,MAX(0,(P147-O147)*1440-Q147-S147)))</x:f>
      </x:c>
      <x:c r="U147" s="25"/>
      <x:c r="V147" s="25"/>
      <x:c r="W147" s="25"/>
      <x:c r="X147" s="25"/>
      <x:c r="Y147" s="25"/>
      <x:c r="Z147" s="25"/>
      <x:c r="AA147" s="39" t="str">
        <x:f>IF(A147="","",U147-SUM(V147,X147:Z147))</x:f>
      </x:c>
      <x:c r="AB147" s="39" t="str">
        <x:f>IF(A147="","",IF(N147="SETUP",IFERROR(INDEX('04_KE_HOACH_CD'!$K$6:$K$305,MATCH(K147,'04_KE_HOACH_CD'!$G$6:$G$305,0)),0),IF(OR(N147="PRODUCTION",N147="REWORK"),IFERROR(INDEX('04_KE_HOACH_CD'!$L$6:$L$305,MATCH(K147,'04_KE_HOACH_CD'!$G$6:$G$305,0))*V147,0),0)))</x:f>
      </x:c>
      <x:c r="AC147" s="39" t="str">
        <x:f>IF(A147="","",MAX(0,(P147-O147)*1440-Q147))</x:f>
      </x:c>
      <x:c r="AD147" s="37" t="str">
        <x:f>IF(A147="","",IFERROR(AB147/AC147,0))</x:f>
      </x:c>
      <x:c r="AE147" s="33" t="str">
        <x:f>IF(A147="","",AC147/60*SUMIF(DM_NHAN_SU!$A$6:$A$105,L147,DM_NHAN_SU!$E$6:$E$105))</x:f>
      </x:c>
      <x:c r="AF147" s="33" t="str">
        <x:f>IF(A147="","",AC147/60*SUMIF(DM_MAY!$A$6:$A$105,M147,DM_MAY!$F$6:$F$105))</x:f>
      </x:c>
      <x:c r="AG147" s="33" t="str">
        <x:f>IF(A147="","",AE147+AF147)</x:f>
      </x:c>
      <x:c r="AH147" s="21"/>
      <x:c r="AI147" s="29" t="str">
        <x:f>IF(A147="","",IF(OR(B147="",D147="",E147="",I147="",L147="",N147="",O147="",P147=""),"Thiếu dữ liệu",IF(AND(OR(N147="PRODUCTION",N147="REWORK",N147="SETUP"),M147=""),"Thiếu máy",IF(P147&lt;O147,"Sai thời gian",IF(AA147&lt;&gt;0,"Sai cân đối SL","Hợp lệ")))))</x:f>
      </x:c>
      <x:c r="AJ147" s="21"/>
    </x:row>
    <x:row r="148">
      <x:c r="A148" s="21"/>
      <x:c r="B148" s="35"/>
      <x:c r="C148" s="21"/>
      <x:c r="D148" s="21"/>
      <x:c r="E148" s="21"/>
      <x:c r="F148" s="21"/>
      <x:c r="G148" s="21"/>
      <x:c r="H148" s="29" t="str">
        <x:f>IF(OR(D148="",E148=""),"",D148&amp;"|"&amp;E148&amp;"|"&amp;IF(F148="","00",F148)&amp;"|"&amp;IF(G148="","01",G148))</x:f>
      </x:c>
      <x:c r="I148" s="21"/>
      <x:c r="J148" s="29" t="str">
        <x:f>IF(K148="","",IFERROR(INDEX('04_KE_HOACH_CD'!$I$6:$I$305,MATCH(K148,'04_KE_HOACH_CD'!$G$6:$G$305,0)),""))</x:f>
      </x:c>
      <x:c r="K148" s="29" t="str">
        <x:f>IF(OR(H148="",I148=""),"",H148&amp;"|"&amp;TEXT(I148,"000"))</x:f>
      </x:c>
      <x:c r="L148" s="21"/>
      <x:c r="M148" s="21"/>
      <x:c r="N148" s="21"/>
      <x:c r="O148" s="43"/>
      <x:c r="P148" s="43"/>
      <x:c r="Q148" s="25"/>
      <x:c r="R148" s="25"/>
      <x:c r="S148" s="39" t="str">
        <x:f>IF(A148="","",SUMIF('07_DUNG_CHO'!$B$6:$B$505,A148,'07_DUNG_CHO'!$E$6:$E$505))</x:f>
      </x:c>
      <x:c r="T148" s="39" t="str">
        <x:f>IF(A148="","",IF(N148="SETUP",0,MAX(0,(P148-O148)*1440-Q148-S148)))</x:f>
      </x:c>
      <x:c r="U148" s="25"/>
      <x:c r="V148" s="25"/>
      <x:c r="W148" s="25"/>
      <x:c r="X148" s="25"/>
      <x:c r="Y148" s="25"/>
      <x:c r="Z148" s="25"/>
      <x:c r="AA148" s="39" t="str">
        <x:f>IF(A148="","",U148-SUM(V148,X148:Z148))</x:f>
      </x:c>
      <x:c r="AB148" s="39" t="str">
        <x:f>IF(A148="","",IF(N148="SETUP",IFERROR(INDEX('04_KE_HOACH_CD'!$K$6:$K$305,MATCH(K148,'04_KE_HOACH_CD'!$G$6:$G$305,0)),0),IF(OR(N148="PRODUCTION",N148="REWORK"),IFERROR(INDEX('04_KE_HOACH_CD'!$L$6:$L$305,MATCH(K148,'04_KE_HOACH_CD'!$G$6:$G$305,0))*V148,0),0)))</x:f>
      </x:c>
      <x:c r="AC148" s="39" t="str">
        <x:f>IF(A148="","",MAX(0,(P148-O148)*1440-Q148))</x:f>
      </x:c>
      <x:c r="AD148" s="37" t="str">
        <x:f>IF(A148="","",IFERROR(AB148/AC148,0))</x:f>
      </x:c>
      <x:c r="AE148" s="33" t="str">
        <x:f>IF(A148="","",AC148/60*SUMIF(DM_NHAN_SU!$A$6:$A$105,L148,DM_NHAN_SU!$E$6:$E$105))</x:f>
      </x:c>
      <x:c r="AF148" s="33" t="str">
        <x:f>IF(A148="","",AC148/60*SUMIF(DM_MAY!$A$6:$A$105,M148,DM_MAY!$F$6:$F$105))</x:f>
      </x:c>
      <x:c r="AG148" s="33" t="str">
        <x:f>IF(A148="","",AE148+AF148)</x:f>
      </x:c>
      <x:c r="AH148" s="21"/>
      <x:c r="AI148" s="29" t="str">
        <x:f>IF(A148="","",IF(OR(B148="",D148="",E148="",I148="",L148="",N148="",O148="",P148=""),"Thiếu dữ liệu",IF(AND(OR(N148="PRODUCTION",N148="REWORK",N148="SETUP"),M148=""),"Thiếu máy",IF(P148&lt;O148,"Sai thời gian",IF(AA148&lt;&gt;0,"Sai cân đối SL","Hợp lệ")))))</x:f>
      </x:c>
      <x:c r="AJ148" s="21"/>
    </x:row>
    <x:row r="149">
      <x:c r="A149" s="21"/>
      <x:c r="B149" s="35"/>
      <x:c r="C149" s="21"/>
      <x:c r="D149" s="21"/>
      <x:c r="E149" s="21"/>
      <x:c r="F149" s="21"/>
      <x:c r="G149" s="21"/>
      <x:c r="H149" s="29" t="str">
        <x:f>IF(OR(D149="",E149=""),"",D149&amp;"|"&amp;E149&amp;"|"&amp;IF(F149="","00",F149)&amp;"|"&amp;IF(G149="","01",G149))</x:f>
      </x:c>
      <x:c r="I149" s="21"/>
      <x:c r="J149" s="29" t="str">
        <x:f>IF(K149="","",IFERROR(INDEX('04_KE_HOACH_CD'!$I$6:$I$305,MATCH(K149,'04_KE_HOACH_CD'!$G$6:$G$305,0)),""))</x:f>
      </x:c>
      <x:c r="K149" s="29" t="str">
        <x:f>IF(OR(H149="",I149=""),"",H149&amp;"|"&amp;TEXT(I149,"000"))</x:f>
      </x:c>
      <x:c r="L149" s="21"/>
      <x:c r="M149" s="21"/>
      <x:c r="N149" s="21"/>
      <x:c r="O149" s="43"/>
      <x:c r="P149" s="43"/>
      <x:c r="Q149" s="25"/>
      <x:c r="R149" s="25"/>
      <x:c r="S149" s="39" t="str">
        <x:f>IF(A149="","",SUMIF('07_DUNG_CHO'!$B$6:$B$505,A149,'07_DUNG_CHO'!$E$6:$E$505))</x:f>
      </x:c>
      <x:c r="T149" s="39" t="str">
        <x:f>IF(A149="","",IF(N149="SETUP",0,MAX(0,(P149-O149)*1440-Q149-S149)))</x:f>
      </x:c>
      <x:c r="U149" s="25"/>
      <x:c r="V149" s="25"/>
      <x:c r="W149" s="25"/>
      <x:c r="X149" s="25"/>
      <x:c r="Y149" s="25"/>
      <x:c r="Z149" s="25"/>
      <x:c r="AA149" s="39" t="str">
        <x:f>IF(A149="","",U149-SUM(V149,X149:Z149))</x:f>
      </x:c>
      <x:c r="AB149" s="39" t="str">
        <x:f>IF(A149="","",IF(N149="SETUP",IFERROR(INDEX('04_KE_HOACH_CD'!$K$6:$K$305,MATCH(K149,'04_KE_HOACH_CD'!$G$6:$G$305,0)),0),IF(OR(N149="PRODUCTION",N149="REWORK"),IFERROR(INDEX('04_KE_HOACH_CD'!$L$6:$L$305,MATCH(K149,'04_KE_HOACH_CD'!$G$6:$G$305,0))*V149,0),0)))</x:f>
      </x:c>
      <x:c r="AC149" s="39" t="str">
        <x:f>IF(A149="","",MAX(0,(P149-O149)*1440-Q149))</x:f>
      </x:c>
      <x:c r="AD149" s="37" t="str">
        <x:f>IF(A149="","",IFERROR(AB149/AC149,0))</x:f>
      </x:c>
      <x:c r="AE149" s="33" t="str">
        <x:f>IF(A149="","",AC149/60*SUMIF(DM_NHAN_SU!$A$6:$A$105,L149,DM_NHAN_SU!$E$6:$E$105))</x:f>
      </x:c>
      <x:c r="AF149" s="33" t="str">
        <x:f>IF(A149="","",AC149/60*SUMIF(DM_MAY!$A$6:$A$105,M149,DM_MAY!$F$6:$F$105))</x:f>
      </x:c>
      <x:c r="AG149" s="33" t="str">
        <x:f>IF(A149="","",AE149+AF149)</x:f>
      </x:c>
      <x:c r="AH149" s="21"/>
      <x:c r="AI149" s="29" t="str">
        <x:f>IF(A149="","",IF(OR(B149="",D149="",E149="",I149="",L149="",N149="",O149="",P149=""),"Thiếu dữ liệu",IF(AND(OR(N149="PRODUCTION",N149="REWORK",N149="SETUP"),M149=""),"Thiếu máy",IF(P149&lt;O149,"Sai thời gian",IF(AA149&lt;&gt;0,"Sai cân đối SL","Hợp lệ")))))</x:f>
      </x:c>
      <x:c r="AJ149" s="21"/>
    </x:row>
    <x:row r="150">
      <x:c r="A150" s="21"/>
      <x:c r="B150" s="35"/>
      <x:c r="C150" s="21"/>
      <x:c r="D150" s="21"/>
      <x:c r="E150" s="21"/>
      <x:c r="F150" s="21"/>
      <x:c r="G150" s="21"/>
      <x:c r="H150" s="29" t="str">
        <x:f>IF(OR(D150="",E150=""),"",D150&amp;"|"&amp;E150&amp;"|"&amp;IF(F150="","00",F150)&amp;"|"&amp;IF(G150="","01",G150))</x:f>
      </x:c>
      <x:c r="I150" s="21"/>
      <x:c r="J150" s="29" t="str">
        <x:f>IF(K150="","",IFERROR(INDEX('04_KE_HOACH_CD'!$I$6:$I$305,MATCH(K150,'04_KE_HOACH_CD'!$G$6:$G$305,0)),""))</x:f>
      </x:c>
      <x:c r="K150" s="29" t="str">
        <x:f>IF(OR(H150="",I150=""),"",H150&amp;"|"&amp;TEXT(I150,"000"))</x:f>
      </x:c>
      <x:c r="L150" s="21"/>
      <x:c r="M150" s="21"/>
      <x:c r="N150" s="21"/>
      <x:c r="O150" s="43"/>
      <x:c r="P150" s="43"/>
      <x:c r="Q150" s="25"/>
      <x:c r="R150" s="25"/>
      <x:c r="S150" s="39" t="str">
        <x:f>IF(A150="","",SUMIF('07_DUNG_CHO'!$B$6:$B$505,A150,'07_DUNG_CHO'!$E$6:$E$505))</x:f>
      </x:c>
      <x:c r="T150" s="39" t="str">
        <x:f>IF(A150="","",IF(N150="SETUP",0,MAX(0,(P150-O150)*1440-Q150-S150)))</x:f>
      </x:c>
      <x:c r="U150" s="25"/>
      <x:c r="V150" s="25"/>
      <x:c r="W150" s="25"/>
      <x:c r="X150" s="25"/>
      <x:c r="Y150" s="25"/>
      <x:c r="Z150" s="25"/>
      <x:c r="AA150" s="39" t="str">
        <x:f>IF(A150="","",U150-SUM(V150,X150:Z150))</x:f>
      </x:c>
      <x:c r="AB150" s="39" t="str">
        <x:f>IF(A150="","",IF(N150="SETUP",IFERROR(INDEX('04_KE_HOACH_CD'!$K$6:$K$305,MATCH(K150,'04_KE_HOACH_CD'!$G$6:$G$305,0)),0),IF(OR(N150="PRODUCTION",N150="REWORK"),IFERROR(INDEX('04_KE_HOACH_CD'!$L$6:$L$305,MATCH(K150,'04_KE_HOACH_CD'!$G$6:$G$305,0))*V150,0),0)))</x:f>
      </x:c>
      <x:c r="AC150" s="39" t="str">
        <x:f>IF(A150="","",MAX(0,(P150-O150)*1440-Q150))</x:f>
      </x:c>
      <x:c r="AD150" s="37" t="str">
        <x:f>IF(A150="","",IFERROR(AB150/AC150,0))</x:f>
      </x:c>
      <x:c r="AE150" s="33" t="str">
        <x:f>IF(A150="","",AC150/60*SUMIF(DM_NHAN_SU!$A$6:$A$105,L150,DM_NHAN_SU!$E$6:$E$105))</x:f>
      </x:c>
      <x:c r="AF150" s="33" t="str">
        <x:f>IF(A150="","",AC150/60*SUMIF(DM_MAY!$A$6:$A$105,M150,DM_MAY!$F$6:$F$105))</x:f>
      </x:c>
      <x:c r="AG150" s="33" t="str">
        <x:f>IF(A150="","",AE150+AF150)</x:f>
      </x:c>
      <x:c r="AH150" s="21"/>
      <x:c r="AI150" s="29" t="str">
        <x:f>IF(A150="","",IF(OR(B150="",D150="",E150="",I150="",L150="",N150="",O150="",P150=""),"Thiếu dữ liệu",IF(AND(OR(N150="PRODUCTION",N150="REWORK",N150="SETUP"),M150=""),"Thiếu máy",IF(P150&lt;O150,"Sai thời gian",IF(AA150&lt;&gt;0,"Sai cân đối SL","Hợp lệ")))))</x:f>
      </x:c>
      <x:c r="AJ150" s="21"/>
    </x:row>
    <x:row r="151">
      <x:c r="A151" s="21"/>
      <x:c r="B151" s="35"/>
      <x:c r="C151" s="21"/>
      <x:c r="D151" s="21"/>
      <x:c r="E151" s="21"/>
      <x:c r="F151" s="21"/>
      <x:c r="G151" s="21"/>
      <x:c r="H151" s="29" t="str">
        <x:f>IF(OR(D151="",E151=""),"",D151&amp;"|"&amp;E151&amp;"|"&amp;IF(F151="","00",F151)&amp;"|"&amp;IF(G151="","01",G151))</x:f>
      </x:c>
      <x:c r="I151" s="21"/>
      <x:c r="J151" s="29" t="str">
        <x:f>IF(K151="","",IFERROR(INDEX('04_KE_HOACH_CD'!$I$6:$I$305,MATCH(K151,'04_KE_HOACH_CD'!$G$6:$G$305,0)),""))</x:f>
      </x:c>
      <x:c r="K151" s="29" t="str">
        <x:f>IF(OR(H151="",I151=""),"",H151&amp;"|"&amp;TEXT(I151,"000"))</x:f>
      </x:c>
      <x:c r="L151" s="21"/>
      <x:c r="M151" s="21"/>
      <x:c r="N151" s="21"/>
      <x:c r="O151" s="43"/>
      <x:c r="P151" s="43"/>
      <x:c r="Q151" s="25"/>
      <x:c r="R151" s="25"/>
      <x:c r="S151" s="39" t="str">
        <x:f>IF(A151="","",SUMIF('07_DUNG_CHO'!$B$6:$B$505,A151,'07_DUNG_CHO'!$E$6:$E$505))</x:f>
      </x:c>
      <x:c r="T151" s="39" t="str">
        <x:f>IF(A151="","",IF(N151="SETUP",0,MAX(0,(P151-O151)*1440-Q151-S151)))</x:f>
      </x:c>
      <x:c r="U151" s="25"/>
      <x:c r="V151" s="25"/>
      <x:c r="W151" s="25"/>
      <x:c r="X151" s="25"/>
      <x:c r="Y151" s="25"/>
      <x:c r="Z151" s="25"/>
      <x:c r="AA151" s="39" t="str">
        <x:f>IF(A151="","",U151-SUM(V151,X151:Z151))</x:f>
      </x:c>
      <x:c r="AB151" s="39" t="str">
        <x:f>IF(A151="","",IF(N151="SETUP",IFERROR(INDEX('04_KE_HOACH_CD'!$K$6:$K$305,MATCH(K151,'04_KE_HOACH_CD'!$G$6:$G$305,0)),0),IF(OR(N151="PRODUCTION",N151="REWORK"),IFERROR(INDEX('04_KE_HOACH_CD'!$L$6:$L$305,MATCH(K151,'04_KE_HOACH_CD'!$G$6:$G$305,0))*V151,0),0)))</x:f>
      </x:c>
      <x:c r="AC151" s="39" t="str">
        <x:f>IF(A151="","",MAX(0,(P151-O151)*1440-Q151))</x:f>
      </x:c>
      <x:c r="AD151" s="37" t="str">
        <x:f>IF(A151="","",IFERROR(AB151/AC151,0))</x:f>
      </x:c>
      <x:c r="AE151" s="33" t="str">
        <x:f>IF(A151="","",AC151/60*SUMIF(DM_NHAN_SU!$A$6:$A$105,L151,DM_NHAN_SU!$E$6:$E$105))</x:f>
      </x:c>
      <x:c r="AF151" s="33" t="str">
        <x:f>IF(A151="","",AC151/60*SUMIF(DM_MAY!$A$6:$A$105,M151,DM_MAY!$F$6:$F$105))</x:f>
      </x:c>
      <x:c r="AG151" s="33" t="str">
        <x:f>IF(A151="","",AE151+AF151)</x:f>
      </x:c>
      <x:c r="AH151" s="21"/>
      <x:c r="AI151" s="29" t="str">
        <x:f>IF(A151="","",IF(OR(B151="",D151="",E151="",I151="",L151="",N151="",O151="",P151=""),"Thiếu dữ liệu",IF(AND(OR(N151="PRODUCTION",N151="REWORK",N151="SETUP"),M151=""),"Thiếu máy",IF(P151&lt;O151,"Sai thời gian",IF(AA151&lt;&gt;0,"Sai cân đối SL","Hợp lệ")))))</x:f>
      </x:c>
      <x:c r="AJ151" s="21"/>
    </x:row>
    <x:row r="152">
      <x:c r="A152" s="21"/>
      <x:c r="B152" s="35"/>
      <x:c r="C152" s="21"/>
      <x:c r="D152" s="21"/>
      <x:c r="E152" s="21"/>
      <x:c r="F152" s="21"/>
      <x:c r="G152" s="21"/>
      <x:c r="H152" s="29" t="str">
        <x:f>IF(OR(D152="",E152=""),"",D152&amp;"|"&amp;E152&amp;"|"&amp;IF(F152="","00",F152)&amp;"|"&amp;IF(G152="","01",G152))</x:f>
      </x:c>
      <x:c r="I152" s="21"/>
      <x:c r="J152" s="29" t="str">
        <x:f>IF(K152="","",IFERROR(INDEX('04_KE_HOACH_CD'!$I$6:$I$305,MATCH(K152,'04_KE_HOACH_CD'!$G$6:$G$305,0)),""))</x:f>
      </x:c>
      <x:c r="K152" s="29" t="str">
        <x:f>IF(OR(H152="",I152=""),"",H152&amp;"|"&amp;TEXT(I152,"000"))</x:f>
      </x:c>
      <x:c r="L152" s="21"/>
      <x:c r="M152" s="21"/>
      <x:c r="N152" s="21"/>
      <x:c r="O152" s="43"/>
      <x:c r="P152" s="43"/>
      <x:c r="Q152" s="25"/>
      <x:c r="R152" s="25"/>
      <x:c r="S152" s="39" t="str">
        <x:f>IF(A152="","",SUMIF('07_DUNG_CHO'!$B$6:$B$505,A152,'07_DUNG_CHO'!$E$6:$E$505))</x:f>
      </x:c>
      <x:c r="T152" s="39" t="str">
        <x:f>IF(A152="","",IF(N152="SETUP",0,MAX(0,(P152-O152)*1440-Q152-S152)))</x:f>
      </x:c>
      <x:c r="U152" s="25"/>
      <x:c r="V152" s="25"/>
      <x:c r="W152" s="25"/>
      <x:c r="X152" s="25"/>
      <x:c r="Y152" s="25"/>
      <x:c r="Z152" s="25"/>
      <x:c r="AA152" s="39" t="str">
        <x:f>IF(A152="","",U152-SUM(V152,X152:Z152))</x:f>
      </x:c>
      <x:c r="AB152" s="39" t="str">
        <x:f>IF(A152="","",IF(N152="SETUP",IFERROR(INDEX('04_KE_HOACH_CD'!$K$6:$K$305,MATCH(K152,'04_KE_HOACH_CD'!$G$6:$G$305,0)),0),IF(OR(N152="PRODUCTION",N152="REWORK"),IFERROR(INDEX('04_KE_HOACH_CD'!$L$6:$L$305,MATCH(K152,'04_KE_HOACH_CD'!$G$6:$G$305,0))*V152,0),0)))</x:f>
      </x:c>
      <x:c r="AC152" s="39" t="str">
        <x:f>IF(A152="","",MAX(0,(P152-O152)*1440-Q152))</x:f>
      </x:c>
      <x:c r="AD152" s="37" t="str">
        <x:f>IF(A152="","",IFERROR(AB152/AC152,0))</x:f>
      </x:c>
      <x:c r="AE152" s="33" t="str">
        <x:f>IF(A152="","",AC152/60*SUMIF(DM_NHAN_SU!$A$6:$A$105,L152,DM_NHAN_SU!$E$6:$E$105))</x:f>
      </x:c>
      <x:c r="AF152" s="33" t="str">
        <x:f>IF(A152="","",AC152/60*SUMIF(DM_MAY!$A$6:$A$105,M152,DM_MAY!$F$6:$F$105))</x:f>
      </x:c>
      <x:c r="AG152" s="33" t="str">
        <x:f>IF(A152="","",AE152+AF152)</x:f>
      </x:c>
      <x:c r="AH152" s="21"/>
      <x:c r="AI152" s="29" t="str">
        <x:f>IF(A152="","",IF(OR(B152="",D152="",E152="",I152="",L152="",N152="",O152="",P152=""),"Thiếu dữ liệu",IF(AND(OR(N152="PRODUCTION",N152="REWORK",N152="SETUP"),M152=""),"Thiếu máy",IF(P152&lt;O152,"Sai thời gian",IF(AA152&lt;&gt;0,"Sai cân đối SL","Hợp lệ")))))</x:f>
      </x:c>
      <x:c r="AJ152" s="21"/>
    </x:row>
    <x:row r="153">
      <x:c r="A153" s="21"/>
      <x:c r="B153" s="35"/>
      <x:c r="C153" s="21"/>
      <x:c r="D153" s="21"/>
      <x:c r="E153" s="21"/>
      <x:c r="F153" s="21"/>
      <x:c r="G153" s="21"/>
      <x:c r="H153" s="29" t="str">
        <x:f>IF(OR(D153="",E153=""),"",D153&amp;"|"&amp;E153&amp;"|"&amp;IF(F153="","00",F153)&amp;"|"&amp;IF(G153="","01",G153))</x:f>
      </x:c>
      <x:c r="I153" s="21"/>
      <x:c r="J153" s="29" t="str">
        <x:f>IF(K153="","",IFERROR(INDEX('04_KE_HOACH_CD'!$I$6:$I$305,MATCH(K153,'04_KE_HOACH_CD'!$G$6:$G$305,0)),""))</x:f>
      </x:c>
      <x:c r="K153" s="29" t="str">
        <x:f>IF(OR(H153="",I153=""),"",H153&amp;"|"&amp;TEXT(I153,"000"))</x:f>
      </x:c>
      <x:c r="L153" s="21"/>
      <x:c r="M153" s="21"/>
      <x:c r="N153" s="21"/>
      <x:c r="O153" s="43"/>
      <x:c r="P153" s="43"/>
      <x:c r="Q153" s="25"/>
      <x:c r="R153" s="25"/>
      <x:c r="S153" s="39" t="str">
        <x:f>IF(A153="","",SUMIF('07_DUNG_CHO'!$B$6:$B$505,A153,'07_DUNG_CHO'!$E$6:$E$505))</x:f>
      </x:c>
      <x:c r="T153" s="39" t="str">
        <x:f>IF(A153="","",IF(N153="SETUP",0,MAX(0,(P153-O153)*1440-Q153-S153)))</x:f>
      </x:c>
      <x:c r="U153" s="25"/>
      <x:c r="V153" s="25"/>
      <x:c r="W153" s="25"/>
      <x:c r="X153" s="25"/>
      <x:c r="Y153" s="25"/>
      <x:c r="Z153" s="25"/>
      <x:c r="AA153" s="39" t="str">
        <x:f>IF(A153="","",U153-SUM(V153,X153:Z153))</x:f>
      </x:c>
      <x:c r="AB153" s="39" t="str">
        <x:f>IF(A153="","",IF(N153="SETUP",IFERROR(INDEX('04_KE_HOACH_CD'!$K$6:$K$305,MATCH(K153,'04_KE_HOACH_CD'!$G$6:$G$305,0)),0),IF(OR(N153="PRODUCTION",N153="REWORK"),IFERROR(INDEX('04_KE_HOACH_CD'!$L$6:$L$305,MATCH(K153,'04_KE_HOACH_CD'!$G$6:$G$305,0))*V153,0),0)))</x:f>
      </x:c>
      <x:c r="AC153" s="39" t="str">
        <x:f>IF(A153="","",MAX(0,(P153-O153)*1440-Q153))</x:f>
      </x:c>
      <x:c r="AD153" s="37" t="str">
        <x:f>IF(A153="","",IFERROR(AB153/AC153,0))</x:f>
      </x:c>
      <x:c r="AE153" s="33" t="str">
        <x:f>IF(A153="","",AC153/60*SUMIF(DM_NHAN_SU!$A$6:$A$105,L153,DM_NHAN_SU!$E$6:$E$105))</x:f>
      </x:c>
      <x:c r="AF153" s="33" t="str">
        <x:f>IF(A153="","",AC153/60*SUMIF(DM_MAY!$A$6:$A$105,M153,DM_MAY!$F$6:$F$105))</x:f>
      </x:c>
      <x:c r="AG153" s="33" t="str">
        <x:f>IF(A153="","",AE153+AF153)</x:f>
      </x:c>
      <x:c r="AH153" s="21"/>
      <x:c r="AI153" s="29" t="str">
        <x:f>IF(A153="","",IF(OR(B153="",D153="",E153="",I153="",L153="",N153="",O153="",P153=""),"Thiếu dữ liệu",IF(AND(OR(N153="PRODUCTION",N153="REWORK",N153="SETUP"),M153=""),"Thiếu máy",IF(P153&lt;O153,"Sai thời gian",IF(AA153&lt;&gt;0,"Sai cân đối SL","Hợp lệ")))))</x:f>
      </x:c>
      <x:c r="AJ153" s="21"/>
    </x:row>
    <x:row r="154">
      <x:c r="A154" s="21"/>
      <x:c r="B154" s="35"/>
      <x:c r="C154" s="21"/>
      <x:c r="D154" s="21"/>
      <x:c r="E154" s="21"/>
      <x:c r="F154" s="21"/>
      <x:c r="G154" s="21"/>
      <x:c r="H154" s="29" t="str">
        <x:f>IF(OR(D154="",E154=""),"",D154&amp;"|"&amp;E154&amp;"|"&amp;IF(F154="","00",F154)&amp;"|"&amp;IF(G154="","01",G154))</x:f>
      </x:c>
      <x:c r="I154" s="21"/>
      <x:c r="J154" s="29" t="str">
        <x:f>IF(K154="","",IFERROR(INDEX('04_KE_HOACH_CD'!$I$6:$I$305,MATCH(K154,'04_KE_HOACH_CD'!$G$6:$G$305,0)),""))</x:f>
      </x:c>
      <x:c r="K154" s="29" t="str">
        <x:f>IF(OR(H154="",I154=""),"",H154&amp;"|"&amp;TEXT(I154,"000"))</x:f>
      </x:c>
      <x:c r="L154" s="21"/>
      <x:c r="M154" s="21"/>
      <x:c r="N154" s="21"/>
      <x:c r="O154" s="43"/>
      <x:c r="P154" s="43"/>
      <x:c r="Q154" s="25"/>
      <x:c r="R154" s="25"/>
      <x:c r="S154" s="39" t="str">
        <x:f>IF(A154="","",SUMIF('07_DUNG_CHO'!$B$6:$B$505,A154,'07_DUNG_CHO'!$E$6:$E$505))</x:f>
      </x:c>
      <x:c r="T154" s="39" t="str">
        <x:f>IF(A154="","",IF(N154="SETUP",0,MAX(0,(P154-O154)*1440-Q154-S154)))</x:f>
      </x:c>
      <x:c r="U154" s="25"/>
      <x:c r="V154" s="25"/>
      <x:c r="W154" s="25"/>
      <x:c r="X154" s="25"/>
      <x:c r="Y154" s="25"/>
      <x:c r="Z154" s="25"/>
      <x:c r="AA154" s="39" t="str">
        <x:f>IF(A154="","",U154-SUM(V154,X154:Z154))</x:f>
      </x:c>
      <x:c r="AB154" s="39" t="str">
        <x:f>IF(A154="","",IF(N154="SETUP",IFERROR(INDEX('04_KE_HOACH_CD'!$K$6:$K$305,MATCH(K154,'04_KE_HOACH_CD'!$G$6:$G$305,0)),0),IF(OR(N154="PRODUCTION",N154="REWORK"),IFERROR(INDEX('04_KE_HOACH_CD'!$L$6:$L$305,MATCH(K154,'04_KE_HOACH_CD'!$G$6:$G$305,0))*V154,0),0)))</x:f>
      </x:c>
      <x:c r="AC154" s="39" t="str">
        <x:f>IF(A154="","",MAX(0,(P154-O154)*1440-Q154))</x:f>
      </x:c>
      <x:c r="AD154" s="37" t="str">
        <x:f>IF(A154="","",IFERROR(AB154/AC154,0))</x:f>
      </x:c>
      <x:c r="AE154" s="33" t="str">
        <x:f>IF(A154="","",AC154/60*SUMIF(DM_NHAN_SU!$A$6:$A$105,L154,DM_NHAN_SU!$E$6:$E$105))</x:f>
      </x:c>
      <x:c r="AF154" s="33" t="str">
        <x:f>IF(A154="","",AC154/60*SUMIF(DM_MAY!$A$6:$A$105,M154,DM_MAY!$F$6:$F$105))</x:f>
      </x:c>
      <x:c r="AG154" s="33" t="str">
        <x:f>IF(A154="","",AE154+AF154)</x:f>
      </x:c>
      <x:c r="AH154" s="21"/>
      <x:c r="AI154" s="29" t="str">
        <x:f>IF(A154="","",IF(OR(B154="",D154="",E154="",I154="",L154="",N154="",O154="",P154=""),"Thiếu dữ liệu",IF(AND(OR(N154="PRODUCTION",N154="REWORK",N154="SETUP"),M154=""),"Thiếu máy",IF(P154&lt;O154,"Sai thời gian",IF(AA154&lt;&gt;0,"Sai cân đối SL","Hợp lệ")))))</x:f>
      </x:c>
      <x:c r="AJ154" s="21"/>
    </x:row>
    <x:row r="155">
      <x:c r="A155" s="21"/>
      <x:c r="B155" s="35"/>
      <x:c r="C155" s="21"/>
      <x:c r="D155" s="21"/>
      <x:c r="E155" s="21"/>
      <x:c r="F155" s="21"/>
      <x:c r="G155" s="21"/>
      <x:c r="H155" s="29" t="str">
        <x:f>IF(OR(D155="",E155=""),"",D155&amp;"|"&amp;E155&amp;"|"&amp;IF(F155="","00",F155)&amp;"|"&amp;IF(G155="","01",G155))</x:f>
      </x:c>
      <x:c r="I155" s="21"/>
      <x:c r="J155" s="29" t="str">
        <x:f>IF(K155="","",IFERROR(INDEX('04_KE_HOACH_CD'!$I$6:$I$305,MATCH(K155,'04_KE_HOACH_CD'!$G$6:$G$305,0)),""))</x:f>
      </x:c>
      <x:c r="K155" s="29" t="str">
        <x:f>IF(OR(H155="",I155=""),"",H155&amp;"|"&amp;TEXT(I155,"000"))</x:f>
      </x:c>
      <x:c r="L155" s="21"/>
      <x:c r="M155" s="21"/>
      <x:c r="N155" s="21"/>
      <x:c r="O155" s="43"/>
      <x:c r="P155" s="43"/>
      <x:c r="Q155" s="25"/>
      <x:c r="R155" s="25"/>
      <x:c r="S155" s="39" t="str">
        <x:f>IF(A155="","",SUMIF('07_DUNG_CHO'!$B$6:$B$505,A155,'07_DUNG_CHO'!$E$6:$E$505))</x:f>
      </x:c>
      <x:c r="T155" s="39" t="str">
        <x:f>IF(A155="","",IF(N155="SETUP",0,MAX(0,(P155-O155)*1440-Q155-S155)))</x:f>
      </x:c>
      <x:c r="U155" s="25"/>
      <x:c r="V155" s="25"/>
      <x:c r="W155" s="25"/>
      <x:c r="X155" s="25"/>
      <x:c r="Y155" s="25"/>
      <x:c r="Z155" s="25"/>
      <x:c r="AA155" s="39" t="str">
        <x:f>IF(A155="","",U155-SUM(V155,X155:Z155))</x:f>
      </x:c>
      <x:c r="AB155" s="39" t="str">
        <x:f>IF(A155="","",IF(N155="SETUP",IFERROR(INDEX('04_KE_HOACH_CD'!$K$6:$K$305,MATCH(K155,'04_KE_HOACH_CD'!$G$6:$G$305,0)),0),IF(OR(N155="PRODUCTION",N155="REWORK"),IFERROR(INDEX('04_KE_HOACH_CD'!$L$6:$L$305,MATCH(K155,'04_KE_HOACH_CD'!$G$6:$G$305,0))*V155,0),0)))</x:f>
      </x:c>
      <x:c r="AC155" s="39" t="str">
        <x:f>IF(A155="","",MAX(0,(P155-O155)*1440-Q155))</x:f>
      </x:c>
      <x:c r="AD155" s="37" t="str">
        <x:f>IF(A155="","",IFERROR(AB155/AC155,0))</x:f>
      </x:c>
      <x:c r="AE155" s="33" t="str">
        <x:f>IF(A155="","",AC155/60*SUMIF(DM_NHAN_SU!$A$6:$A$105,L155,DM_NHAN_SU!$E$6:$E$105))</x:f>
      </x:c>
      <x:c r="AF155" s="33" t="str">
        <x:f>IF(A155="","",AC155/60*SUMIF(DM_MAY!$A$6:$A$105,M155,DM_MAY!$F$6:$F$105))</x:f>
      </x:c>
      <x:c r="AG155" s="33" t="str">
        <x:f>IF(A155="","",AE155+AF155)</x:f>
      </x:c>
      <x:c r="AH155" s="21"/>
      <x:c r="AI155" s="29" t="str">
        <x:f>IF(A155="","",IF(OR(B155="",D155="",E155="",I155="",L155="",N155="",O155="",P155=""),"Thiếu dữ liệu",IF(AND(OR(N155="PRODUCTION",N155="REWORK",N155="SETUP"),M155=""),"Thiếu máy",IF(P155&lt;O155,"Sai thời gian",IF(AA155&lt;&gt;0,"Sai cân đối SL","Hợp lệ")))))</x:f>
      </x:c>
      <x:c r="AJ155" s="21"/>
    </x:row>
    <x:row r="156">
      <x:c r="A156" s="21"/>
      <x:c r="B156" s="35"/>
      <x:c r="C156" s="21"/>
      <x:c r="D156" s="21"/>
      <x:c r="E156" s="21"/>
      <x:c r="F156" s="21"/>
      <x:c r="G156" s="21"/>
      <x:c r="H156" s="29" t="str">
        <x:f>IF(OR(D156="",E156=""),"",D156&amp;"|"&amp;E156&amp;"|"&amp;IF(F156="","00",F156)&amp;"|"&amp;IF(G156="","01",G156))</x:f>
      </x:c>
      <x:c r="I156" s="21"/>
      <x:c r="J156" s="29" t="str">
        <x:f>IF(K156="","",IFERROR(INDEX('04_KE_HOACH_CD'!$I$6:$I$305,MATCH(K156,'04_KE_HOACH_CD'!$G$6:$G$305,0)),""))</x:f>
      </x:c>
      <x:c r="K156" s="29" t="str">
        <x:f>IF(OR(H156="",I156=""),"",H156&amp;"|"&amp;TEXT(I156,"000"))</x:f>
      </x:c>
      <x:c r="L156" s="21"/>
      <x:c r="M156" s="21"/>
      <x:c r="N156" s="21"/>
      <x:c r="O156" s="43"/>
      <x:c r="P156" s="43"/>
      <x:c r="Q156" s="25"/>
      <x:c r="R156" s="25"/>
      <x:c r="S156" s="39" t="str">
        <x:f>IF(A156="","",SUMIF('07_DUNG_CHO'!$B$6:$B$505,A156,'07_DUNG_CHO'!$E$6:$E$505))</x:f>
      </x:c>
      <x:c r="T156" s="39" t="str">
        <x:f>IF(A156="","",IF(N156="SETUP",0,MAX(0,(P156-O156)*1440-Q156-S156)))</x:f>
      </x:c>
      <x:c r="U156" s="25"/>
      <x:c r="V156" s="25"/>
      <x:c r="W156" s="25"/>
      <x:c r="X156" s="25"/>
      <x:c r="Y156" s="25"/>
      <x:c r="Z156" s="25"/>
      <x:c r="AA156" s="39" t="str">
        <x:f>IF(A156="","",U156-SUM(V156,X156:Z156))</x:f>
      </x:c>
      <x:c r="AB156" s="39" t="str">
        <x:f>IF(A156="","",IF(N156="SETUP",IFERROR(INDEX('04_KE_HOACH_CD'!$K$6:$K$305,MATCH(K156,'04_KE_HOACH_CD'!$G$6:$G$305,0)),0),IF(OR(N156="PRODUCTION",N156="REWORK"),IFERROR(INDEX('04_KE_HOACH_CD'!$L$6:$L$305,MATCH(K156,'04_KE_HOACH_CD'!$G$6:$G$305,0))*V156,0),0)))</x:f>
      </x:c>
      <x:c r="AC156" s="39" t="str">
        <x:f>IF(A156="","",MAX(0,(P156-O156)*1440-Q156))</x:f>
      </x:c>
      <x:c r="AD156" s="37" t="str">
        <x:f>IF(A156="","",IFERROR(AB156/AC156,0))</x:f>
      </x:c>
      <x:c r="AE156" s="33" t="str">
        <x:f>IF(A156="","",AC156/60*SUMIF(DM_NHAN_SU!$A$6:$A$105,L156,DM_NHAN_SU!$E$6:$E$105))</x:f>
      </x:c>
      <x:c r="AF156" s="33" t="str">
        <x:f>IF(A156="","",AC156/60*SUMIF(DM_MAY!$A$6:$A$105,M156,DM_MAY!$F$6:$F$105))</x:f>
      </x:c>
      <x:c r="AG156" s="33" t="str">
        <x:f>IF(A156="","",AE156+AF156)</x:f>
      </x:c>
      <x:c r="AH156" s="21"/>
      <x:c r="AI156" s="29" t="str">
        <x:f>IF(A156="","",IF(OR(B156="",D156="",E156="",I156="",L156="",N156="",O156="",P156=""),"Thiếu dữ liệu",IF(AND(OR(N156="PRODUCTION",N156="REWORK",N156="SETUP"),M156=""),"Thiếu máy",IF(P156&lt;O156,"Sai thời gian",IF(AA156&lt;&gt;0,"Sai cân đối SL","Hợp lệ")))))</x:f>
      </x:c>
      <x:c r="AJ156" s="21"/>
    </x:row>
    <x:row r="157">
      <x:c r="A157" s="21"/>
      <x:c r="B157" s="35"/>
      <x:c r="C157" s="21"/>
      <x:c r="D157" s="21"/>
      <x:c r="E157" s="21"/>
      <x:c r="F157" s="21"/>
      <x:c r="G157" s="21"/>
      <x:c r="H157" s="29" t="str">
        <x:f>IF(OR(D157="",E157=""),"",D157&amp;"|"&amp;E157&amp;"|"&amp;IF(F157="","00",F157)&amp;"|"&amp;IF(G157="","01",G157))</x:f>
      </x:c>
      <x:c r="I157" s="21"/>
      <x:c r="J157" s="29" t="str">
        <x:f>IF(K157="","",IFERROR(INDEX('04_KE_HOACH_CD'!$I$6:$I$305,MATCH(K157,'04_KE_HOACH_CD'!$G$6:$G$305,0)),""))</x:f>
      </x:c>
      <x:c r="K157" s="29" t="str">
        <x:f>IF(OR(H157="",I157=""),"",H157&amp;"|"&amp;TEXT(I157,"000"))</x:f>
      </x:c>
      <x:c r="L157" s="21"/>
      <x:c r="M157" s="21"/>
      <x:c r="N157" s="21"/>
      <x:c r="O157" s="43"/>
      <x:c r="P157" s="43"/>
      <x:c r="Q157" s="25"/>
      <x:c r="R157" s="25"/>
      <x:c r="S157" s="39" t="str">
        <x:f>IF(A157="","",SUMIF('07_DUNG_CHO'!$B$6:$B$505,A157,'07_DUNG_CHO'!$E$6:$E$505))</x:f>
      </x:c>
      <x:c r="T157" s="39" t="str">
        <x:f>IF(A157="","",IF(N157="SETUP",0,MAX(0,(P157-O157)*1440-Q157-S157)))</x:f>
      </x:c>
      <x:c r="U157" s="25"/>
      <x:c r="V157" s="25"/>
      <x:c r="W157" s="25"/>
      <x:c r="X157" s="25"/>
      <x:c r="Y157" s="25"/>
      <x:c r="Z157" s="25"/>
      <x:c r="AA157" s="39" t="str">
        <x:f>IF(A157="","",U157-SUM(V157,X157:Z157))</x:f>
      </x:c>
      <x:c r="AB157" s="39" t="str">
        <x:f>IF(A157="","",IF(N157="SETUP",IFERROR(INDEX('04_KE_HOACH_CD'!$K$6:$K$305,MATCH(K157,'04_KE_HOACH_CD'!$G$6:$G$305,0)),0),IF(OR(N157="PRODUCTION",N157="REWORK"),IFERROR(INDEX('04_KE_HOACH_CD'!$L$6:$L$305,MATCH(K157,'04_KE_HOACH_CD'!$G$6:$G$305,0))*V157,0),0)))</x:f>
      </x:c>
      <x:c r="AC157" s="39" t="str">
        <x:f>IF(A157="","",MAX(0,(P157-O157)*1440-Q157))</x:f>
      </x:c>
      <x:c r="AD157" s="37" t="str">
        <x:f>IF(A157="","",IFERROR(AB157/AC157,0))</x:f>
      </x:c>
      <x:c r="AE157" s="33" t="str">
        <x:f>IF(A157="","",AC157/60*SUMIF(DM_NHAN_SU!$A$6:$A$105,L157,DM_NHAN_SU!$E$6:$E$105))</x:f>
      </x:c>
      <x:c r="AF157" s="33" t="str">
        <x:f>IF(A157="","",AC157/60*SUMIF(DM_MAY!$A$6:$A$105,M157,DM_MAY!$F$6:$F$105))</x:f>
      </x:c>
      <x:c r="AG157" s="33" t="str">
        <x:f>IF(A157="","",AE157+AF157)</x:f>
      </x:c>
      <x:c r="AH157" s="21"/>
      <x:c r="AI157" s="29" t="str">
        <x:f>IF(A157="","",IF(OR(B157="",D157="",E157="",I157="",L157="",N157="",O157="",P157=""),"Thiếu dữ liệu",IF(AND(OR(N157="PRODUCTION",N157="REWORK",N157="SETUP"),M157=""),"Thiếu máy",IF(P157&lt;O157,"Sai thời gian",IF(AA157&lt;&gt;0,"Sai cân đối SL","Hợp lệ")))))</x:f>
      </x:c>
      <x:c r="AJ157" s="21"/>
    </x:row>
    <x:row r="158">
      <x:c r="A158" s="21"/>
      <x:c r="B158" s="35"/>
      <x:c r="C158" s="21"/>
      <x:c r="D158" s="21"/>
      <x:c r="E158" s="21"/>
      <x:c r="F158" s="21"/>
      <x:c r="G158" s="21"/>
      <x:c r="H158" s="29" t="str">
        <x:f>IF(OR(D158="",E158=""),"",D158&amp;"|"&amp;E158&amp;"|"&amp;IF(F158="","00",F158)&amp;"|"&amp;IF(G158="","01",G158))</x:f>
      </x:c>
      <x:c r="I158" s="21"/>
      <x:c r="J158" s="29" t="str">
        <x:f>IF(K158="","",IFERROR(INDEX('04_KE_HOACH_CD'!$I$6:$I$305,MATCH(K158,'04_KE_HOACH_CD'!$G$6:$G$305,0)),""))</x:f>
      </x:c>
      <x:c r="K158" s="29" t="str">
        <x:f>IF(OR(H158="",I158=""),"",H158&amp;"|"&amp;TEXT(I158,"000"))</x:f>
      </x:c>
      <x:c r="L158" s="21"/>
      <x:c r="M158" s="21"/>
      <x:c r="N158" s="21"/>
      <x:c r="O158" s="43"/>
      <x:c r="P158" s="43"/>
      <x:c r="Q158" s="25"/>
      <x:c r="R158" s="25"/>
      <x:c r="S158" s="39" t="str">
        <x:f>IF(A158="","",SUMIF('07_DUNG_CHO'!$B$6:$B$505,A158,'07_DUNG_CHO'!$E$6:$E$505))</x:f>
      </x:c>
      <x:c r="T158" s="39" t="str">
        <x:f>IF(A158="","",IF(N158="SETUP",0,MAX(0,(P158-O158)*1440-Q158-S158)))</x:f>
      </x:c>
      <x:c r="U158" s="25"/>
      <x:c r="V158" s="25"/>
      <x:c r="W158" s="25"/>
      <x:c r="X158" s="25"/>
      <x:c r="Y158" s="25"/>
      <x:c r="Z158" s="25"/>
      <x:c r="AA158" s="39" t="str">
        <x:f>IF(A158="","",U158-SUM(V158,X158:Z158))</x:f>
      </x:c>
      <x:c r="AB158" s="39" t="str">
        <x:f>IF(A158="","",IF(N158="SETUP",IFERROR(INDEX('04_KE_HOACH_CD'!$K$6:$K$305,MATCH(K158,'04_KE_HOACH_CD'!$G$6:$G$305,0)),0),IF(OR(N158="PRODUCTION",N158="REWORK"),IFERROR(INDEX('04_KE_HOACH_CD'!$L$6:$L$305,MATCH(K158,'04_KE_HOACH_CD'!$G$6:$G$305,0))*V158,0),0)))</x:f>
      </x:c>
      <x:c r="AC158" s="39" t="str">
        <x:f>IF(A158="","",MAX(0,(P158-O158)*1440-Q158))</x:f>
      </x:c>
      <x:c r="AD158" s="37" t="str">
        <x:f>IF(A158="","",IFERROR(AB158/AC158,0))</x:f>
      </x:c>
      <x:c r="AE158" s="33" t="str">
        <x:f>IF(A158="","",AC158/60*SUMIF(DM_NHAN_SU!$A$6:$A$105,L158,DM_NHAN_SU!$E$6:$E$105))</x:f>
      </x:c>
      <x:c r="AF158" s="33" t="str">
        <x:f>IF(A158="","",AC158/60*SUMIF(DM_MAY!$A$6:$A$105,M158,DM_MAY!$F$6:$F$105))</x:f>
      </x:c>
      <x:c r="AG158" s="33" t="str">
        <x:f>IF(A158="","",AE158+AF158)</x:f>
      </x:c>
      <x:c r="AH158" s="21"/>
      <x:c r="AI158" s="29" t="str">
        <x:f>IF(A158="","",IF(OR(B158="",D158="",E158="",I158="",L158="",N158="",O158="",P158=""),"Thiếu dữ liệu",IF(AND(OR(N158="PRODUCTION",N158="REWORK",N158="SETUP"),M158=""),"Thiếu máy",IF(P158&lt;O158,"Sai thời gian",IF(AA158&lt;&gt;0,"Sai cân đối SL","Hợp lệ")))))</x:f>
      </x:c>
      <x:c r="AJ158" s="21"/>
    </x:row>
    <x:row r="159">
      <x:c r="A159" s="21"/>
      <x:c r="B159" s="35"/>
      <x:c r="C159" s="21"/>
      <x:c r="D159" s="21"/>
      <x:c r="E159" s="21"/>
      <x:c r="F159" s="21"/>
      <x:c r="G159" s="21"/>
      <x:c r="H159" s="29" t="str">
        <x:f>IF(OR(D159="",E159=""),"",D159&amp;"|"&amp;E159&amp;"|"&amp;IF(F159="","00",F159)&amp;"|"&amp;IF(G159="","01",G159))</x:f>
      </x:c>
      <x:c r="I159" s="21"/>
      <x:c r="J159" s="29" t="str">
        <x:f>IF(K159="","",IFERROR(INDEX('04_KE_HOACH_CD'!$I$6:$I$305,MATCH(K159,'04_KE_HOACH_CD'!$G$6:$G$305,0)),""))</x:f>
      </x:c>
      <x:c r="K159" s="29" t="str">
        <x:f>IF(OR(H159="",I159=""),"",H159&amp;"|"&amp;TEXT(I159,"000"))</x:f>
      </x:c>
      <x:c r="L159" s="21"/>
      <x:c r="M159" s="21"/>
      <x:c r="N159" s="21"/>
      <x:c r="O159" s="43"/>
      <x:c r="P159" s="43"/>
      <x:c r="Q159" s="25"/>
      <x:c r="R159" s="25"/>
      <x:c r="S159" s="39" t="str">
        <x:f>IF(A159="","",SUMIF('07_DUNG_CHO'!$B$6:$B$505,A159,'07_DUNG_CHO'!$E$6:$E$505))</x:f>
      </x:c>
      <x:c r="T159" s="39" t="str">
        <x:f>IF(A159="","",IF(N159="SETUP",0,MAX(0,(P159-O159)*1440-Q159-S159)))</x:f>
      </x:c>
      <x:c r="U159" s="25"/>
      <x:c r="V159" s="25"/>
      <x:c r="W159" s="25"/>
      <x:c r="X159" s="25"/>
      <x:c r="Y159" s="25"/>
      <x:c r="Z159" s="25"/>
      <x:c r="AA159" s="39" t="str">
        <x:f>IF(A159="","",U159-SUM(V159,X159:Z159))</x:f>
      </x:c>
      <x:c r="AB159" s="39" t="str">
        <x:f>IF(A159="","",IF(N159="SETUP",IFERROR(INDEX('04_KE_HOACH_CD'!$K$6:$K$305,MATCH(K159,'04_KE_HOACH_CD'!$G$6:$G$305,0)),0),IF(OR(N159="PRODUCTION",N159="REWORK"),IFERROR(INDEX('04_KE_HOACH_CD'!$L$6:$L$305,MATCH(K159,'04_KE_HOACH_CD'!$G$6:$G$305,0))*V159,0),0)))</x:f>
      </x:c>
      <x:c r="AC159" s="39" t="str">
        <x:f>IF(A159="","",MAX(0,(P159-O159)*1440-Q159))</x:f>
      </x:c>
      <x:c r="AD159" s="37" t="str">
        <x:f>IF(A159="","",IFERROR(AB159/AC159,0))</x:f>
      </x:c>
      <x:c r="AE159" s="33" t="str">
        <x:f>IF(A159="","",AC159/60*SUMIF(DM_NHAN_SU!$A$6:$A$105,L159,DM_NHAN_SU!$E$6:$E$105))</x:f>
      </x:c>
      <x:c r="AF159" s="33" t="str">
        <x:f>IF(A159="","",AC159/60*SUMIF(DM_MAY!$A$6:$A$105,M159,DM_MAY!$F$6:$F$105))</x:f>
      </x:c>
      <x:c r="AG159" s="33" t="str">
        <x:f>IF(A159="","",AE159+AF159)</x:f>
      </x:c>
      <x:c r="AH159" s="21"/>
      <x:c r="AI159" s="29" t="str">
        <x:f>IF(A159="","",IF(OR(B159="",D159="",E159="",I159="",L159="",N159="",O159="",P159=""),"Thiếu dữ liệu",IF(AND(OR(N159="PRODUCTION",N159="REWORK",N159="SETUP"),M159=""),"Thiếu máy",IF(P159&lt;O159,"Sai thời gian",IF(AA159&lt;&gt;0,"Sai cân đối SL","Hợp lệ")))))</x:f>
      </x:c>
      <x:c r="AJ159" s="21"/>
    </x:row>
    <x:row r="160">
      <x:c r="A160" s="21"/>
      <x:c r="B160" s="35"/>
      <x:c r="C160" s="21"/>
      <x:c r="D160" s="21"/>
      <x:c r="E160" s="21"/>
      <x:c r="F160" s="21"/>
      <x:c r="G160" s="21"/>
      <x:c r="H160" s="29" t="str">
        <x:f>IF(OR(D160="",E160=""),"",D160&amp;"|"&amp;E160&amp;"|"&amp;IF(F160="","00",F160)&amp;"|"&amp;IF(G160="","01",G160))</x:f>
      </x:c>
      <x:c r="I160" s="21"/>
      <x:c r="J160" s="29" t="str">
        <x:f>IF(K160="","",IFERROR(INDEX('04_KE_HOACH_CD'!$I$6:$I$305,MATCH(K160,'04_KE_HOACH_CD'!$G$6:$G$305,0)),""))</x:f>
      </x:c>
      <x:c r="K160" s="29" t="str">
        <x:f>IF(OR(H160="",I160=""),"",H160&amp;"|"&amp;TEXT(I160,"000"))</x:f>
      </x:c>
      <x:c r="L160" s="21"/>
      <x:c r="M160" s="21"/>
      <x:c r="N160" s="21"/>
      <x:c r="O160" s="43"/>
      <x:c r="P160" s="43"/>
      <x:c r="Q160" s="25"/>
      <x:c r="R160" s="25"/>
      <x:c r="S160" s="39" t="str">
        <x:f>IF(A160="","",SUMIF('07_DUNG_CHO'!$B$6:$B$505,A160,'07_DUNG_CHO'!$E$6:$E$505))</x:f>
      </x:c>
      <x:c r="T160" s="39" t="str">
        <x:f>IF(A160="","",IF(N160="SETUP",0,MAX(0,(P160-O160)*1440-Q160-S160)))</x:f>
      </x:c>
      <x:c r="U160" s="25"/>
      <x:c r="V160" s="25"/>
      <x:c r="W160" s="25"/>
      <x:c r="X160" s="25"/>
      <x:c r="Y160" s="25"/>
      <x:c r="Z160" s="25"/>
      <x:c r="AA160" s="39" t="str">
        <x:f>IF(A160="","",U160-SUM(V160,X160:Z160))</x:f>
      </x:c>
      <x:c r="AB160" s="39" t="str">
        <x:f>IF(A160="","",IF(N160="SETUP",IFERROR(INDEX('04_KE_HOACH_CD'!$K$6:$K$305,MATCH(K160,'04_KE_HOACH_CD'!$G$6:$G$305,0)),0),IF(OR(N160="PRODUCTION",N160="REWORK"),IFERROR(INDEX('04_KE_HOACH_CD'!$L$6:$L$305,MATCH(K160,'04_KE_HOACH_CD'!$G$6:$G$305,0))*V160,0),0)))</x:f>
      </x:c>
      <x:c r="AC160" s="39" t="str">
        <x:f>IF(A160="","",MAX(0,(P160-O160)*1440-Q160))</x:f>
      </x:c>
      <x:c r="AD160" s="37" t="str">
        <x:f>IF(A160="","",IFERROR(AB160/AC160,0))</x:f>
      </x:c>
      <x:c r="AE160" s="33" t="str">
        <x:f>IF(A160="","",AC160/60*SUMIF(DM_NHAN_SU!$A$6:$A$105,L160,DM_NHAN_SU!$E$6:$E$105))</x:f>
      </x:c>
      <x:c r="AF160" s="33" t="str">
        <x:f>IF(A160="","",AC160/60*SUMIF(DM_MAY!$A$6:$A$105,M160,DM_MAY!$F$6:$F$105))</x:f>
      </x:c>
      <x:c r="AG160" s="33" t="str">
        <x:f>IF(A160="","",AE160+AF160)</x:f>
      </x:c>
      <x:c r="AH160" s="21"/>
      <x:c r="AI160" s="29" t="str">
        <x:f>IF(A160="","",IF(OR(B160="",D160="",E160="",I160="",L160="",N160="",O160="",P160=""),"Thiếu dữ liệu",IF(AND(OR(N160="PRODUCTION",N160="REWORK",N160="SETUP"),M160=""),"Thiếu máy",IF(P160&lt;O160,"Sai thời gian",IF(AA160&lt;&gt;0,"Sai cân đối SL","Hợp lệ")))))</x:f>
      </x:c>
      <x:c r="AJ160" s="21"/>
    </x:row>
    <x:row r="161">
      <x:c r="A161" s="21"/>
      <x:c r="B161" s="35"/>
      <x:c r="C161" s="21"/>
      <x:c r="D161" s="21"/>
      <x:c r="E161" s="21"/>
      <x:c r="F161" s="21"/>
      <x:c r="G161" s="21"/>
      <x:c r="H161" s="29" t="str">
        <x:f>IF(OR(D161="",E161=""),"",D161&amp;"|"&amp;E161&amp;"|"&amp;IF(F161="","00",F161)&amp;"|"&amp;IF(G161="","01",G161))</x:f>
      </x:c>
      <x:c r="I161" s="21"/>
      <x:c r="J161" s="29" t="str">
        <x:f>IF(K161="","",IFERROR(INDEX('04_KE_HOACH_CD'!$I$6:$I$305,MATCH(K161,'04_KE_HOACH_CD'!$G$6:$G$305,0)),""))</x:f>
      </x:c>
      <x:c r="K161" s="29" t="str">
        <x:f>IF(OR(H161="",I161=""),"",H161&amp;"|"&amp;TEXT(I161,"000"))</x:f>
      </x:c>
      <x:c r="L161" s="21"/>
      <x:c r="M161" s="21"/>
      <x:c r="N161" s="21"/>
      <x:c r="O161" s="43"/>
      <x:c r="P161" s="43"/>
      <x:c r="Q161" s="25"/>
      <x:c r="R161" s="25"/>
      <x:c r="S161" s="39" t="str">
        <x:f>IF(A161="","",SUMIF('07_DUNG_CHO'!$B$6:$B$505,A161,'07_DUNG_CHO'!$E$6:$E$505))</x:f>
      </x:c>
      <x:c r="T161" s="39" t="str">
        <x:f>IF(A161="","",IF(N161="SETUP",0,MAX(0,(P161-O161)*1440-Q161-S161)))</x:f>
      </x:c>
      <x:c r="U161" s="25"/>
      <x:c r="V161" s="25"/>
      <x:c r="W161" s="25"/>
      <x:c r="X161" s="25"/>
      <x:c r="Y161" s="25"/>
      <x:c r="Z161" s="25"/>
      <x:c r="AA161" s="39" t="str">
        <x:f>IF(A161="","",U161-SUM(V161,X161:Z161))</x:f>
      </x:c>
      <x:c r="AB161" s="39" t="str">
        <x:f>IF(A161="","",IF(N161="SETUP",IFERROR(INDEX('04_KE_HOACH_CD'!$K$6:$K$305,MATCH(K161,'04_KE_HOACH_CD'!$G$6:$G$305,0)),0),IF(OR(N161="PRODUCTION",N161="REWORK"),IFERROR(INDEX('04_KE_HOACH_CD'!$L$6:$L$305,MATCH(K161,'04_KE_HOACH_CD'!$G$6:$G$305,0))*V161,0),0)))</x:f>
      </x:c>
      <x:c r="AC161" s="39" t="str">
        <x:f>IF(A161="","",MAX(0,(P161-O161)*1440-Q161))</x:f>
      </x:c>
      <x:c r="AD161" s="37" t="str">
        <x:f>IF(A161="","",IFERROR(AB161/AC161,0))</x:f>
      </x:c>
      <x:c r="AE161" s="33" t="str">
        <x:f>IF(A161="","",AC161/60*SUMIF(DM_NHAN_SU!$A$6:$A$105,L161,DM_NHAN_SU!$E$6:$E$105))</x:f>
      </x:c>
      <x:c r="AF161" s="33" t="str">
        <x:f>IF(A161="","",AC161/60*SUMIF(DM_MAY!$A$6:$A$105,M161,DM_MAY!$F$6:$F$105))</x:f>
      </x:c>
      <x:c r="AG161" s="33" t="str">
        <x:f>IF(A161="","",AE161+AF161)</x:f>
      </x:c>
      <x:c r="AH161" s="21"/>
      <x:c r="AI161" s="29" t="str">
        <x:f>IF(A161="","",IF(OR(B161="",D161="",E161="",I161="",L161="",N161="",O161="",P161=""),"Thiếu dữ liệu",IF(AND(OR(N161="PRODUCTION",N161="REWORK",N161="SETUP"),M161=""),"Thiếu máy",IF(P161&lt;O161,"Sai thời gian",IF(AA161&lt;&gt;0,"Sai cân đối SL","Hợp lệ")))))</x:f>
      </x:c>
      <x:c r="AJ161" s="21"/>
    </x:row>
    <x:row r="162">
      <x:c r="A162" s="21"/>
      <x:c r="B162" s="35"/>
      <x:c r="C162" s="21"/>
      <x:c r="D162" s="21"/>
      <x:c r="E162" s="21"/>
      <x:c r="F162" s="21"/>
      <x:c r="G162" s="21"/>
      <x:c r="H162" s="29" t="str">
        <x:f>IF(OR(D162="",E162=""),"",D162&amp;"|"&amp;E162&amp;"|"&amp;IF(F162="","00",F162)&amp;"|"&amp;IF(G162="","01",G162))</x:f>
      </x:c>
      <x:c r="I162" s="21"/>
      <x:c r="J162" s="29" t="str">
        <x:f>IF(K162="","",IFERROR(INDEX('04_KE_HOACH_CD'!$I$6:$I$305,MATCH(K162,'04_KE_HOACH_CD'!$G$6:$G$305,0)),""))</x:f>
      </x:c>
      <x:c r="K162" s="29" t="str">
        <x:f>IF(OR(H162="",I162=""),"",H162&amp;"|"&amp;TEXT(I162,"000"))</x:f>
      </x:c>
      <x:c r="L162" s="21"/>
      <x:c r="M162" s="21"/>
      <x:c r="N162" s="21"/>
      <x:c r="O162" s="43"/>
      <x:c r="P162" s="43"/>
      <x:c r="Q162" s="25"/>
      <x:c r="R162" s="25"/>
      <x:c r="S162" s="39" t="str">
        <x:f>IF(A162="","",SUMIF('07_DUNG_CHO'!$B$6:$B$505,A162,'07_DUNG_CHO'!$E$6:$E$505))</x:f>
      </x:c>
      <x:c r="T162" s="39" t="str">
        <x:f>IF(A162="","",IF(N162="SETUP",0,MAX(0,(P162-O162)*1440-Q162-S162)))</x:f>
      </x:c>
      <x:c r="U162" s="25"/>
      <x:c r="V162" s="25"/>
      <x:c r="W162" s="25"/>
      <x:c r="X162" s="25"/>
      <x:c r="Y162" s="25"/>
      <x:c r="Z162" s="25"/>
      <x:c r="AA162" s="39" t="str">
        <x:f>IF(A162="","",U162-SUM(V162,X162:Z162))</x:f>
      </x:c>
      <x:c r="AB162" s="39" t="str">
        <x:f>IF(A162="","",IF(N162="SETUP",IFERROR(INDEX('04_KE_HOACH_CD'!$K$6:$K$305,MATCH(K162,'04_KE_HOACH_CD'!$G$6:$G$305,0)),0),IF(OR(N162="PRODUCTION",N162="REWORK"),IFERROR(INDEX('04_KE_HOACH_CD'!$L$6:$L$305,MATCH(K162,'04_KE_HOACH_CD'!$G$6:$G$305,0))*V162,0),0)))</x:f>
      </x:c>
      <x:c r="AC162" s="39" t="str">
        <x:f>IF(A162="","",MAX(0,(P162-O162)*1440-Q162))</x:f>
      </x:c>
      <x:c r="AD162" s="37" t="str">
        <x:f>IF(A162="","",IFERROR(AB162/AC162,0))</x:f>
      </x:c>
      <x:c r="AE162" s="33" t="str">
        <x:f>IF(A162="","",AC162/60*SUMIF(DM_NHAN_SU!$A$6:$A$105,L162,DM_NHAN_SU!$E$6:$E$105))</x:f>
      </x:c>
      <x:c r="AF162" s="33" t="str">
        <x:f>IF(A162="","",AC162/60*SUMIF(DM_MAY!$A$6:$A$105,M162,DM_MAY!$F$6:$F$105))</x:f>
      </x:c>
      <x:c r="AG162" s="33" t="str">
        <x:f>IF(A162="","",AE162+AF162)</x:f>
      </x:c>
      <x:c r="AH162" s="21"/>
      <x:c r="AI162" s="29" t="str">
        <x:f>IF(A162="","",IF(OR(B162="",D162="",E162="",I162="",L162="",N162="",O162="",P162=""),"Thiếu dữ liệu",IF(AND(OR(N162="PRODUCTION",N162="REWORK",N162="SETUP"),M162=""),"Thiếu máy",IF(P162&lt;O162,"Sai thời gian",IF(AA162&lt;&gt;0,"Sai cân đối SL","Hợp lệ")))))</x:f>
      </x:c>
      <x:c r="AJ162" s="21"/>
    </x:row>
    <x:row r="163">
      <x:c r="A163" s="21"/>
      <x:c r="B163" s="35"/>
      <x:c r="C163" s="21"/>
      <x:c r="D163" s="21"/>
      <x:c r="E163" s="21"/>
      <x:c r="F163" s="21"/>
      <x:c r="G163" s="21"/>
      <x:c r="H163" s="29" t="str">
        <x:f>IF(OR(D163="",E163=""),"",D163&amp;"|"&amp;E163&amp;"|"&amp;IF(F163="","00",F163)&amp;"|"&amp;IF(G163="","01",G163))</x:f>
      </x:c>
      <x:c r="I163" s="21"/>
      <x:c r="J163" s="29" t="str">
        <x:f>IF(K163="","",IFERROR(INDEX('04_KE_HOACH_CD'!$I$6:$I$305,MATCH(K163,'04_KE_HOACH_CD'!$G$6:$G$305,0)),""))</x:f>
      </x:c>
      <x:c r="K163" s="29" t="str">
        <x:f>IF(OR(H163="",I163=""),"",H163&amp;"|"&amp;TEXT(I163,"000"))</x:f>
      </x:c>
      <x:c r="L163" s="21"/>
      <x:c r="M163" s="21"/>
      <x:c r="N163" s="21"/>
      <x:c r="O163" s="43"/>
      <x:c r="P163" s="43"/>
      <x:c r="Q163" s="25"/>
      <x:c r="R163" s="25"/>
      <x:c r="S163" s="39" t="str">
        <x:f>IF(A163="","",SUMIF('07_DUNG_CHO'!$B$6:$B$505,A163,'07_DUNG_CHO'!$E$6:$E$505))</x:f>
      </x:c>
      <x:c r="T163" s="39" t="str">
        <x:f>IF(A163="","",IF(N163="SETUP",0,MAX(0,(P163-O163)*1440-Q163-S163)))</x:f>
      </x:c>
      <x:c r="U163" s="25"/>
      <x:c r="V163" s="25"/>
      <x:c r="W163" s="25"/>
      <x:c r="X163" s="25"/>
      <x:c r="Y163" s="25"/>
      <x:c r="Z163" s="25"/>
      <x:c r="AA163" s="39" t="str">
        <x:f>IF(A163="","",U163-SUM(V163,X163:Z163))</x:f>
      </x:c>
      <x:c r="AB163" s="39" t="str">
        <x:f>IF(A163="","",IF(N163="SETUP",IFERROR(INDEX('04_KE_HOACH_CD'!$K$6:$K$305,MATCH(K163,'04_KE_HOACH_CD'!$G$6:$G$305,0)),0),IF(OR(N163="PRODUCTION",N163="REWORK"),IFERROR(INDEX('04_KE_HOACH_CD'!$L$6:$L$305,MATCH(K163,'04_KE_HOACH_CD'!$G$6:$G$305,0))*V163,0),0)))</x:f>
      </x:c>
      <x:c r="AC163" s="39" t="str">
        <x:f>IF(A163="","",MAX(0,(P163-O163)*1440-Q163))</x:f>
      </x:c>
      <x:c r="AD163" s="37" t="str">
        <x:f>IF(A163="","",IFERROR(AB163/AC163,0))</x:f>
      </x:c>
      <x:c r="AE163" s="33" t="str">
        <x:f>IF(A163="","",AC163/60*SUMIF(DM_NHAN_SU!$A$6:$A$105,L163,DM_NHAN_SU!$E$6:$E$105))</x:f>
      </x:c>
      <x:c r="AF163" s="33" t="str">
        <x:f>IF(A163="","",AC163/60*SUMIF(DM_MAY!$A$6:$A$105,M163,DM_MAY!$F$6:$F$105))</x:f>
      </x:c>
      <x:c r="AG163" s="33" t="str">
        <x:f>IF(A163="","",AE163+AF163)</x:f>
      </x:c>
      <x:c r="AH163" s="21"/>
      <x:c r="AI163" s="29" t="str">
        <x:f>IF(A163="","",IF(OR(B163="",D163="",E163="",I163="",L163="",N163="",O163="",P163=""),"Thiếu dữ liệu",IF(AND(OR(N163="PRODUCTION",N163="REWORK",N163="SETUP"),M163=""),"Thiếu máy",IF(P163&lt;O163,"Sai thời gian",IF(AA163&lt;&gt;0,"Sai cân đối SL","Hợp lệ")))))</x:f>
      </x:c>
      <x:c r="AJ163" s="21"/>
    </x:row>
    <x:row r="164">
      <x:c r="A164" s="21"/>
      <x:c r="B164" s="35"/>
      <x:c r="C164" s="21"/>
      <x:c r="D164" s="21"/>
      <x:c r="E164" s="21"/>
      <x:c r="F164" s="21"/>
      <x:c r="G164" s="21"/>
      <x:c r="H164" s="29" t="str">
        <x:f>IF(OR(D164="",E164=""),"",D164&amp;"|"&amp;E164&amp;"|"&amp;IF(F164="","00",F164)&amp;"|"&amp;IF(G164="","01",G164))</x:f>
      </x:c>
      <x:c r="I164" s="21"/>
      <x:c r="J164" s="29" t="str">
        <x:f>IF(K164="","",IFERROR(INDEX('04_KE_HOACH_CD'!$I$6:$I$305,MATCH(K164,'04_KE_HOACH_CD'!$G$6:$G$305,0)),""))</x:f>
      </x:c>
      <x:c r="K164" s="29" t="str">
        <x:f>IF(OR(H164="",I164=""),"",H164&amp;"|"&amp;TEXT(I164,"000"))</x:f>
      </x:c>
      <x:c r="L164" s="21"/>
      <x:c r="M164" s="21"/>
      <x:c r="N164" s="21"/>
      <x:c r="O164" s="43"/>
      <x:c r="P164" s="43"/>
      <x:c r="Q164" s="25"/>
      <x:c r="R164" s="25"/>
      <x:c r="S164" s="39" t="str">
        <x:f>IF(A164="","",SUMIF('07_DUNG_CHO'!$B$6:$B$505,A164,'07_DUNG_CHO'!$E$6:$E$505))</x:f>
      </x:c>
      <x:c r="T164" s="39" t="str">
        <x:f>IF(A164="","",IF(N164="SETUP",0,MAX(0,(P164-O164)*1440-Q164-S164)))</x:f>
      </x:c>
      <x:c r="U164" s="25"/>
      <x:c r="V164" s="25"/>
      <x:c r="W164" s="25"/>
      <x:c r="X164" s="25"/>
      <x:c r="Y164" s="25"/>
      <x:c r="Z164" s="25"/>
      <x:c r="AA164" s="39" t="str">
        <x:f>IF(A164="","",U164-SUM(V164,X164:Z164))</x:f>
      </x:c>
      <x:c r="AB164" s="39" t="str">
        <x:f>IF(A164="","",IF(N164="SETUP",IFERROR(INDEX('04_KE_HOACH_CD'!$K$6:$K$305,MATCH(K164,'04_KE_HOACH_CD'!$G$6:$G$305,0)),0),IF(OR(N164="PRODUCTION",N164="REWORK"),IFERROR(INDEX('04_KE_HOACH_CD'!$L$6:$L$305,MATCH(K164,'04_KE_HOACH_CD'!$G$6:$G$305,0))*V164,0),0)))</x:f>
      </x:c>
      <x:c r="AC164" s="39" t="str">
        <x:f>IF(A164="","",MAX(0,(P164-O164)*1440-Q164))</x:f>
      </x:c>
      <x:c r="AD164" s="37" t="str">
        <x:f>IF(A164="","",IFERROR(AB164/AC164,0))</x:f>
      </x:c>
      <x:c r="AE164" s="33" t="str">
        <x:f>IF(A164="","",AC164/60*SUMIF(DM_NHAN_SU!$A$6:$A$105,L164,DM_NHAN_SU!$E$6:$E$105))</x:f>
      </x:c>
      <x:c r="AF164" s="33" t="str">
        <x:f>IF(A164="","",AC164/60*SUMIF(DM_MAY!$A$6:$A$105,M164,DM_MAY!$F$6:$F$105))</x:f>
      </x:c>
      <x:c r="AG164" s="33" t="str">
        <x:f>IF(A164="","",AE164+AF164)</x:f>
      </x:c>
      <x:c r="AH164" s="21"/>
      <x:c r="AI164" s="29" t="str">
        <x:f>IF(A164="","",IF(OR(B164="",D164="",E164="",I164="",L164="",N164="",O164="",P164=""),"Thiếu dữ liệu",IF(AND(OR(N164="PRODUCTION",N164="REWORK",N164="SETUP"),M164=""),"Thiếu máy",IF(P164&lt;O164,"Sai thời gian",IF(AA164&lt;&gt;0,"Sai cân đối SL","Hợp lệ")))))</x:f>
      </x:c>
      <x:c r="AJ164" s="21"/>
    </x:row>
    <x:row r="165">
      <x:c r="A165" s="21"/>
      <x:c r="B165" s="35"/>
      <x:c r="C165" s="21"/>
      <x:c r="D165" s="21"/>
      <x:c r="E165" s="21"/>
      <x:c r="F165" s="21"/>
      <x:c r="G165" s="21"/>
      <x:c r="H165" s="29" t="str">
        <x:f>IF(OR(D165="",E165=""),"",D165&amp;"|"&amp;E165&amp;"|"&amp;IF(F165="","00",F165)&amp;"|"&amp;IF(G165="","01",G165))</x:f>
      </x:c>
      <x:c r="I165" s="21"/>
      <x:c r="J165" s="29" t="str">
        <x:f>IF(K165="","",IFERROR(INDEX('04_KE_HOACH_CD'!$I$6:$I$305,MATCH(K165,'04_KE_HOACH_CD'!$G$6:$G$305,0)),""))</x:f>
      </x:c>
      <x:c r="K165" s="29" t="str">
        <x:f>IF(OR(H165="",I165=""),"",H165&amp;"|"&amp;TEXT(I165,"000"))</x:f>
      </x:c>
      <x:c r="L165" s="21"/>
      <x:c r="M165" s="21"/>
      <x:c r="N165" s="21"/>
      <x:c r="O165" s="43"/>
      <x:c r="P165" s="43"/>
      <x:c r="Q165" s="25"/>
      <x:c r="R165" s="25"/>
      <x:c r="S165" s="39" t="str">
        <x:f>IF(A165="","",SUMIF('07_DUNG_CHO'!$B$6:$B$505,A165,'07_DUNG_CHO'!$E$6:$E$505))</x:f>
      </x:c>
      <x:c r="T165" s="39" t="str">
        <x:f>IF(A165="","",IF(N165="SETUP",0,MAX(0,(P165-O165)*1440-Q165-S165)))</x:f>
      </x:c>
      <x:c r="U165" s="25"/>
      <x:c r="V165" s="25"/>
      <x:c r="W165" s="25"/>
      <x:c r="X165" s="25"/>
      <x:c r="Y165" s="25"/>
      <x:c r="Z165" s="25"/>
      <x:c r="AA165" s="39" t="str">
        <x:f>IF(A165="","",U165-SUM(V165,X165:Z165))</x:f>
      </x:c>
      <x:c r="AB165" s="39" t="str">
        <x:f>IF(A165="","",IF(N165="SETUP",IFERROR(INDEX('04_KE_HOACH_CD'!$K$6:$K$305,MATCH(K165,'04_KE_HOACH_CD'!$G$6:$G$305,0)),0),IF(OR(N165="PRODUCTION",N165="REWORK"),IFERROR(INDEX('04_KE_HOACH_CD'!$L$6:$L$305,MATCH(K165,'04_KE_HOACH_CD'!$G$6:$G$305,0))*V165,0),0)))</x:f>
      </x:c>
      <x:c r="AC165" s="39" t="str">
        <x:f>IF(A165="","",MAX(0,(P165-O165)*1440-Q165))</x:f>
      </x:c>
      <x:c r="AD165" s="37" t="str">
        <x:f>IF(A165="","",IFERROR(AB165/AC165,0))</x:f>
      </x:c>
      <x:c r="AE165" s="33" t="str">
        <x:f>IF(A165="","",AC165/60*SUMIF(DM_NHAN_SU!$A$6:$A$105,L165,DM_NHAN_SU!$E$6:$E$105))</x:f>
      </x:c>
      <x:c r="AF165" s="33" t="str">
        <x:f>IF(A165="","",AC165/60*SUMIF(DM_MAY!$A$6:$A$105,M165,DM_MAY!$F$6:$F$105))</x:f>
      </x:c>
      <x:c r="AG165" s="33" t="str">
        <x:f>IF(A165="","",AE165+AF165)</x:f>
      </x:c>
      <x:c r="AH165" s="21"/>
      <x:c r="AI165" s="29" t="str">
        <x:f>IF(A165="","",IF(OR(B165="",D165="",E165="",I165="",L165="",N165="",O165="",P165=""),"Thiếu dữ liệu",IF(AND(OR(N165="PRODUCTION",N165="REWORK",N165="SETUP"),M165=""),"Thiếu máy",IF(P165&lt;O165,"Sai thời gian",IF(AA165&lt;&gt;0,"Sai cân đối SL","Hợp lệ")))))</x:f>
      </x:c>
      <x:c r="AJ165" s="21"/>
    </x:row>
    <x:row r="166">
      <x:c r="A166" s="21"/>
      <x:c r="B166" s="35"/>
      <x:c r="C166" s="21"/>
      <x:c r="D166" s="21"/>
      <x:c r="E166" s="21"/>
      <x:c r="F166" s="21"/>
      <x:c r="G166" s="21"/>
      <x:c r="H166" s="29" t="str">
        <x:f>IF(OR(D166="",E166=""),"",D166&amp;"|"&amp;E166&amp;"|"&amp;IF(F166="","00",F166)&amp;"|"&amp;IF(G166="","01",G166))</x:f>
      </x:c>
      <x:c r="I166" s="21"/>
      <x:c r="J166" s="29" t="str">
        <x:f>IF(K166="","",IFERROR(INDEX('04_KE_HOACH_CD'!$I$6:$I$305,MATCH(K166,'04_KE_HOACH_CD'!$G$6:$G$305,0)),""))</x:f>
      </x:c>
      <x:c r="K166" s="29" t="str">
        <x:f>IF(OR(H166="",I166=""),"",H166&amp;"|"&amp;TEXT(I166,"000"))</x:f>
      </x:c>
      <x:c r="L166" s="21"/>
      <x:c r="M166" s="21"/>
      <x:c r="N166" s="21"/>
      <x:c r="O166" s="43"/>
      <x:c r="P166" s="43"/>
      <x:c r="Q166" s="25"/>
      <x:c r="R166" s="25"/>
      <x:c r="S166" s="39" t="str">
        <x:f>IF(A166="","",SUMIF('07_DUNG_CHO'!$B$6:$B$505,A166,'07_DUNG_CHO'!$E$6:$E$505))</x:f>
      </x:c>
      <x:c r="T166" s="39" t="str">
        <x:f>IF(A166="","",IF(N166="SETUP",0,MAX(0,(P166-O166)*1440-Q166-S166)))</x:f>
      </x:c>
      <x:c r="U166" s="25"/>
      <x:c r="V166" s="25"/>
      <x:c r="W166" s="25"/>
      <x:c r="X166" s="25"/>
      <x:c r="Y166" s="25"/>
      <x:c r="Z166" s="25"/>
      <x:c r="AA166" s="39" t="str">
        <x:f>IF(A166="","",U166-SUM(V166,X166:Z166))</x:f>
      </x:c>
      <x:c r="AB166" s="39" t="str">
        <x:f>IF(A166="","",IF(N166="SETUP",IFERROR(INDEX('04_KE_HOACH_CD'!$K$6:$K$305,MATCH(K166,'04_KE_HOACH_CD'!$G$6:$G$305,0)),0),IF(OR(N166="PRODUCTION",N166="REWORK"),IFERROR(INDEX('04_KE_HOACH_CD'!$L$6:$L$305,MATCH(K166,'04_KE_HOACH_CD'!$G$6:$G$305,0))*V166,0),0)))</x:f>
      </x:c>
      <x:c r="AC166" s="39" t="str">
        <x:f>IF(A166="","",MAX(0,(P166-O166)*1440-Q166))</x:f>
      </x:c>
      <x:c r="AD166" s="37" t="str">
        <x:f>IF(A166="","",IFERROR(AB166/AC166,0))</x:f>
      </x:c>
      <x:c r="AE166" s="33" t="str">
        <x:f>IF(A166="","",AC166/60*SUMIF(DM_NHAN_SU!$A$6:$A$105,L166,DM_NHAN_SU!$E$6:$E$105))</x:f>
      </x:c>
      <x:c r="AF166" s="33" t="str">
        <x:f>IF(A166="","",AC166/60*SUMIF(DM_MAY!$A$6:$A$105,M166,DM_MAY!$F$6:$F$105))</x:f>
      </x:c>
      <x:c r="AG166" s="33" t="str">
        <x:f>IF(A166="","",AE166+AF166)</x:f>
      </x:c>
      <x:c r="AH166" s="21"/>
      <x:c r="AI166" s="29" t="str">
        <x:f>IF(A166="","",IF(OR(B166="",D166="",E166="",I166="",L166="",N166="",O166="",P166=""),"Thiếu dữ liệu",IF(AND(OR(N166="PRODUCTION",N166="REWORK",N166="SETUP"),M166=""),"Thiếu máy",IF(P166&lt;O166,"Sai thời gian",IF(AA166&lt;&gt;0,"Sai cân đối SL","Hợp lệ")))))</x:f>
      </x:c>
      <x:c r="AJ166" s="21"/>
    </x:row>
    <x:row r="167">
      <x:c r="A167" s="21"/>
      <x:c r="B167" s="35"/>
      <x:c r="C167" s="21"/>
      <x:c r="D167" s="21"/>
      <x:c r="E167" s="21"/>
      <x:c r="F167" s="21"/>
      <x:c r="G167" s="21"/>
      <x:c r="H167" s="29" t="str">
        <x:f>IF(OR(D167="",E167=""),"",D167&amp;"|"&amp;E167&amp;"|"&amp;IF(F167="","00",F167)&amp;"|"&amp;IF(G167="","01",G167))</x:f>
      </x:c>
      <x:c r="I167" s="21"/>
      <x:c r="J167" s="29" t="str">
        <x:f>IF(K167="","",IFERROR(INDEX('04_KE_HOACH_CD'!$I$6:$I$305,MATCH(K167,'04_KE_HOACH_CD'!$G$6:$G$305,0)),""))</x:f>
      </x:c>
      <x:c r="K167" s="29" t="str">
        <x:f>IF(OR(H167="",I167=""),"",H167&amp;"|"&amp;TEXT(I167,"000"))</x:f>
      </x:c>
      <x:c r="L167" s="21"/>
      <x:c r="M167" s="21"/>
      <x:c r="N167" s="21"/>
      <x:c r="O167" s="43"/>
      <x:c r="P167" s="43"/>
      <x:c r="Q167" s="25"/>
      <x:c r="R167" s="25"/>
      <x:c r="S167" s="39" t="str">
        <x:f>IF(A167="","",SUMIF('07_DUNG_CHO'!$B$6:$B$505,A167,'07_DUNG_CHO'!$E$6:$E$505))</x:f>
      </x:c>
      <x:c r="T167" s="39" t="str">
        <x:f>IF(A167="","",IF(N167="SETUP",0,MAX(0,(P167-O167)*1440-Q167-S167)))</x:f>
      </x:c>
      <x:c r="U167" s="25"/>
      <x:c r="V167" s="25"/>
      <x:c r="W167" s="25"/>
      <x:c r="X167" s="25"/>
      <x:c r="Y167" s="25"/>
      <x:c r="Z167" s="25"/>
      <x:c r="AA167" s="39" t="str">
        <x:f>IF(A167="","",U167-SUM(V167,X167:Z167))</x:f>
      </x:c>
      <x:c r="AB167" s="39" t="str">
        <x:f>IF(A167="","",IF(N167="SETUP",IFERROR(INDEX('04_KE_HOACH_CD'!$K$6:$K$305,MATCH(K167,'04_KE_HOACH_CD'!$G$6:$G$305,0)),0),IF(OR(N167="PRODUCTION",N167="REWORK"),IFERROR(INDEX('04_KE_HOACH_CD'!$L$6:$L$305,MATCH(K167,'04_KE_HOACH_CD'!$G$6:$G$305,0))*V167,0),0)))</x:f>
      </x:c>
      <x:c r="AC167" s="39" t="str">
        <x:f>IF(A167="","",MAX(0,(P167-O167)*1440-Q167))</x:f>
      </x:c>
      <x:c r="AD167" s="37" t="str">
        <x:f>IF(A167="","",IFERROR(AB167/AC167,0))</x:f>
      </x:c>
      <x:c r="AE167" s="33" t="str">
        <x:f>IF(A167="","",AC167/60*SUMIF(DM_NHAN_SU!$A$6:$A$105,L167,DM_NHAN_SU!$E$6:$E$105))</x:f>
      </x:c>
      <x:c r="AF167" s="33" t="str">
        <x:f>IF(A167="","",AC167/60*SUMIF(DM_MAY!$A$6:$A$105,M167,DM_MAY!$F$6:$F$105))</x:f>
      </x:c>
      <x:c r="AG167" s="33" t="str">
        <x:f>IF(A167="","",AE167+AF167)</x:f>
      </x:c>
      <x:c r="AH167" s="21"/>
      <x:c r="AI167" s="29" t="str">
        <x:f>IF(A167="","",IF(OR(B167="",D167="",E167="",I167="",L167="",N167="",O167="",P167=""),"Thiếu dữ liệu",IF(AND(OR(N167="PRODUCTION",N167="REWORK",N167="SETUP"),M167=""),"Thiếu máy",IF(P167&lt;O167,"Sai thời gian",IF(AA167&lt;&gt;0,"Sai cân đối SL","Hợp lệ")))))</x:f>
      </x:c>
      <x:c r="AJ167" s="21"/>
    </x:row>
    <x:row r="168">
      <x:c r="A168" s="21"/>
      <x:c r="B168" s="35"/>
      <x:c r="C168" s="21"/>
      <x:c r="D168" s="21"/>
      <x:c r="E168" s="21"/>
      <x:c r="F168" s="21"/>
      <x:c r="G168" s="21"/>
      <x:c r="H168" s="29" t="str">
        <x:f>IF(OR(D168="",E168=""),"",D168&amp;"|"&amp;E168&amp;"|"&amp;IF(F168="","00",F168)&amp;"|"&amp;IF(G168="","01",G168))</x:f>
      </x:c>
      <x:c r="I168" s="21"/>
      <x:c r="J168" s="29" t="str">
        <x:f>IF(K168="","",IFERROR(INDEX('04_KE_HOACH_CD'!$I$6:$I$305,MATCH(K168,'04_KE_HOACH_CD'!$G$6:$G$305,0)),""))</x:f>
      </x:c>
      <x:c r="K168" s="29" t="str">
        <x:f>IF(OR(H168="",I168=""),"",H168&amp;"|"&amp;TEXT(I168,"000"))</x:f>
      </x:c>
      <x:c r="L168" s="21"/>
      <x:c r="M168" s="21"/>
      <x:c r="N168" s="21"/>
      <x:c r="O168" s="43"/>
      <x:c r="P168" s="43"/>
      <x:c r="Q168" s="25"/>
      <x:c r="R168" s="25"/>
      <x:c r="S168" s="39" t="str">
        <x:f>IF(A168="","",SUMIF('07_DUNG_CHO'!$B$6:$B$505,A168,'07_DUNG_CHO'!$E$6:$E$505))</x:f>
      </x:c>
      <x:c r="T168" s="39" t="str">
        <x:f>IF(A168="","",IF(N168="SETUP",0,MAX(0,(P168-O168)*1440-Q168-S168)))</x:f>
      </x:c>
      <x:c r="U168" s="25"/>
      <x:c r="V168" s="25"/>
      <x:c r="W168" s="25"/>
      <x:c r="X168" s="25"/>
      <x:c r="Y168" s="25"/>
      <x:c r="Z168" s="25"/>
      <x:c r="AA168" s="39" t="str">
        <x:f>IF(A168="","",U168-SUM(V168,X168:Z168))</x:f>
      </x:c>
      <x:c r="AB168" s="39" t="str">
        <x:f>IF(A168="","",IF(N168="SETUP",IFERROR(INDEX('04_KE_HOACH_CD'!$K$6:$K$305,MATCH(K168,'04_KE_HOACH_CD'!$G$6:$G$305,0)),0),IF(OR(N168="PRODUCTION",N168="REWORK"),IFERROR(INDEX('04_KE_HOACH_CD'!$L$6:$L$305,MATCH(K168,'04_KE_HOACH_CD'!$G$6:$G$305,0))*V168,0),0)))</x:f>
      </x:c>
      <x:c r="AC168" s="39" t="str">
        <x:f>IF(A168="","",MAX(0,(P168-O168)*1440-Q168))</x:f>
      </x:c>
      <x:c r="AD168" s="37" t="str">
        <x:f>IF(A168="","",IFERROR(AB168/AC168,0))</x:f>
      </x:c>
      <x:c r="AE168" s="33" t="str">
        <x:f>IF(A168="","",AC168/60*SUMIF(DM_NHAN_SU!$A$6:$A$105,L168,DM_NHAN_SU!$E$6:$E$105))</x:f>
      </x:c>
      <x:c r="AF168" s="33" t="str">
        <x:f>IF(A168="","",AC168/60*SUMIF(DM_MAY!$A$6:$A$105,M168,DM_MAY!$F$6:$F$105))</x:f>
      </x:c>
      <x:c r="AG168" s="33" t="str">
        <x:f>IF(A168="","",AE168+AF168)</x:f>
      </x:c>
      <x:c r="AH168" s="21"/>
      <x:c r="AI168" s="29" t="str">
        <x:f>IF(A168="","",IF(OR(B168="",D168="",E168="",I168="",L168="",N168="",O168="",P168=""),"Thiếu dữ liệu",IF(AND(OR(N168="PRODUCTION",N168="REWORK",N168="SETUP"),M168=""),"Thiếu máy",IF(P168&lt;O168,"Sai thời gian",IF(AA168&lt;&gt;0,"Sai cân đối SL","Hợp lệ")))))</x:f>
      </x:c>
      <x:c r="AJ168" s="21"/>
    </x:row>
    <x:row r="169">
      <x:c r="A169" s="21"/>
      <x:c r="B169" s="35"/>
      <x:c r="C169" s="21"/>
      <x:c r="D169" s="21"/>
      <x:c r="E169" s="21"/>
      <x:c r="F169" s="21"/>
      <x:c r="G169" s="21"/>
      <x:c r="H169" s="29" t="str">
        <x:f>IF(OR(D169="",E169=""),"",D169&amp;"|"&amp;E169&amp;"|"&amp;IF(F169="","00",F169)&amp;"|"&amp;IF(G169="","01",G169))</x:f>
      </x:c>
      <x:c r="I169" s="21"/>
      <x:c r="J169" s="29" t="str">
        <x:f>IF(K169="","",IFERROR(INDEX('04_KE_HOACH_CD'!$I$6:$I$305,MATCH(K169,'04_KE_HOACH_CD'!$G$6:$G$305,0)),""))</x:f>
      </x:c>
      <x:c r="K169" s="29" t="str">
        <x:f>IF(OR(H169="",I169=""),"",H169&amp;"|"&amp;TEXT(I169,"000"))</x:f>
      </x:c>
      <x:c r="L169" s="21"/>
      <x:c r="M169" s="21"/>
      <x:c r="N169" s="21"/>
      <x:c r="O169" s="43"/>
      <x:c r="P169" s="43"/>
      <x:c r="Q169" s="25"/>
      <x:c r="R169" s="25"/>
      <x:c r="S169" s="39" t="str">
        <x:f>IF(A169="","",SUMIF('07_DUNG_CHO'!$B$6:$B$505,A169,'07_DUNG_CHO'!$E$6:$E$505))</x:f>
      </x:c>
      <x:c r="T169" s="39" t="str">
        <x:f>IF(A169="","",IF(N169="SETUP",0,MAX(0,(P169-O169)*1440-Q169-S169)))</x:f>
      </x:c>
      <x:c r="U169" s="25"/>
      <x:c r="V169" s="25"/>
      <x:c r="W169" s="25"/>
      <x:c r="X169" s="25"/>
      <x:c r="Y169" s="25"/>
      <x:c r="Z169" s="25"/>
      <x:c r="AA169" s="39" t="str">
        <x:f>IF(A169="","",U169-SUM(V169,X169:Z169))</x:f>
      </x:c>
      <x:c r="AB169" s="39" t="str">
        <x:f>IF(A169="","",IF(N169="SETUP",IFERROR(INDEX('04_KE_HOACH_CD'!$K$6:$K$305,MATCH(K169,'04_KE_HOACH_CD'!$G$6:$G$305,0)),0),IF(OR(N169="PRODUCTION",N169="REWORK"),IFERROR(INDEX('04_KE_HOACH_CD'!$L$6:$L$305,MATCH(K169,'04_KE_HOACH_CD'!$G$6:$G$305,0))*V169,0),0)))</x:f>
      </x:c>
      <x:c r="AC169" s="39" t="str">
        <x:f>IF(A169="","",MAX(0,(P169-O169)*1440-Q169))</x:f>
      </x:c>
      <x:c r="AD169" s="37" t="str">
        <x:f>IF(A169="","",IFERROR(AB169/AC169,0))</x:f>
      </x:c>
      <x:c r="AE169" s="33" t="str">
        <x:f>IF(A169="","",AC169/60*SUMIF(DM_NHAN_SU!$A$6:$A$105,L169,DM_NHAN_SU!$E$6:$E$105))</x:f>
      </x:c>
      <x:c r="AF169" s="33" t="str">
        <x:f>IF(A169="","",AC169/60*SUMIF(DM_MAY!$A$6:$A$105,M169,DM_MAY!$F$6:$F$105))</x:f>
      </x:c>
      <x:c r="AG169" s="33" t="str">
        <x:f>IF(A169="","",AE169+AF169)</x:f>
      </x:c>
      <x:c r="AH169" s="21"/>
      <x:c r="AI169" s="29" t="str">
        <x:f>IF(A169="","",IF(OR(B169="",D169="",E169="",I169="",L169="",N169="",O169="",P169=""),"Thiếu dữ liệu",IF(AND(OR(N169="PRODUCTION",N169="REWORK",N169="SETUP"),M169=""),"Thiếu máy",IF(P169&lt;O169,"Sai thời gian",IF(AA169&lt;&gt;0,"Sai cân đối SL","Hợp lệ")))))</x:f>
      </x:c>
      <x:c r="AJ169" s="21"/>
    </x:row>
    <x:row r="170">
      <x:c r="A170" s="21"/>
      <x:c r="B170" s="35"/>
      <x:c r="C170" s="21"/>
      <x:c r="D170" s="21"/>
      <x:c r="E170" s="21"/>
      <x:c r="F170" s="21"/>
      <x:c r="G170" s="21"/>
      <x:c r="H170" s="29" t="str">
        <x:f>IF(OR(D170="",E170=""),"",D170&amp;"|"&amp;E170&amp;"|"&amp;IF(F170="","00",F170)&amp;"|"&amp;IF(G170="","01",G170))</x:f>
      </x:c>
      <x:c r="I170" s="21"/>
      <x:c r="J170" s="29" t="str">
        <x:f>IF(K170="","",IFERROR(INDEX('04_KE_HOACH_CD'!$I$6:$I$305,MATCH(K170,'04_KE_HOACH_CD'!$G$6:$G$305,0)),""))</x:f>
      </x:c>
      <x:c r="K170" s="29" t="str">
        <x:f>IF(OR(H170="",I170=""),"",H170&amp;"|"&amp;TEXT(I170,"000"))</x:f>
      </x:c>
      <x:c r="L170" s="21"/>
      <x:c r="M170" s="21"/>
      <x:c r="N170" s="21"/>
      <x:c r="O170" s="43"/>
      <x:c r="P170" s="43"/>
      <x:c r="Q170" s="25"/>
      <x:c r="R170" s="25"/>
      <x:c r="S170" s="39" t="str">
        <x:f>IF(A170="","",SUMIF('07_DUNG_CHO'!$B$6:$B$505,A170,'07_DUNG_CHO'!$E$6:$E$505))</x:f>
      </x:c>
      <x:c r="T170" s="39" t="str">
        <x:f>IF(A170="","",IF(N170="SETUP",0,MAX(0,(P170-O170)*1440-Q170-S170)))</x:f>
      </x:c>
      <x:c r="U170" s="25"/>
      <x:c r="V170" s="25"/>
      <x:c r="W170" s="25"/>
      <x:c r="X170" s="25"/>
      <x:c r="Y170" s="25"/>
      <x:c r="Z170" s="25"/>
      <x:c r="AA170" s="39" t="str">
        <x:f>IF(A170="","",U170-SUM(V170,X170:Z170))</x:f>
      </x:c>
      <x:c r="AB170" s="39" t="str">
        <x:f>IF(A170="","",IF(N170="SETUP",IFERROR(INDEX('04_KE_HOACH_CD'!$K$6:$K$305,MATCH(K170,'04_KE_HOACH_CD'!$G$6:$G$305,0)),0),IF(OR(N170="PRODUCTION",N170="REWORK"),IFERROR(INDEX('04_KE_HOACH_CD'!$L$6:$L$305,MATCH(K170,'04_KE_HOACH_CD'!$G$6:$G$305,0))*V170,0),0)))</x:f>
      </x:c>
      <x:c r="AC170" s="39" t="str">
        <x:f>IF(A170="","",MAX(0,(P170-O170)*1440-Q170))</x:f>
      </x:c>
      <x:c r="AD170" s="37" t="str">
        <x:f>IF(A170="","",IFERROR(AB170/AC170,0))</x:f>
      </x:c>
      <x:c r="AE170" s="33" t="str">
        <x:f>IF(A170="","",AC170/60*SUMIF(DM_NHAN_SU!$A$6:$A$105,L170,DM_NHAN_SU!$E$6:$E$105))</x:f>
      </x:c>
      <x:c r="AF170" s="33" t="str">
        <x:f>IF(A170="","",AC170/60*SUMIF(DM_MAY!$A$6:$A$105,M170,DM_MAY!$F$6:$F$105))</x:f>
      </x:c>
      <x:c r="AG170" s="33" t="str">
        <x:f>IF(A170="","",AE170+AF170)</x:f>
      </x:c>
      <x:c r="AH170" s="21"/>
      <x:c r="AI170" s="29" t="str">
        <x:f>IF(A170="","",IF(OR(B170="",D170="",E170="",I170="",L170="",N170="",O170="",P170=""),"Thiếu dữ liệu",IF(AND(OR(N170="PRODUCTION",N170="REWORK",N170="SETUP"),M170=""),"Thiếu máy",IF(P170&lt;O170,"Sai thời gian",IF(AA170&lt;&gt;0,"Sai cân đối SL","Hợp lệ")))))</x:f>
      </x:c>
      <x:c r="AJ170" s="21"/>
    </x:row>
    <x:row r="171">
      <x:c r="A171" s="21"/>
      <x:c r="B171" s="35"/>
      <x:c r="C171" s="21"/>
      <x:c r="D171" s="21"/>
      <x:c r="E171" s="21"/>
      <x:c r="F171" s="21"/>
      <x:c r="G171" s="21"/>
      <x:c r="H171" s="29" t="str">
        <x:f>IF(OR(D171="",E171=""),"",D171&amp;"|"&amp;E171&amp;"|"&amp;IF(F171="","00",F171)&amp;"|"&amp;IF(G171="","01",G171))</x:f>
      </x:c>
      <x:c r="I171" s="21"/>
      <x:c r="J171" s="29" t="str">
        <x:f>IF(K171="","",IFERROR(INDEX('04_KE_HOACH_CD'!$I$6:$I$305,MATCH(K171,'04_KE_HOACH_CD'!$G$6:$G$305,0)),""))</x:f>
      </x:c>
      <x:c r="K171" s="29" t="str">
        <x:f>IF(OR(H171="",I171=""),"",H171&amp;"|"&amp;TEXT(I171,"000"))</x:f>
      </x:c>
      <x:c r="L171" s="21"/>
      <x:c r="M171" s="21"/>
      <x:c r="N171" s="21"/>
      <x:c r="O171" s="43"/>
      <x:c r="P171" s="43"/>
      <x:c r="Q171" s="25"/>
      <x:c r="R171" s="25"/>
      <x:c r="S171" s="39" t="str">
        <x:f>IF(A171="","",SUMIF('07_DUNG_CHO'!$B$6:$B$505,A171,'07_DUNG_CHO'!$E$6:$E$505))</x:f>
      </x:c>
      <x:c r="T171" s="39" t="str">
        <x:f>IF(A171="","",IF(N171="SETUP",0,MAX(0,(P171-O171)*1440-Q171-S171)))</x:f>
      </x:c>
      <x:c r="U171" s="25"/>
      <x:c r="V171" s="25"/>
      <x:c r="W171" s="25"/>
      <x:c r="X171" s="25"/>
      <x:c r="Y171" s="25"/>
      <x:c r="Z171" s="25"/>
      <x:c r="AA171" s="39" t="str">
        <x:f>IF(A171="","",U171-SUM(V171,X171:Z171))</x:f>
      </x:c>
      <x:c r="AB171" s="39" t="str">
        <x:f>IF(A171="","",IF(N171="SETUP",IFERROR(INDEX('04_KE_HOACH_CD'!$K$6:$K$305,MATCH(K171,'04_KE_HOACH_CD'!$G$6:$G$305,0)),0),IF(OR(N171="PRODUCTION",N171="REWORK"),IFERROR(INDEX('04_KE_HOACH_CD'!$L$6:$L$305,MATCH(K171,'04_KE_HOACH_CD'!$G$6:$G$305,0))*V171,0),0)))</x:f>
      </x:c>
      <x:c r="AC171" s="39" t="str">
        <x:f>IF(A171="","",MAX(0,(P171-O171)*1440-Q171))</x:f>
      </x:c>
      <x:c r="AD171" s="37" t="str">
        <x:f>IF(A171="","",IFERROR(AB171/AC171,0))</x:f>
      </x:c>
      <x:c r="AE171" s="33" t="str">
        <x:f>IF(A171="","",AC171/60*SUMIF(DM_NHAN_SU!$A$6:$A$105,L171,DM_NHAN_SU!$E$6:$E$105))</x:f>
      </x:c>
      <x:c r="AF171" s="33" t="str">
        <x:f>IF(A171="","",AC171/60*SUMIF(DM_MAY!$A$6:$A$105,M171,DM_MAY!$F$6:$F$105))</x:f>
      </x:c>
      <x:c r="AG171" s="33" t="str">
        <x:f>IF(A171="","",AE171+AF171)</x:f>
      </x:c>
      <x:c r="AH171" s="21"/>
      <x:c r="AI171" s="29" t="str">
        <x:f>IF(A171="","",IF(OR(B171="",D171="",E171="",I171="",L171="",N171="",O171="",P171=""),"Thiếu dữ liệu",IF(AND(OR(N171="PRODUCTION",N171="REWORK",N171="SETUP"),M171=""),"Thiếu máy",IF(P171&lt;O171,"Sai thời gian",IF(AA171&lt;&gt;0,"Sai cân đối SL","Hợp lệ")))))</x:f>
      </x:c>
      <x:c r="AJ171" s="21"/>
    </x:row>
    <x:row r="172">
      <x:c r="A172" s="21"/>
      <x:c r="B172" s="35"/>
      <x:c r="C172" s="21"/>
      <x:c r="D172" s="21"/>
      <x:c r="E172" s="21"/>
      <x:c r="F172" s="21"/>
      <x:c r="G172" s="21"/>
      <x:c r="H172" s="29" t="str">
        <x:f>IF(OR(D172="",E172=""),"",D172&amp;"|"&amp;E172&amp;"|"&amp;IF(F172="","00",F172)&amp;"|"&amp;IF(G172="","01",G172))</x:f>
      </x:c>
      <x:c r="I172" s="21"/>
      <x:c r="J172" s="29" t="str">
        <x:f>IF(K172="","",IFERROR(INDEX('04_KE_HOACH_CD'!$I$6:$I$305,MATCH(K172,'04_KE_HOACH_CD'!$G$6:$G$305,0)),""))</x:f>
      </x:c>
      <x:c r="K172" s="29" t="str">
        <x:f>IF(OR(H172="",I172=""),"",H172&amp;"|"&amp;TEXT(I172,"000"))</x:f>
      </x:c>
      <x:c r="L172" s="21"/>
      <x:c r="M172" s="21"/>
      <x:c r="N172" s="21"/>
      <x:c r="O172" s="43"/>
      <x:c r="P172" s="43"/>
      <x:c r="Q172" s="25"/>
      <x:c r="R172" s="25"/>
      <x:c r="S172" s="39" t="str">
        <x:f>IF(A172="","",SUMIF('07_DUNG_CHO'!$B$6:$B$505,A172,'07_DUNG_CHO'!$E$6:$E$505))</x:f>
      </x:c>
      <x:c r="T172" s="39" t="str">
        <x:f>IF(A172="","",IF(N172="SETUP",0,MAX(0,(P172-O172)*1440-Q172-S172)))</x:f>
      </x:c>
      <x:c r="U172" s="25"/>
      <x:c r="V172" s="25"/>
      <x:c r="W172" s="25"/>
      <x:c r="X172" s="25"/>
      <x:c r="Y172" s="25"/>
      <x:c r="Z172" s="25"/>
      <x:c r="AA172" s="39" t="str">
        <x:f>IF(A172="","",U172-SUM(V172,X172:Z172))</x:f>
      </x:c>
      <x:c r="AB172" s="39" t="str">
        <x:f>IF(A172="","",IF(N172="SETUP",IFERROR(INDEX('04_KE_HOACH_CD'!$K$6:$K$305,MATCH(K172,'04_KE_HOACH_CD'!$G$6:$G$305,0)),0),IF(OR(N172="PRODUCTION",N172="REWORK"),IFERROR(INDEX('04_KE_HOACH_CD'!$L$6:$L$305,MATCH(K172,'04_KE_HOACH_CD'!$G$6:$G$305,0))*V172,0),0)))</x:f>
      </x:c>
      <x:c r="AC172" s="39" t="str">
        <x:f>IF(A172="","",MAX(0,(P172-O172)*1440-Q172))</x:f>
      </x:c>
      <x:c r="AD172" s="37" t="str">
        <x:f>IF(A172="","",IFERROR(AB172/AC172,0))</x:f>
      </x:c>
      <x:c r="AE172" s="33" t="str">
        <x:f>IF(A172="","",AC172/60*SUMIF(DM_NHAN_SU!$A$6:$A$105,L172,DM_NHAN_SU!$E$6:$E$105))</x:f>
      </x:c>
      <x:c r="AF172" s="33" t="str">
        <x:f>IF(A172="","",AC172/60*SUMIF(DM_MAY!$A$6:$A$105,M172,DM_MAY!$F$6:$F$105))</x:f>
      </x:c>
      <x:c r="AG172" s="33" t="str">
        <x:f>IF(A172="","",AE172+AF172)</x:f>
      </x:c>
      <x:c r="AH172" s="21"/>
      <x:c r="AI172" s="29" t="str">
        <x:f>IF(A172="","",IF(OR(B172="",D172="",E172="",I172="",L172="",N172="",O172="",P172=""),"Thiếu dữ liệu",IF(AND(OR(N172="PRODUCTION",N172="REWORK",N172="SETUP"),M172=""),"Thiếu máy",IF(P172&lt;O172,"Sai thời gian",IF(AA172&lt;&gt;0,"Sai cân đối SL","Hợp lệ")))))</x:f>
      </x:c>
      <x:c r="AJ172" s="21"/>
    </x:row>
    <x:row r="173">
      <x:c r="A173" s="21"/>
      <x:c r="B173" s="35"/>
      <x:c r="C173" s="21"/>
      <x:c r="D173" s="21"/>
      <x:c r="E173" s="21"/>
      <x:c r="F173" s="21"/>
      <x:c r="G173" s="21"/>
      <x:c r="H173" s="29" t="str">
        <x:f>IF(OR(D173="",E173=""),"",D173&amp;"|"&amp;E173&amp;"|"&amp;IF(F173="","00",F173)&amp;"|"&amp;IF(G173="","01",G173))</x:f>
      </x:c>
      <x:c r="I173" s="21"/>
      <x:c r="J173" s="29" t="str">
        <x:f>IF(K173="","",IFERROR(INDEX('04_KE_HOACH_CD'!$I$6:$I$305,MATCH(K173,'04_KE_HOACH_CD'!$G$6:$G$305,0)),""))</x:f>
      </x:c>
      <x:c r="K173" s="29" t="str">
        <x:f>IF(OR(H173="",I173=""),"",H173&amp;"|"&amp;TEXT(I173,"000"))</x:f>
      </x:c>
      <x:c r="L173" s="21"/>
      <x:c r="M173" s="21"/>
      <x:c r="N173" s="21"/>
      <x:c r="O173" s="43"/>
      <x:c r="P173" s="43"/>
      <x:c r="Q173" s="25"/>
      <x:c r="R173" s="25"/>
      <x:c r="S173" s="39" t="str">
        <x:f>IF(A173="","",SUMIF('07_DUNG_CHO'!$B$6:$B$505,A173,'07_DUNG_CHO'!$E$6:$E$505))</x:f>
      </x:c>
      <x:c r="T173" s="39" t="str">
        <x:f>IF(A173="","",IF(N173="SETUP",0,MAX(0,(P173-O173)*1440-Q173-S173)))</x:f>
      </x:c>
      <x:c r="U173" s="25"/>
      <x:c r="V173" s="25"/>
      <x:c r="W173" s="25"/>
      <x:c r="X173" s="25"/>
      <x:c r="Y173" s="25"/>
      <x:c r="Z173" s="25"/>
      <x:c r="AA173" s="39" t="str">
        <x:f>IF(A173="","",U173-SUM(V173,X173:Z173))</x:f>
      </x:c>
      <x:c r="AB173" s="39" t="str">
        <x:f>IF(A173="","",IF(N173="SETUP",IFERROR(INDEX('04_KE_HOACH_CD'!$K$6:$K$305,MATCH(K173,'04_KE_HOACH_CD'!$G$6:$G$305,0)),0),IF(OR(N173="PRODUCTION",N173="REWORK"),IFERROR(INDEX('04_KE_HOACH_CD'!$L$6:$L$305,MATCH(K173,'04_KE_HOACH_CD'!$G$6:$G$305,0))*V173,0),0)))</x:f>
      </x:c>
      <x:c r="AC173" s="39" t="str">
        <x:f>IF(A173="","",MAX(0,(P173-O173)*1440-Q173))</x:f>
      </x:c>
      <x:c r="AD173" s="37" t="str">
        <x:f>IF(A173="","",IFERROR(AB173/AC173,0))</x:f>
      </x:c>
      <x:c r="AE173" s="33" t="str">
        <x:f>IF(A173="","",AC173/60*SUMIF(DM_NHAN_SU!$A$6:$A$105,L173,DM_NHAN_SU!$E$6:$E$105))</x:f>
      </x:c>
      <x:c r="AF173" s="33" t="str">
        <x:f>IF(A173="","",AC173/60*SUMIF(DM_MAY!$A$6:$A$105,M173,DM_MAY!$F$6:$F$105))</x:f>
      </x:c>
      <x:c r="AG173" s="33" t="str">
        <x:f>IF(A173="","",AE173+AF173)</x:f>
      </x:c>
      <x:c r="AH173" s="21"/>
      <x:c r="AI173" s="29" t="str">
        <x:f>IF(A173="","",IF(OR(B173="",D173="",E173="",I173="",L173="",N173="",O173="",P173=""),"Thiếu dữ liệu",IF(AND(OR(N173="PRODUCTION",N173="REWORK",N173="SETUP"),M173=""),"Thiếu máy",IF(P173&lt;O173,"Sai thời gian",IF(AA173&lt;&gt;0,"Sai cân đối SL","Hợp lệ")))))</x:f>
      </x:c>
      <x:c r="AJ173" s="21"/>
    </x:row>
    <x:row r="174">
      <x:c r="A174" s="21"/>
      <x:c r="B174" s="35"/>
      <x:c r="C174" s="21"/>
      <x:c r="D174" s="21"/>
      <x:c r="E174" s="21"/>
      <x:c r="F174" s="21"/>
      <x:c r="G174" s="21"/>
      <x:c r="H174" s="29" t="str">
        <x:f>IF(OR(D174="",E174=""),"",D174&amp;"|"&amp;E174&amp;"|"&amp;IF(F174="","00",F174)&amp;"|"&amp;IF(G174="","01",G174))</x:f>
      </x:c>
      <x:c r="I174" s="21"/>
      <x:c r="J174" s="29" t="str">
        <x:f>IF(K174="","",IFERROR(INDEX('04_KE_HOACH_CD'!$I$6:$I$305,MATCH(K174,'04_KE_HOACH_CD'!$G$6:$G$305,0)),""))</x:f>
      </x:c>
      <x:c r="K174" s="29" t="str">
        <x:f>IF(OR(H174="",I174=""),"",H174&amp;"|"&amp;TEXT(I174,"000"))</x:f>
      </x:c>
      <x:c r="L174" s="21"/>
      <x:c r="M174" s="21"/>
      <x:c r="N174" s="21"/>
      <x:c r="O174" s="43"/>
      <x:c r="P174" s="43"/>
      <x:c r="Q174" s="25"/>
      <x:c r="R174" s="25"/>
      <x:c r="S174" s="39" t="str">
        <x:f>IF(A174="","",SUMIF('07_DUNG_CHO'!$B$6:$B$505,A174,'07_DUNG_CHO'!$E$6:$E$505))</x:f>
      </x:c>
      <x:c r="T174" s="39" t="str">
        <x:f>IF(A174="","",IF(N174="SETUP",0,MAX(0,(P174-O174)*1440-Q174-S174)))</x:f>
      </x:c>
      <x:c r="U174" s="25"/>
      <x:c r="V174" s="25"/>
      <x:c r="W174" s="25"/>
      <x:c r="X174" s="25"/>
      <x:c r="Y174" s="25"/>
      <x:c r="Z174" s="25"/>
      <x:c r="AA174" s="39" t="str">
        <x:f>IF(A174="","",U174-SUM(V174,X174:Z174))</x:f>
      </x:c>
      <x:c r="AB174" s="39" t="str">
        <x:f>IF(A174="","",IF(N174="SETUP",IFERROR(INDEX('04_KE_HOACH_CD'!$K$6:$K$305,MATCH(K174,'04_KE_HOACH_CD'!$G$6:$G$305,0)),0),IF(OR(N174="PRODUCTION",N174="REWORK"),IFERROR(INDEX('04_KE_HOACH_CD'!$L$6:$L$305,MATCH(K174,'04_KE_HOACH_CD'!$G$6:$G$305,0))*V174,0),0)))</x:f>
      </x:c>
      <x:c r="AC174" s="39" t="str">
        <x:f>IF(A174="","",MAX(0,(P174-O174)*1440-Q174))</x:f>
      </x:c>
      <x:c r="AD174" s="37" t="str">
        <x:f>IF(A174="","",IFERROR(AB174/AC174,0))</x:f>
      </x:c>
      <x:c r="AE174" s="33" t="str">
        <x:f>IF(A174="","",AC174/60*SUMIF(DM_NHAN_SU!$A$6:$A$105,L174,DM_NHAN_SU!$E$6:$E$105))</x:f>
      </x:c>
      <x:c r="AF174" s="33" t="str">
        <x:f>IF(A174="","",AC174/60*SUMIF(DM_MAY!$A$6:$A$105,M174,DM_MAY!$F$6:$F$105))</x:f>
      </x:c>
      <x:c r="AG174" s="33" t="str">
        <x:f>IF(A174="","",AE174+AF174)</x:f>
      </x:c>
      <x:c r="AH174" s="21"/>
      <x:c r="AI174" s="29" t="str">
        <x:f>IF(A174="","",IF(OR(B174="",D174="",E174="",I174="",L174="",N174="",O174="",P174=""),"Thiếu dữ liệu",IF(AND(OR(N174="PRODUCTION",N174="REWORK",N174="SETUP"),M174=""),"Thiếu máy",IF(P174&lt;O174,"Sai thời gian",IF(AA174&lt;&gt;0,"Sai cân đối SL","Hợp lệ")))))</x:f>
      </x:c>
      <x:c r="AJ174" s="21"/>
    </x:row>
    <x:row r="175">
      <x:c r="A175" s="21"/>
      <x:c r="B175" s="35"/>
      <x:c r="C175" s="21"/>
      <x:c r="D175" s="21"/>
      <x:c r="E175" s="21"/>
      <x:c r="F175" s="21"/>
      <x:c r="G175" s="21"/>
      <x:c r="H175" s="29" t="str">
        <x:f>IF(OR(D175="",E175=""),"",D175&amp;"|"&amp;E175&amp;"|"&amp;IF(F175="","00",F175)&amp;"|"&amp;IF(G175="","01",G175))</x:f>
      </x:c>
      <x:c r="I175" s="21"/>
      <x:c r="J175" s="29" t="str">
        <x:f>IF(K175="","",IFERROR(INDEX('04_KE_HOACH_CD'!$I$6:$I$305,MATCH(K175,'04_KE_HOACH_CD'!$G$6:$G$305,0)),""))</x:f>
      </x:c>
      <x:c r="K175" s="29" t="str">
        <x:f>IF(OR(H175="",I175=""),"",H175&amp;"|"&amp;TEXT(I175,"000"))</x:f>
      </x:c>
      <x:c r="L175" s="21"/>
      <x:c r="M175" s="21"/>
      <x:c r="N175" s="21"/>
      <x:c r="O175" s="43"/>
      <x:c r="P175" s="43"/>
      <x:c r="Q175" s="25"/>
      <x:c r="R175" s="25"/>
      <x:c r="S175" s="39" t="str">
        <x:f>IF(A175="","",SUMIF('07_DUNG_CHO'!$B$6:$B$505,A175,'07_DUNG_CHO'!$E$6:$E$505))</x:f>
      </x:c>
      <x:c r="T175" s="39" t="str">
        <x:f>IF(A175="","",IF(N175="SETUP",0,MAX(0,(P175-O175)*1440-Q175-S175)))</x:f>
      </x:c>
      <x:c r="U175" s="25"/>
      <x:c r="V175" s="25"/>
      <x:c r="W175" s="25"/>
      <x:c r="X175" s="25"/>
      <x:c r="Y175" s="25"/>
      <x:c r="Z175" s="25"/>
      <x:c r="AA175" s="39" t="str">
        <x:f>IF(A175="","",U175-SUM(V175,X175:Z175))</x:f>
      </x:c>
      <x:c r="AB175" s="39" t="str">
        <x:f>IF(A175="","",IF(N175="SETUP",IFERROR(INDEX('04_KE_HOACH_CD'!$K$6:$K$305,MATCH(K175,'04_KE_HOACH_CD'!$G$6:$G$305,0)),0),IF(OR(N175="PRODUCTION",N175="REWORK"),IFERROR(INDEX('04_KE_HOACH_CD'!$L$6:$L$305,MATCH(K175,'04_KE_HOACH_CD'!$G$6:$G$305,0))*V175,0),0)))</x:f>
      </x:c>
      <x:c r="AC175" s="39" t="str">
        <x:f>IF(A175="","",MAX(0,(P175-O175)*1440-Q175))</x:f>
      </x:c>
      <x:c r="AD175" s="37" t="str">
        <x:f>IF(A175="","",IFERROR(AB175/AC175,0))</x:f>
      </x:c>
      <x:c r="AE175" s="33" t="str">
        <x:f>IF(A175="","",AC175/60*SUMIF(DM_NHAN_SU!$A$6:$A$105,L175,DM_NHAN_SU!$E$6:$E$105))</x:f>
      </x:c>
      <x:c r="AF175" s="33" t="str">
        <x:f>IF(A175="","",AC175/60*SUMIF(DM_MAY!$A$6:$A$105,M175,DM_MAY!$F$6:$F$105))</x:f>
      </x:c>
      <x:c r="AG175" s="33" t="str">
        <x:f>IF(A175="","",AE175+AF175)</x:f>
      </x:c>
      <x:c r="AH175" s="21"/>
      <x:c r="AI175" s="29" t="str">
        <x:f>IF(A175="","",IF(OR(B175="",D175="",E175="",I175="",L175="",N175="",O175="",P175=""),"Thiếu dữ liệu",IF(AND(OR(N175="PRODUCTION",N175="REWORK",N175="SETUP"),M175=""),"Thiếu máy",IF(P175&lt;O175,"Sai thời gian",IF(AA175&lt;&gt;0,"Sai cân đối SL","Hợp lệ")))))</x:f>
      </x:c>
      <x:c r="AJ175" s="21"/>
    </x:row>
    <x:row r="176">
      <x:c r="A176" s="21"/>
      <x:c r="B176" s="35"/>
      <x:c r="C176" s="21"/>
      <x:c r="D176" s="21"/>
      <x:c r="E176" s="21"/>
      <x:c r="F176" s="21"/>
      <x:c r="G176" s="21"/>
      <x:c r="H176" s="29" t="str">
        <x:f>IF(OR(D176="",E176=""),"",D176&amp;"|"&amp;E176&amp;"|"&amp;IF(F176="","00",F176)&amp;"|"&amp;IF(G176="","01",G176))</x:f>
      </x:c>
      <x:c r="I176" s="21"/>
      <x:c r="J176" s="29" t="str">
        <x:f>IF(K176="","",IFERROR(INDEX('04_KE_HOACH_CD'!$I$6:$I$305,MATCH(K176,'04_KE_HOACH_CD'!$G$6:$G$305,0)),""))</x:f>
      </x:c>
      <x:c r="K176" s="29" t="str">
        <x:f>IF(OR(H176="",I176=""),"",H176&amp;"|"&amp;TEXT(I176,"000"))</x:f>
      </x:c>
      <x:c r="L176" s="21"/>
      <x:c r="M176" s="21"/>
      <x:c r="N176" s="21"/>
      <x:c r="O176" s="43"/>
      <x:c r="P176" s="43"/>
      <x:c r="Q176" s="25"/>
      <x:c r="R176" s="25"/>
      <x:c r="S176" s="39" t="str">
        <x:f>IF(A176="","",SUMIF('07_DUNG_CHO'!$B$6:$B$505,A176,'07_DUNG_CHO'!$E$6:$E$505))</x:f>
      </x:c>
      <x:c r="T176" s="39" t="str">
        <x:f>IF(A176="","",IF(N176="SETUP",0,MAX(0,(P176-O176)*1440-Q176-S176)))</x:f>
      </x:c>
      <x:c r="U176" s="25"/>
      <x:c r="V176" s="25"/>
      <x:c r="W176" s="25"/>
      <x:c r="X176" s="25"/>
      <x:c r="Y176" s="25"/>
      <x:c r="Z176" s="25"/>
      <x:c r="AA176" s="39" t="str">
        <x:f>IF(A176="","",U176-SUM(V176,X176:Z176))</x:f>
      </x:c>
      <x:c r="AB176" s="39" t="str">
        <x:f>IF(A176="","",IF(N176="SETUP",IFERROR(INDEX('04_KE_HOACH_CD'!$K$6:$K$305,MATCH(K176,'04_KE_HOACH_CD'!$G$6:$G$305,0)),0),IF(OR(N176="PRODUCTION",N176="REWORK"),IFERROR(INDEX('04_KE_HOACH_CD'!$L$6:$L$305,MATCH(K176,'04_KE_HOACH_CD'!$G$6:$G$305,0))*V176,0),0)))</x:f>
      </x:c>
      <x:c r="AC176" s="39" t="str">
        <x:f>IF(A176="","",MAX(0,(P176-O176)*1440-Q176))</x:f>
      </x:c>
      <x:c r="AD176" s="37" t="str">
        <x:f>IF(A176="","",IFERROR(AB176/AC176,0))</x:f>
      </x:c>
      <x:c r="AE176" s="33" t="str">
        <x:f>IF(A176="","",AC176/60*SUMIF(DM_NHAN_SU!$A$6:$A$105,L176,DM_NHAN_SU!$E$6:$E$105))</x:f>
      </x:c>
      <x:c r="AF176" s="33" t="str">
        <x:f>IF(A176="","",AC176/60*SUMIF(DM_MAY!$A$6:$A$105,M176,DM_MAY!$F$6:$F$105))</x:f>
      </x:c>
      <x:c r="AG176" s="33" t="str">
        <x:f>IF(A176="","",AE176+AF176)</x:f>
      </x:c>
      <x:c r="AH176" s="21"/>
      <x:c r="AI176" s="29" t="str">
        <x:f>IF(A176="","",IF(OR(B176="",D176="",E176="",I176="",L176="",N176="",O176="",P176=""),"Thiếu dữ liệu",IF(AND(OR(N176="PRODUCTION",N176="REWORK",N176="SETUP"),M176=""),"Thiếu máy",IF(P176&lt;O176,"Sai thời gian",IF(AA176&lt;&gt;0,"Sai cân đối SL","Hợp lệ")))))</x:f>
      </x:c>
      <x:c r="AJ176" s="21"/>
    </x:row>
    <x:row r="177">
      <x:c r="A177" s="21"/>
      <x:c r="B177" s="35"/>
      <x:c r="C177" s="21"/>
      <x:c r="D177" s="21"/>
      <x:c r="E177" s="21"/>
      <x:c r="F177" s="21"/>
      <x:c r="G177" s="21"/>
      <x:c r="H177" s="29" t="str">
        <x:f>IF(OR(D177="",E177=""),"",D177&amp;"|"&amp;E177&amp;"|"&amp;IF(F177="","00",F177)&amp;"|"&amp;IF(G177="","01",G177))</x:f>
      </x:c>
      <x:c r="I177" s="21"/>
      <x:c r="J177" s="29" t="str">
        <x:f>IF(K177="","",IFERROR(INDEX('04_KE_HOACH_CD'!$I$6:$I$305,MATCH(K177,'04_KE_HOACH_CD'!$G$6:$G$305,0)),""))</x:f>
      </x:c>
      <x:c r="K177" s="29" t="str">
        <x:f>IF(OR(H177="",I177=""),"",H177&amp;"|"&amp;TEXT(I177,"000"))</x:f>
      </x:c>
      <x:c r="L177" s="21"/>
      <x:c r="M177" s="21"/>
      <x:c r="N177" s="21"/>
      <x:c r="O177" s="43"/>
      <x:c r="P177" s="43"/>
      <x:c r="Q177" s="25"/>
      <x:c r="R177" s="25"/>
      <x:c r="S177" s="39" t="str">
        <x:f>IF(A177="","",SUMIF('07_DUNG_CHO'!$B$6:$B$505,A177,'07_DUNG_CHO'!$E$6:$E$505))</x:f>
      </x:c>
      <x:c r="T177" s="39" t="str">
        <x:f>IF(A177="","",IF(N177="SETUP",0,MAX(0,(P177-O177)*1440-Q177-S177)))</x:f>
      </x:c>
      <x:c r="U177" s="25"/>
      <x:c r="V177" s="25"/>
      <x:c r="W177" s="25"/>
      <x:c r="X177" s="25"/>
      <x:c r="Y177" s="25"/>
      <x:c r="Z177" s="25"/>
      <x:c r="AA177" s="39" t="str">
        <x:f>IF(A177="","",U177-SUM(V177,X177:Z177))</x:f>
      </x:c>
      <x:c r="AB177" s="39" t="str">
        <x:f>IF(A177="","",IF(N177="SETUP",IFERROR(INDEX('04_KE_HOACH_CD'!$K$6:$K$305,MATCH(K177,'04_KE_HOACH_CD'!$G$6:$G$305,0)),0),IF(OR(N177="PRODUCTION",N177="REWORK"),IFERROR(INDEX('04_KE_HOACH_CD'!$L$6:$L$305,MATCH(K177,'04_KE_HOACH_CD'!$G$6:$G$305,0))*V177,0),0)))</x:f>
      </x:c>
      <x:c r="AC177" s="39" t="str">
        <x:f>IF(A177="","",MAX(0,(P177-O177)*1440-Q177))</x:f>
      </x:c>
      <x:c r="AD177" s="37" t="str">
        <x:f>IF(A177="","",IFERROR(AB177/AC177,0))</x:f>
      </x:c>
      <x:c r="AE177" s="33" t="str">
        <x:f>IF(A177="","",AC177/60*SUMIF(DM_NHAN_SU!$A$6:$A$105,L177,DM_NHAN_SU!$E$6:$E$105))</x:f>
      </x:c>
      <x:c r="AF177" s="33" t="str">
        <x:f>IF(A177="","",AC177/60*SUMIF(DM_MAY!$A$6:$A$105,M177,DM_MAY!$F$6:$F$105))</x:f>
      </x:c>
      <x:c r="AG177" s="33" t="str">
        <x:f>IF(A177="","",AE177+AF177)</x:f>
      </x:c>
      <x:c r="AH177" s="21"/>
      <x:c r="AI177" s="29" t="str">
        <x:f>IF(A177="","",IF(OR(B177="",D177="",E177="",I177="",L177="",N177="",O177="",P177=""),"Thiếu dữ liệu",IF(AND(OR(N177="PRODUCTION",N177="REWORK",N177="SETUP"),M177=""),"Thiếu máy",IF(P177&lt;O177,"Sai thời gian",IF(AA177&lt;&gt;0,"Sai cân đối SL","Hợp lệ")))))</x:f>
      </x:c>
      <x:c r="AJ177" s="21"/>
    </x:row>
    <x:row r="178">
      <x:c r="A178" s="21"/>
      <x:c r="B178" s="35"/>
      <x:c r="C178" s="21"/>
      <x:c r="D178" s="21"/>
      <x:c r="E178" s="21"/>
      <x:c r="F178" s="21"/>
      <x:c r="G178" s="21"/>
      <x:c r="H178" s="29" t="str">
        <x:f>IF(OR(D178="",E178=""),"",D178&amp;"|"&amp;E178&amp;"|"&amp;IF(F178="","00",F178)&amp;"|"&amp;IF(G178="","01",G178))</x:f>
      </x:c>
      <x:c r="I178" s="21"/>
      <x:c r="J178" s="29" t="str">
        <x:f>IF(K178="","",IFERROR(INDEX('04_KE_HOACH_CD'!$I$6:$I$305,MATCH(K178,'04_KE_HOACH_CD'!$G$6:$G$305,0)),""))</x:f>
      </x:c>
      <x:c r="K178" s="29" t="str">
        <x:f>IF(OR(H178="",I178=""),"",H178&amp;"|"&amp;TEXT(I178,"000"))</x:f>
      </x:c>
      <x:c r="L178" s="21"/>
      <x:c r="M178" s="21"/>
      <x:c r="N178" s="21"/>
      <x:c r="O178" s="43"/>
      <x:c r="P178" s="43"/>
      <x:c r="Q178" s="25"/>
      <x:c r="R178" s="25"/>
      <x:c r="S178" s="39" t="str">
        <x:f>IF(A178="","",SUMIF('07_DUNG_CHO'!$B$6:$B$505,A178,'07_DUNG_CHO'!$E$6:$E$505))</x:f>
      </x:c>
      <x:c r="T178" s="39" t="str">
        <x:f>IF(A178="","",IF(N178="SETUP",0,MAX(0,(P178-O178)*1440-Q178-S178)))</x:f>
      </x:c>
      <x:c r="U178" s="25"/>
      <x:c r="V178" s="25"/>
      <x:c r="W178" s="25"/>
      <x:c r="X178" s="25"/>
      <x:c r="Y178" s="25"/>
      <x:c r="Z178" s="25"/>
      <x:c r="AA178" s="39" t="str">
        <x:f>IF(A178="","",U178-SUM(V178,X178:Z178))</x:f>
      </x:c>
      <x:c r="AB178" s="39" t="str">
        <x:f>IF(A178="","",IF(N178="SETUP",IFERROR(INDEX('04_KE_HOACH_CD'!$K$6:$K$305,MATCH(K178,'04_KE_HOACH_CD'!$G$6:$G$305,0)),0),IF(OR(N178="PRODUCTION",N178="REWORK"),IFERROR(INDEX('04_KE_HOACH_CD'!$L$6:$L$305,MATCH(K178,'04_KE_HOACH_CD'!$G$6:$G$305,0))*V178,0),0)))</x:f>
      </x:c>
      <x:c r="AC178" s="39" t="str">
        <x:f>IF(A178="","",MAX(0,(P178-O178)*1440-Q178))</x:f>
      </x:c>
      <x:c r="AD178" s="37" t="str">
        <x:f>IF(A178="","",IFERROR(AB178/AC178,0))</x:f>
      </x:c>
      <x:c r="AE178" s="33" t="str">
        <x:f>IF(A178="","",AC178/60*SUMIF(DM_NHAN_SU!$A$6:$A$105,L178,DM_NHAN_SU!$E$6:$E$105))</x:f>
      </x:c>
      <x:c r="AF178" s="33" t="str">
        <x:f>IF(A178="","",AC178/60*SUMIF(DM_MAY!$A$6:$A$105,M178,DM_MAY!$F$6:$F$105))</x:f>
      </x:c>
      <x:c r="AG178" s="33" t="str">
        <x:f>IF(A178="","",AE178+AF178)</x:f>
      </x:c>
      <x:c r="AH178" s="21"/>
      <x:c r="AI178" s="29" t="str">
        <x:f>IF(A178="","",IF(OR(B178="",D178="",E178="",I178="",L178="",N178="",O178="",P178=""),"Thiếu dữ liệu",IF(AND(OR(N178="PRODUCTION",N178="REWORK",N178="SETUP"),M178=""),"Thiếu máy",IF(P178&lt;O178,"Sai thời gian",IF(AA178&lt;&gt;0,"Sai cân đối SL","Hợp lệ")))))</x:f>
      </x:c>
      <x:c r="AJ178" s="21"/>
    </x:row>
    <x:row r="179">
      <x:c r="A179" s="21"/>
      <x:c r="B179" s="35"/>
      <x:c r="C179" s="21"/>
      <x:c r="D179" s="21"/>
      <x:c r="E179" s="21"/>
      <x:c r="F179" s="21"/>
      <x:c r="G179" s="21"/>
      <x:c r="H179" s="29" t="str">
        <x:f>IF(OR(D179="",E179=""),"",D179&amp;"|"&amp;E179&amp;"|"&amp;IF(F179="","00",F179)&amp;"|"&amp;IF(G179="","01",G179))</x:f>
      </x:c>
      <x:c r="I179" s="21"/>
      <x:c r="J179" s="29" t="str">
        <x:f>IF(K179="","",IFERROR(INDEX('04_KE_HOACH_CD'!$I$6:$I$305,MATCH(K179,'04_KE_HOACH_CD'!$G$6:$G$305,0)),""))</x:f>
      </x:c>
      <x:c r="K179" s="29" t="str">
        <x:f>IF(OR(H179="",I179=""),"",H179&amp;"|"&amp;TEXT(I179,"000"))</x:f>
      </x:c>
      <x:c r="L179" s="21"/>
      <x:c r="M179" s="21"/>
      <x:c r="N179" s="21"/>
      <x:c r="O179" s="43"/>
      <x:c r="P179" s="43"/>
      <x:c r="Q179" s="25"/>
      <x:c r="R179" s="25"/>
      <x:c r="S179" s="39" t="str">
        <x:f>IF(A179="","",SUMIF('07_DUNG_CHO'!$B$6:$B$505,A179,'07_DUNG_CHO'!$E$6:$E$505))</x:f>
      </x:c>
      <x:c r="T179" s="39" t="str">
        <x:f>IF(A179="","",IF(N179="SETUP",0,MAX(0,(P179-O179)*1440-Q179-S179)))</x:f>
      </x:c>
      <x:c r="U179" s="25"/>
      <x:c r="V179" s="25"/>
      <x:c r="W179" s="25"/>
      <x:c r="X179" s="25"/>
      <x:c r="Y179" s="25"/>
      <x:c r="Z179" s="25"/>
      <x:c r="AA179" s="39" t="str">
        <x:f>IF(A179="","",U179-SUM(V179,X179:Z179))</x:f>
      </x:c>
      <x:c r="AB179" s="39" t="str">
        <x:f>IF(A179="","",IF(N179="SETUP",IFERROR(INDEX('04_KE_HOACH_CD'!$K$6:$K$305,MATCH(K179,'04_KE_HOACH_CD'!$G$6:$G$305,0)),0),IF(OR(N179="PRODUCTION",N179="REWORK"),IFERROR(INDEX('04_KE_HOACH_CD'!$L$6:$L$305,MATCH(K179,'04_KE_HOACH_CD'!$G$6:$G$305,0))*V179,0),0)))</x:f>
      </x:c>
      <x:c r="AC179" s="39" t="str">
        <x:f>IF(A179="","",MAX(0,(P179-O179)*1440-Q179))</x:f>
      </x:c>
      <x:c r="AD179" s="37" t="str">
        <x:f>IF(A179="","",IFERROR(AB179/AC179,0))</x:f>
      </x:c>
      <x:c r="AE179" s="33" t="str">
        <x:f>IF(A179="","",AC179/60*SUMIF(DM_NHAN_SU!$A$6:$A$105,L179,DM_NHAN_SU!$E$6:$E$105))</x:f>
      </x:c>
      <x:c r="AF179" s="33" t="str">
        <x:f>IF(A179="","",AC179/60*SUMIF(DM_MAY!$A$6:$A$105,M179,DM_MAY!$F$6:$F$105))</x:f>
      </x:c>
      <x:c r="AG179" s="33" t="str">
        <x:f>IF(A179="","",AE179+AF179)</x:f>
      </x:c>
      <x:c r="AH179" s="21"/>
      <x:c r="AI179" s="29" t="str">
        <x:f>IF(A179="","",IF(OR(B179="",D179="",E179="",I179="",L179="",N179="",O179="",P179=""),"Thiếu dữ liệu",IF(AND(OR(N179="PRODUCTION",N179="REWORK",N179="SETUP"),M179=""),"Thiếu máy",IF(P179&lt;O179,"Sai thời gian",IF(AA179&lt;&gt;0,"Sai cân đối SL","Hợp lệ")))))</x:f>
      </x:c>
      <x:c r="AJ179" s="21"/>
    </x:row>
    <x:row r="180">
      <x:c r="A180" s="21"/>
      <x:c r="B180" s="35"/>
      <x:c r="C180" s="21"/>
      <x:c r="D180" s="21"/>
      <x:c r="E180" s="21"/>
      <x:c r="F180" s="21"/>
      <x:c r="G180" s="21"/>
      <x:c r="H180" s="29" t="str">
        <x:f>IF(OR(D180="",E180=""),"",D180&amp;"|"&amp;E180&amp;"|"&amp;IF(F180="","00",F180)&amp;"|"&amp;IF(G180="","01",G180))</x:f>
      </x:c>
      <x:c r="I180" s="21"/>
      <x:c r="J180" s="29" t="str">
        <x:f>IF(K180="","",IFERROR(INDEX('04_KE_HOACH_CD'!$I$6:$I$305,MATCH(K180,'04_KE_HOACH_CD'!$G$6:$G$305,0)),""))</x:f>
      </x:c>
      <x:c r="K180" s="29" t="str">
        <x:f>IF(OR(H180="",I180=""),"",H180&amp;"|"&amp;TEXT(I180,"000"))</x:f>
      </x:c>
      <x:c r="L180" s="21"/>
      <x:c r="M180" s="21"/>
      <x:c r="N180" s="21"/>
      <x:c r="O180" s="43"/>
      <x:c r="P180" s="43"/>
      <x:c r="Q180" s="25"/>
      <x:c r="R180" s="25"/>
      <x:c r="S180" s="39" t="str">
        <x:f>IF(A180="","",SUMIF('07_DUNG_CHO'!$B$6:$B$505,A180,'07_DUNG_CHO'!$E$6:$E$505))</x:f>
      </x:c>
      <x:c r="T180" s="39" t="str">
        <x:f>IF(A180="","",IF(N180="SETUP",0,MAX(0,(P180-O180)*1440-Q180-S180)))</x:f>
      </x:c>
      <x:c r="U180" s="25"/>
      <x:c r="V180" s="25"/>
      <x:c r="W180" s="25"/>
      <x:c r="X180" s="25"/>
      <x:c r="Y180" s="25"/>
      <x:c r="Z180" s="25"/>
      <x:c r="AA180" s="39" t="str">
        <x:f>IF(A180="","",U180-SUM(V180,X180:Z180))</x:f>
      </x:c>
      <x:c r="AB180" s="39" t="str">
        <x:f>IF(A180="","",IF(N180="SETUP",IFERROR(INDEX('04_KE_HOACH_CD'!$K$6:$K$305,MATCH(K180,'04_KE_HOACH_CD'!$G$6:$G$305,0)),0),IF(OR(N180="PRODUCTION",N180="REWORK"),IFERROR(INDEX('04_KE_HOACH_CD'!$L$6:$L$305,MATCH(K180,'04_KE_HOACH_CD'!$G$6:$G$305,0))*V180,0),0)))</x:f>
      </x:c>
      <x:c r="AC180" s="39" t="str">
        <x:f>IF(A180="","",MAX(0,(P180-O180)*1440-Q180))</x:f>
      </x:c>
      <x:c r="AD180" s="37" t="str">
        <x:f>IF(A180="","",IFERROR(AB180/AC180,0))</x:f>
      </x:c>
      <x:c r="AE180" s="33" t="str">
        <x:f>IF(A180="","",AC180/60*SUMIF(DM_NHAN_SU!$A$6:$A$105,L180,DM_NHAN_SU!$E$6:$E$105))</x:f>
      </x:c>
      <x:c r="AF180" s="33" t="str">
        <x:f>IF(A180="","",AC180/60*SUMIF(DM_MAY!$A$6:$A$105,M180,DM_MAY!$F$6:$F$105))</x:f>
      </x:c>
      <x:c r="AG180" s="33" t="str">
        <x:f>IF(A180="","",AE180+AF180)</x:f>
      </x:c>
      <x:c r="AH180" s="21"/>
      <x:c r="AI180" s="29" t="str">
        <x:f>IF(A180="","",IF(OR(B180="",D180="",E180="",I180="",L180="",N180="",O180="",P180=""),"Thiếu dữ liệu",IF(AND(OR(N180="PRODUCTION",N180="REWORK",N180="SETUP"),M180=""),"Thiếu máy",IF(P180&lt;O180,"Sai thời gian",IF(AA180&lt;&gt;0,"Sai cân đối SL","Hợp lệ")))))</x:f>
      </x:c>
      <x:c r="AJ180" s="21"/>
    </x:row>
    <x:row r="181">
      <x:c r="A181" s="21"/>
      <x:c r="B181" s="35"/>
      <x:c r="C181" s="21"/>
      <x:c r="D181" s="21"/>
      <x:c r="E181" s="21"/>
      <x:c r="F181" s="21"/>
      <x:c r="G181" s="21"/>
      <x:c r="H181" s="29" t="str">
        <x:f>IF(OR(D181="",E181=""),"",D181&amp;"|"&amp;E181&amp;"|"&amp;IF(F181="","00",F181)&amp;"|"&amp;IF(G181="","01",G181))</x:f>
      </x:c>
      <x:c r="I181" s="21"/>
      <x:c r="J181" s="29" t="str">
        <x:f>IF(K181="","",IFERROR(INDEX('04_KE_HOACH_CD'!$I$6:$I$305,MATCH(K181,'04_KE_HOACH_CD'!$G$6:$G$305,0)),""))</x:f>
      </x:c>
      <x:c r="K181" s="29" t="str">
        <x:f>IF(OR(H181="",I181=""),"",H181&amp;"|"&amp;TEXT(I181,"000"))</x:f>
      </x:c>
      <x:c r="L181" s="21"/>
      <x:c r="M181" s="21"/>
      <x:c r="N181" s="21"/>
      <x:c r="O181" s="43"/>
      <x:c r="P181" s="43"/>
      <x:c r="Q181" s="25"/>
      <x:c r="R181" s="25"/>
      <x:c r="S181" s="39" t="str">
        <x:f>IF(A181="","",SUMIF('07_DUNG_CHO'!$B$6:$B$505,A181,'07_DUNG_CHO'!$E$6:$E$505))</x:f>
      </x:c>
      <x:c r="T181" s="39" t="str">
        <x:f>IF(A181="","",IF(N181="SETUP",0,MAX(0,(P181-O181)*1440-Q181-S181)))</x:f>
      </x:c>
      <x:c r="U181" s="25"/>
      <x:c r="V181" s="25"/>
      <x:c r="W181" s="25"/>
      <x:c r="X181" s="25"/>
      <x:c r="Y181" s="25"/>
      <x:c r="Z181" s="25"/>
      <x:c r="AA181" s="39" t="str">
        <x:f>IF(A181="","",U181-SUM(V181,X181:Z181))</x:f>
      </x:c>
      <x:c r="AB181" s="39" t="str">
        <x:f>IF(A181="","",IF(N181="SETUP",IFERROR(INDEX('04_KE_HOACH_CD'!$K$6:$K$305,MATCH(K181,'04_KE_HOACH_CD'!$G$6:$G$305,0)),0),IF(OR(N181="PRODUCTION",N181="REWORK"),IFERROR(INDEX('04_KE_HOACH_CD'!$L$6:$L$305,MATCH(K181,'04_KE_HOACH_CD'!$G$6:$G$305,0))*V181,0),0)))</x:f>
      </x:c>
      <x:c r="AC181" s="39" t="str">
        <x:f>IF(A181="","",MAX(0,(P181-O181)*1440-Q181))</x:f>
      </x:c>
      <x:c r="AD181" s="37" t="str">
        <x:f>IF(A181="","",IFERROR(AB181/AC181,0))</x:f>
      </x:c>
      <x:c r="AE181" s="33" t="str">
        <x:f>IF(A181="","",AC181/60*SUMIF(DM_NHAN_SU!$A$6:$A$105,L181,DM_NHAN_SU!$E$6:$E$105))</x:f>
      </x:c>
      <x:c r="AF181" s="33" t="str">
        <x:f>IF(A181="","",AC181/60*SUMIF(DM_MAY!$A$6:$A$105,M181,DM_MAY!$F$6:$F$105))</x:f>
      </x:c>
      <x:c r="AG181" s="33" t="str">
        <x:f>IF(A181="","",AE181+AF181)</x:f>
      </x:c>
      <x:c r="AH181" s="21"/>
      <x:c r="AI181" s="29" t="str">
        <x:f>IF(A181="","",IF(OR(B181="",D181="",E181="",I181="",L181="",N181="",O181="",P181=""),"Thiếu dữ liệu",IF(AND(OR(N181="PRODUCTION",N181="REWORK",N181="SETUP"),M181=""),"Thiếu máy",IF(P181&lt;O181,"Sai thời gian",IF(AA181&lt;&gt;0,"Sai cân đối SL","Hợp lệ")))))</x:f>
      </x:c>
      <x:c r="AJ181" s="21"/>
    </x:row>
    <x:row r="182">
      <x:c r="A182" s="21"/>
      <x:c r="B182" s="35"/>
      <x:c r="C182" s="21"/>
      <x:c r="D182" s="21"/>
      <x:c r="E182" s="21"/>
      <x:c r="F182" s="21"/>
      <x:c r="G182" s="21"/>
      <x:c r="H182" s="29" t="str">
        <x:f>IF(OR(D182="",E182=""),"",D182&amp;"|"&amp;E182&amp;"|"&amp;IF(F182="","00",F182)&amp;"|"&amp;IF(G182="","01",G182))</x:f>
      </x:c>
      <x:c r="I182" s="21"/>
      <x:c r="J182" s="29" t="str">
        <x:f>IF(K182="","",IFERROR(INDEX('04_KE_HOACH_CD'!$I$6:$I$305,MATCH(K182,'04_KE_HOACH_CD'!$G$6:$G$305,0)),""))</x:f>
      </x:c>
      <x:c r="K182" s="29" t="str">
        <x:f>IF(OR(H182="",I182=""),"",H182&amp;"|"&amp;TEXT(I182,"000"))</x:f>
      </x:c>
      <x:c r="L182" s="21"/>
      <x:c r="M182" s="21"/>
      <x:c r="N182" s="21"/>
      <x:c r="O182" s="43"/>
      <x:c r="P182" s="43"/>
      <x:c r="Q182" s="25"/>
      <x:c r="R182" s="25"/>
      <x:c r="S182" s="39" t="str">
        <x:f>IF(A182="","",SUMIF('07_DUNG_CHO'!$B$6:$B$505,A182,'07_DUNG_CHO'!$E$6:$E$505))</x:f>
      </x:c>
      <x:c r="T182" s="39" t="str">
        <x:f>IF(A182="","",IF(N182="SETUP",0,MAX(0,(P182-O182)*1440-Q182-S182)))</x:f>
      </x:c>
      <x:c r="U182" s="25"/>
      <x:c r="V182" s="25"/>
      <x:c r="W182" s="25"/>
      <x:c r="X182" s="25"/>
      <x:c r="Y182" s="25"/>
      <x:c r="Z182" s="25"/>
      <x:c r="AA182" s="39" t="str">
        <x:f>IF(A182="","",U182-SUM(V182,X182:Z182))</x:f>
      </x:c>
      <x:c r="AB182" s="39" t="str">
        <x:f>IF(A182="","",IF(N182="SETUP",IFERROR(INDEX('04_KE_HOACH_CD'!$K$6:$K$305,MATCH(K182,'04_KE_HOACH_CD'!$G$6:$G$305,0)),0),IF(OR(N182="PRODUCTION",N182="REWORK"),IFERROR(INDEX('04_KE_HOACH_CD'!$L$6:$L$305,MATCH(K182,'04_KE_HOACH_CD'!$G$6:$G$305,0))*V182,0),0)))</x:f>
      </x:c>
      <x:c r="AC182" s="39" t="str">
        <x:f>IF(A182="","",MAX(0,(P182-O182)*1440-Q182))</x:f>
      </x:c>
      <x:c r="AD182" s="37" t="str">
        <x:f>IF(A182="","",IFERROR(AB182/AC182,0))</x:f>
      </x:c>
      <x:c r="AE182" s="33" t="str">
        <x:f>IF(A182="","",AC182/60*SUMIF(DM_NHAN_SU!$A$6:$A$105,L182,DM_NHAN_SU!$E$6:$E$105))</x:f>
      </x:c>
      <x:c r="AF182" s="33" t="str">
        <x:f>IF(A182="","",AC182/60*SUMIF(DM_MAY!$A$6:$A$105,M182,DM_MAY!$F$6:$F$105))</x:f>
      </x:c>
      <x:c r="AG182" s="33" t="str">
        <x:f>IF(A182="","",AE182+AF182)</x:f>
      </x:c>
      <x:c r="AH182" s="21"/>
      <x:c r="AI182" s="29" t="str">
        <x:f>IF(A182="","",IF(OR(B182="",D182="",E182="",I182="",L182="",N182="",O182="",P182=""),"Thiếu dữ liệu",IF(AND(OR(N182="PRODUCTION",N182="REWORK",N182="SETUP"),M182=""),"Thiếu máy",IF(P182&lt;O182,"Sai thời gian",IF(AA182&lt;&gt;0,"Sai cân đối SL","Hợp lệ")))))</x:f>
      </x:c>
      <x:c r="AJ182" s="21"/>
    </x:row>
    <x:row r="183">
      <x:c r="A183" s="21"/>
      <x:c r="B183" s="35"/>
      <x:c r="C183" s="21"/>
      <x:c r="D183" s="21"/>
      <x:c r="E183" s="21"/>
      <x:c r="F183" s="21"/>
      <x:c r="G183" s="21"/>
      <x:c r="H183" s="29" t="str">
        <x:f>IF(OR(D183="",E183=""),"",D183&amp;"|"&amp;E183&amp;"|"&amp;IF(F183="","00",F183)&amp;"|"&amp;IF(G183="","01",G183))</x:f>
      </x:c>
      <x:c r="I183" s="21"/>
      <x:c r="J183" s="29" t="str">
        <x:f>IF(K183="","",IFERROR(INDEX('04_KE_HOACH_CD'!$I$6:$I$305,MATCH(K183,'04_KE_HOACH_CD'!$G$6:$G$305,0)),""))</x:f>
      </x:c>
      <x:c r="K183" s="29" t="str">
        <x:f>IF(OR(H183="",I183=""),"",H183&amp;"|"&amp;TEXT(I183,"000"))</x:f>
      </x:c>
      <x:c r="L183" s="21"/>
      <x:c r="M183" s="21"/>
      <x:c r="N183" s="21"/>
      <x:c r="O183" s="43"/>
      <x:c r="P183" s="43"/>
      <x:c r="Q183" s="25"/>
      <x:c r="R183" s="25"/>
      <x:c r="S183" s="39" t="str">
        <x:f>IF(A183="","",SUMIF('07_DUNG_CHO'!$B$6:$B$505,A183,'07_DUNG_CHO'!$E$6:$E$505))</x:f>
      </x:c>
      <x:c r="T183" s="39" t="str">
        <x:f>IF(A183="","",IF(N183="SETUP",0,MAX(0,(P183-O183)*1440-Q183-S183)))</x:f>
      </x:c>
      <x:c r="U183" s="25"/>
      <x:c r="V183" s="25"/>
      <x:c r="W183" s="25"/>
      <x:c r="X183" s="25"/>
      <x:c r="Y183" s="25"/>
      <x:c r="Z183" s="25"/>
      <x:c r="AA183" s="39" t="str">
        <x:f>IF(A183="","",U183-SUM(V183,X183:Z183))</x:f>
      </x:c>
      <x:c r="AB183" s="39" t="str">
        <x:f>IF(A183="","",IF(N183="SETUP",IFERROR(INDEX('04_KE_HOACH_CD'!$K$6:$K$305,MATCH(K183,'04_KE_HOACH_CD'!$G$6:$G$305,0)),0),IF(OR(N183="PRODUCTION",N183="REWORK"),IFERROR(INDEX('04_KE_HOACH_CD'!$L$6:$L$305,MATCH(K183,'04_KE_HOACH_CD'!$G$6:$G$305,0))*V183,0),0)))</x:f>
      </x:c>
      <x:c r="AC183" s="39" t="str">
        <x:f>IF(A183="","",MAX(0,(P183-O183)*1440-Q183))</x:f>
      </x:c>
      <x:c r="AD183" s="37" t="str">
        <x:f>IF(A183="","",IFERROR(AB183/AC183,0))</x:f>
      </x:c>
      <x:c r="AE183" s="33" t="str">
        <x:f>IF(A183="","",AC183/60*SUMIF(DM_NHAN_SU!$A$6:$A$105,L183,DM_NHAN_SU!$E$6:$E$105))</x:f>
      </x:c>
      <x:c r="AF183" s="33" t="str">
        <x:f>IF(A183="","",AC183/60*SUMIF(DM_MAY!$A$6:$A$105,M183,DM_MAY!$F$6:$F$105))</x:f>
      </x:c>
      <x:c r="AG183" s="33" t="str">
        <x:f>IF(A183="","",AE183+AF183)</x:f>
      </x:c>
      <x:c r="AH183" s="21"/>
      <x:c r="AI183" s="29" t="str">
        <x:f>IF(A183="","",IF(OR(B183="",D183="",E183="",I183="",L183="",N183="",O183="",P183=""),"Thiếu dữ liệu",IF(AND(OR(N183="PRODUCTION",N183="REWORK",N183="SETUP"),M183=""),"Thiếu máy",IF(P183&lt;O183,"Sai thời gian",IF(AA183&lt;&gt;0,"Sai cân đối SL","Hợp lệ")))))</x:f>
      </x:c>
      <x:c r="AJ183" s="21"/>
    </x:row>
    <x:row r="184">
      <x:c r="A184" s="21"/>
      <x:c r="B184" s="35"/>
      <x:c r="C184" s="21"/>
      <x:c r="D184" s="21"/>
      <x:c r="E184" s="21"/>
      <x:c r="F184" s="21"/>
      <x:c r="G184" s="21"/>
      <x:c r="H184" s="29" t="str">
        <x:f>IF(OR(D184="",E184=""),"",D184&amp;"|"&amp;E184&amp;"|"&amp;IF(F184="","00",F184)&amp;"|"&amp;IF(G184="","01",G184))</x:f>
      </x:c>
      <x:c r="I184" s="21"/>
      <x:c r="J184" s="29" t="str">
        <x:f>IF(K184="","",IFERROR(INDEX('04_KE_HOACH_CD'!$I$6:$I$305,MATCH(K184,'04_KE_HOACH_CD'!$G$6:$G$305,0)),""))</x:f>
      </x:c>
      <x:c r="K184" s="29" t="str">
        <x:f>IF(OR(H184="",I184=""),"",H184&amp;"|"&amp;TEXT(I184,"000"))</x:f>
      </x:c>
      <x:c r="L184" s="21"/>
      <x:c r="M184" s="21"/>
      <x:c r="N184" s="21"/>
      <x:c r="O184" s="43"/>
      <x:c r="P184" s="43"/>
      <x:c r="Q184" s="25"/>
      <x:c r="R184" s="25"/>
      <x:c r="S184" s="39" t="str">
        <x:f>IF(A184="","",SUMIF('07_DUNG_CHO'!$B$6:$B$505,A184,'07_DUNG_CHO'!$E$6:$E$505))</x:f>
      </x:c>
      <x:c r="T184" s="39" t="str">
        <x:f>IF(A184="","",IF(N184="SETUP",0,MAX(0,(P184-O184)*1440-Q184-S184)))</x:f>
      </x:c>
      <x:c r="U184" s="25"/>
      <x:c r="V184" s="25"/>
      <x:c r="W184" s="25"/>
      <x:c r="X184" s="25"/>
      <x:c r="Y184" s="25"/>
      <x:c r="Z184" s="25"/>
      <x:c r="AA184" s="39" t="str">
        <x:f>IF(A184="","",U184-SUM(V184,X184:Z184))</x:f>
      </x:c>
      <x:c r="AB184" s="39" t="str">
        <x:f>IF(A184="","",IF(N184="SETUP",IFERROR(INDEX('04_KE_HOACH_CD'!$K$6:$K$305,MATCH(K184,'04_KE_HOACH_CD'!$G$6:$G$305,0)),0),IF(OR(N184="PRODUCTION",N184="REWORK"),IFERROR(INDEX('04_KE_HOACH_CD'!$L$6:$L$305,MATCH(K184,'04_KE_HOACH_CD'!$G$6:$G$305,0))*V184,0),0)))</x:f>
      </x:c>
      <x:c r="AC184" s="39" t="str">
        <x:f>IF(A184="","",MAX(0,(P184-O184)*1440-Q184))</x:f>
      </x:c>
      <x:c r="AD184" s="37" t="str">
        <x:f>IF(A184="","",IFERROR(AB184/AC184,0))</x:f>
      </x:c>
      <x:c r="AE184" s="33" t="str">
        <x:f>IF(A184="","",AC184/60*SUMIF(DM_NHAN_SU!$A$6:$A$105,L184,DM_NHAN_SU!$E$6:$E$105))</x:f>
      </x:c>
      <x:c r="AF184" s="33" t="str">
        <x:f>IF(A184="","",AC184/60*SUMIF(DM_MAY!$A$6:$A$105,M184,DM_MAY!$F$6:$F$105))</x:f>
      </x:c>
      <x:c r="AG184" s="33" t="str">
        <x:f>IF(A184="","",AE184+AF184)</x:f>
      </x:c>
      <x:c r="AH184" s="21"/>
      <x:c r="AI184" s="29" t="str">
        <x:f>IF(A184="","",IF(OR(B184="",D184="",E184="",I184="",L184="",N184="",O184="",P184=""),"Thiếu dữ liệu",IF(AND(OR(N184="PRODUCTION",N184="REWORK",N184="SETUP"),M184=""),"Thiếu máy",IF(P184&lt;O184,"Sai thời gian",IF(AA184&lt;&gt;0,"Sai cân đối SL","Hợp lệ")))))</x:f>
      </x:c>
      <x:c r="AJ184" s="21"/>
    </x:row>
    <x:row r="185">
      <x:c r="A185" s="21"/>
      <x:c r="B185" s="35"/>
      <x:c r="C185" s="21"/>
      <x:c r="D185" s="21"/>
      <x:c r="E185" s="21"/>
      <x:c r="F185" s="21"/>
      <x:c r="G185" s="21"/>
      <x:c r="H185" s="29" t="str">
        <x:f>IF(OR(D185="",E185=""),"",D185&amp;"|"&amp;E185&amp;"|"&amp;IF(F185="","00",F185)&amp;"|"&amp;IF(G185="","01",G185))</x:f>
      </x:c>
      <x:c r="I185" s="21"/>
      <x:c r="J185" s="29" t="str">
        <x:f>IF(K185="","",IFERROR(INDEX('04_KE_HOACH_CD'!$I$6:$I$305,MATCH(K185,'04_KE_HOACH_CD'!$G$6:$G$305,0)),""))</x:f>
      </x:c>
      <x:c r="K185" s="29" t="str">
        <x:f>IF(OR(H185="",I185=""),"",H185&amp;"|"&amp;TEXT(I185,"000"))</x:f>
      </x:c>
      <x:c r="L185" s="21"/>
      <x:c r="M185" s="21"/>
      <x:c r="N185" s="21"/>
      <x:c r="O185" s="43"/>
      <x:c r="P185" s="43"/>
      <x:c r="Q185" s="25"/>
      <x:c r="R185" s="25"/>
      <x:c r="S185" s="39" t="str">
        <x:f>IF(A185="","",SUMIF('07_DUNG_CHO'!$B$6:$B$505,A185,'07_DUNG_CHO'!$E$6:$E$505))</x:f>
      </x:c>
      <x:c r="T185" s="39" t="str">
        <x:f>IF(A185="","",IF(N185="SETUP",0,MAX(0,(P185-O185)*1440-Q185-S185)))</x:f>
      </x:c>
      <x:c r="U185" s="25"/>
      <x:c r="V185" s="25"/>
      <x:c r="W185" s="25"/>
      <x:c r="X185" s="25"/>
      <x:c r="Y185" s="25"/>
      <x:c r="Z185" s="25"/>
      <x:c r="AA185" s="39" t="str">
        <x:f>IF(A185="","",U185-SUM(V185,X185:Z185))</x:f>
      </x:c>
      <x:c r="AB185" s="39" t="str">
        <x:f>IF(A185="","",IF(N185="SETUP",IFERROR(INDEX('04_KE_HOACH_CD'!$K$6:$K$305,MATCH(K185,'04_KE_HOACH_CD'!$G$6:$G$305,0)),0),IF(OR(N185="PRODUCTION",N185="REWORK"),IFERROR(INDEX('04_KE_HOACH_CD'!$L$6:$L$305,MATCH(K185,'04_KE_HOACH_CD'!$G$6:$G$305,0))*V185,0),0)))</x:f>
      </x:c>
      <x:c r="AC185" s="39" t="str">
        <x:f>IF(A185="","",MAX(0,(P185-O185)*1440-Q185))</x:f>
      </x:c>
      <x:c r="AD185" s="37" t="str">
        <x:f>IF(A185="","",IFERROR(AB185/AC185,0))</x:f>
      </x:c>
      <x:c r="AE185" s="33" t="str">
        <x:f>IF(A185="","",AC185/60*SUMIF(DM_NHAN_SU!$A$6:$A$105,L185,DM_NHAN_SU!$E$6:$E$105))</x:f>
      </x:c>
      <x:c r="AF185" s="33" t="str">
        <x:f>IF(A185="","",AC185/60*SUMIF(DM_MAY!$A$6:$A$105,M185,DM_MAY!$F$6:$F$105))</x:f>
      </x:c>
      <x:c r="AG185" s="33" t="str">
        <x:f>IF(A185="","",AE185+AF185)</x:f>
      </x:c>
      <x:c r="AH185" s="21"/>
      <x:c r="AI185" s="29" t="str">
        <x:f>IF(A185="","",IF(OR(B185="",D185="",E185="",I185="",L185="",N185="",O185="",P185=""),"Thiếu dữ liệu",IF(AND(OR(N185="PRODUCTION",N185="REWORK",N185="SETUP"),M185=""),"Thiếu máy",IF(P185&lt;O185,"Sai thời gian",IF(AA185&lt;&gt;0,"Sai cân đối SL","Hợp lệ")))))</x:f>
      </x:c>
      <x:c r="AJ185" s="21"/>
    </x:row>
    <x:row r="186">
      <x:c r="A186" s="21"/>
      <x:c r="B186" s="35"/>
      <x:c r="C186" s="21"/>
      <x:c r="D186" s="21"/>
      <x:c r="E186" s="21"/>
      <x:c r="F186" s="21"/>
      <x:c r="G186" s="21"/>
      <x:c r="H186" s="29" t="str">
        <x:f>IF(OR(D186="",E186=""),"",D186&amp;"|"&amp;E186&amp;"|"&amp;IF(F186="","00",F186)&amp;"|"&amp;IF(G186="","01",G186))</x:f>
      </x:c>
      <x:c r="I186" s="21"/>
      <x:c r="J186" s="29" t="str">
        <x:f>IF(K186="","",IFERROR(INDEX('04_KE_HOACH_CD'!$I$6:$I$305,MATCH(K186,'04_KE_HOACH_CD'!$G$6:$G$305,0)),""))</x:f>
      </x:c>
      <x:c r="K186" s="29" t="str">
        <x:f>IF(OR(H186="",I186=""),"",H186&amp;"|"&amp;TEXT(I186,"000"))</x:f>
      </x:c>
      <x:c r="L186" s="21"/>
      <x:c r="M186" s="21"/>
      <x:c r="N186" s="21"/>
      <x:c r="O186" s="43"/>
      <x:c r="P186" s="43"/>
      <x:c r="Q186" s="25"/>
      <x:c r="R186" s="25"/>
      <x:c r="S186" s="39" t="str">
        <x:f>IF(A186="","",SUMIF('07_DUNG_CHO'!$B$6:$B$505,A186,'07_DUNG_CHO'!$E$6:$E$505))</x:f>
      </x:c>
      <x:c r="T186" s="39" t="str">
        <x:f>IF(A186="","",IF(N186="SETUP",0,MAX(0,(P186-O186)*1440-Q186-S186)))</x:f>
      </x:c>
      <x:c r="U186" s="25"/>
      <x:c r="V186" s="25"/>
      <x:c r="W186" s="25"/>
      <x:c r="X186" s="25"/>
      <x:c r="Y186" s="25"/>
      <x:c r="Z186" s="25"/>
      <x:c r="AA186" s="39" t="str">
        <x:f>IF(A186="","",U186-SUM(V186,X186:Z186))</x:f>
      </x:c>
      <x:c r="AB186" s="39" t="str">
        <x:f>IF(A186="","",IF(N186="SETUP",IFERROR(INDEX('04_KE_HOACH_CD'!$K$6:$K$305,MATCH(K186,'04_KE_HOACH_CD'!$G$6:$G$305,0)),0),IF(OR(N186="PRODUCTION",N186="REWORK"),IFERROR(INDEX('04_KE_HOACH_CD'!$L$6:$L$305,MATCH(K186,'04_KE_HOACH_CD'!$G$6:$G$305,0))*V186,0),0)))</x:f>
      </x:c>
      <x:c r="AC186" s="39" t="str">
        <x:f>IF(A186="","",MAX(0,(P186-O186)*1440-Q186))</x:f>
      </x:c>
      <x:c r="AD186" s="37" t="str">
        <x:f>IF(A186="","",IFERROR(AB186/AC186,0))</x:f>
      </x:c>
      <x:c r="AE186" s="33" t="str">
        <x:f>IF(A186="","",AC186/60*SUMIF(DM_NHAN_SU!$A$6:$A$105,L186,DM_NHAN_SU!$E$6:$E$105))</x:f>
      </x:c>
      <x:c r="AF186" s="33" t="str">
        <x:f>IF(A186="","",AC186/60*SUMIF(DM_MAY!$A$6:$A$105,M186,DM_MAY!$F$6:$F$105))</x:f>
      </x:c>
      <x:c r="AG186" s="33" t="str">
        <x:f>IF(A186="","",AE186+AF186)</x:f>
      </x:c>
      <x:c r="AH186" s="21"/>
      <x:c r="AI186" s="29" t="str">
        <x:f>IF(A186="","",IF(OR(B186="",D186="",E186="",I186="",L186="",N186="",O186="",P186=""),"Thiếu dữ liệu",IF(AND(OR(N186="PRODUCTION",N186="REWORK",N186="SETUP"),M186=""),"Thiếu máy",IF(P186&lt;O186,"Sai thời gian",IF(AA186&lt;&gt;0,"Sai cân đối SL","Hợp lệ")))))</x:f>
      </x:c>
      <x:c r="AJ186" s="21"/>
    </x:row>
    <x:row r="187">
      <x:c r="A187" s="21"/>
      <x:c r="B187" s="35"/>
      <x:c r="C187" s="21"/>
      <x:c r="D187" s="21"/>
      <x:c r="E187" s="21"/>
      <x:c r="F187" s="21"/>
      <x:c r="G187" s="21"/>
      <x:c r="H187" s="29" t="str">
        <x:f>IF(OR(D187="",E187=""),"",D187&amp;"|"&amp;E187&amp;"|"&amp;IF(F187="","00",F187)&amp;"|"&amp;IF(G187="","01",G187))</x:f>
      </x:c>
      <x:c r="I187" s="21"/>
      <x:c r="J187" s="29" t="str">
        <x:f>IF(K187="","",IFERROR(INDEX('04_KE_HOACH_CD'!$I$6:$I$305,MATCH(K187,'04_KE_HOACH_CD'!$G$6:$G$305,0)),""))</x:f>
      </x:c>
      <x:c r="K187" s="29" t="str">
        <x:f>IF(OR(H187="",I187=""),"",H187&amp;"|"&amp;TEXT(I187,"000"))</x:f>
      </x:c>
      <x:c r="L187" s="21"/>
      <x:c r="M187" s="21"/>
      <x:c r="N187" s="21"/>
      <x:c r="O187" s="43"/>
      <x:c r="P187" s="43"/>
      <x:c r="Q187" s="25"/>
      <x:c r="R187" s="25"/>
      <x:c r="S187" s="39" t="str">
        <x:f>IF(A187="","",SUMIF('07_DUNG_CHO'!$B$6:$B$505,A187,'07_DUNG_CHO'!$E$6:$E$505))</x:f>
      </x:c>
      <x:c r="T187" s="39" t="str">
        <x:f>IF(A187="","",IF(N187="SETUP",0,MAX(0,(P187-O187)*1440-Q187-S187)))</x:f>
      </x:c>
      <x:c r="U187" s="25"/>
      <x:c r="V187" s="25"/>
      <x:c r="W187" s="25"/>
      <x:c r="X187" s="25"/>
      <x:c r="Y187" s="25"/>
      <x:c r="Z187" s="25"/>
      <x:c r="AA187" s="39" t="str">
        <x:f>IF(A187="","",U187-SUM(V187,X187:Z187))</x:f>
      </x:c>
      <x:c r="AB187" s="39" t="str">
        <x:f>IF(A187="","",IF(N187="SETUP",IFERROR(INDEX('04_KE_HOACH_CD'!$K$6:$K$305,MATCH(K187,'04_KE_HOACH_CD'!$G$6:$G$305,0)),0),IF(OR(N187="PRODUCTION",N187="REWORK"),IFERROR(INDEX('04_KE_HOACH_CD'!$L$6:$L$305,MATCH(K187,'04_KE_HOACH_CD'!$G$6:$G$305,0))*V187,0),0)))</x:f>
      </x:c>
      <x:c r="AC187" s="39" t="str">
        <x:f>IF(A187="","",MAX(0,(P187-O187)*1440-Q187))</x:f>
      </x:c>
      <x:c r="AD187" s="37" t="str">
        <x:f>IF(A187="","",IFERROR(AB187/AC187,0))</x:f>
      </x:c>
      <x:c r="AE187" s="33" t="str">
        <x:f>IF(A187="","",AC187/60*SUMIF(DM_NHAN_SU!$A$6:$A$105,L187,DM_NHAN_SU!$E$6:$E$105))</x:f>
      </x:c>
      <x:c r="AF187" s="33" t="str">
        <x:f>IF(A187="","",AC187/60*SUMIF(DM_MAY!$A$6:$A$105,M187,DM_MAY!$F$6:$F$105))</x:f>
      </x:c>
      <x:c r="AG187" s="33" t="str">
        <x:f>IF(A187="","",AE187+AF187)</x:f>
      </x:c>
      <x:c r="AH187" s="21"/>
      <x:c r="AI187" s="29" t="str">
        <x:f>IF(A187="","",IF(OR(B187="",D187="",E187="",I187="",L187="",N187="",O187="",P187=""),"Thiếu dữ liệu",IF(AND(OR(N187="PRODUCTION",N187="REWORK",N187="SETUP"),M187=""),"Thiếu máy",IF(P187&lt;O187,"Sai thời gian",IF(AA187&lt;&gt;0,"Sai cân đối SL","Hợp lệ")))))</x:f>
      </x:c>
      <x:c r="AJ187" s="21"/>
    </x:row>
    <x:row r="188">
      <x:c r="A188" s="21"/>
      <x:c r="B188" s="35"/>
      <x:c r="C188" s="21"/>
      <x:c r="D188" s="21"/>
      <x:c r="E188" s="21"/>
      <x:c r="F188" s="21"/>
      <x:c r="G188" s="21"/>
      <x:c r="H188" s="29" t="str">
        <x:f>IF(OR(D188="",E188=""),"",D188&amp;"|"&amp;E188&amp;"|"&amp;IF(F188="","00",F188)&amp;"|"&amp;IF(G188="","01",G188))</x:f>
      </x:c>
      <x:c r="I188" s="21"/>
      <x:c r="J188" s="29" t="str">
        <x:f>IF(K188="","",IFERROR(INDEX('04_KE_HOACH_CD'!$I$6:$I$305,MATCH(K188,'04_KE_HOACH_CD'!$G$6:$G$305,0)),""))</x:f>
      </x:c>
      <x:c r="K188" s="29" t="str">
        <x:f>IF(OR(H188="",I188=""),"",H188&amp;"|"&amp;TEXT(I188,"000"))</x:f>
      </x:c>
      <x:c r="L188" s="21"/>
      <x:c r="M188" s="21"/>
      <x:c r="N188" s="21"/>
      <x:c r="O188" s="43"/>
      <x:c r="P188" s="43"/>
      <x:c r="Q188" s="25"/>
      <x:c r="R188" s="25"/>
      <x:c r="S188" s="39" t="str">
        <x:f>IF(A188="","",SUMIF('07_DUNG_CHO'!$B$6:$B$505,A188,'07_DUNG_CHO'!$E$6:$E$505))</x:f>
      </x:c>
      <x:c r="T188" s="39" t="str">
        <x:f>IF(A188="","",IF(N188="SETUP",0,MAX(0,(P188-O188)*1440-Q188-S188)))</x:f>
      </x:c>
      <x:c r="U188" s="25"/>
      <x:c r="V188" s="25"/>
      <x:c r="W188" s="25"/>
      <x:c r="X188" s="25"/>
      <x:c r="Y188" s="25"/>
      <x:c r="Z188" s="25"/>
      <x:c r="AA188" s="39" t="str">
        <x:f>IF(A188="","",U188-SUM(V188,X188:Z188))</x:f>
      </x:c>
      <x:c r="AB188" s="39" t="str">
        <x:f>IF(A188="","",IF(N188="SETUP",IFERROR(INDEX('04_KE_HOACH_CD'!$K$6:$K$305,MATCH(K188,'04_KE_HOACH_CD'!$G$6:$G$305,0)),0),IF(OR(N188="PRODUCTION",N188="REWORK"),IFERROR(INDEX('04_KE_HOACH_CD'!$L$6:$L$305,MATCH(K188,'04_KE_HOACH_CD'!$G$6:$G$305,0))*V188,0),0)))</x:f>
      </x:c>
      <x:c r="AC188" s="39" t="str">
        <x:f>IF(A188="","",MAX(0,(P188-O188)*1440-Q188))</x:f>
      </x:c>
      <x:c r="AD188" s="37" t="str">
        <x:f>IF(A188="","",IFERROR(AB188/AC188,0))</x:f>
      </x:c>
      <x:c r="AE188" s="33" t="str">
        <x:f>IF(A188="","",AC188/60*SUMIF(DM_NHAN_SU!$A$6:$A$105,L188,DM_NHAN_SU!$E$6:$E$105))</x:f>
      </x:c>
      <x:c r="AF188" s="33" t="str">
        <x:f>IF(A188="","",AC188/60*SUMIF(DM_MAY!$A$6:$A$105,M188,DM_MAY!$F$6:$F$105))</x:f>
      </x:c>
      <x:c r="AG188" s="33" t="str">
        <x:f>IF(A188="","",AE188+AF188)</x:f>
      </x:c>
      <x:c r="AH188" s="21"/>
      <x:c r="AI188" s="29" t="str">
        <x:f>IF(A188="","",IF(OR(B188="",D188="",E188="",I188="",L188="",N188="",O188="",P188=""),"Thiếu dữ liệu",IF(AND(OR(N188="PRODUCTION",N188="REWORK",N188="SETUP"),M188=""),"Thiếu máy",IF(P188&lt;O188,"Sai thời gian",IF(AA188&lt;&gt;0,"Sai cân đối SL","Hợp lệ")))))</x:f>
      </x:c>
      <x:c r="AJ188" s="21"/>
    </x:row>
    <x:row r="189">
      <x:c r="A189" s="21"/>
      <x:c r="B189" s="35"/>
      <x:c r="C189" s="21"/>
      <x:c r="D189" s="21"/>
      <x:c r="E189" s="21"/>
      <x:c r="F189" s="21"/>
      <x:c r="G189" s="21"/>
      <x:c r="H189" s="29" t="str">
        <x:f>IF(OR(D189="",E189=""),"",D189&amp;"|"&amp;E189&amp;"|"&amp;IF(F189="","00",F189)&amp;"|"&amp;IF(G189="","01",G189))</x:f>
      </x:c>
      <x:c r="I189" s="21"/>
      <x:c r="J189" s="29" t="str">
        <x:f>IF(K189="","",IFERROR(INDEX('04_KE_HOACH_CD'!$I$6:$I$305,MATCH(K189,'04_KE_HOACH_CD'!$G$6:$G$305,0)),""))</x:f>
      </x:c>
      <x:c r="K189" s="29" t="str">
        <x:f>IF(OR(H189="",I189=""),"",H189&amp;"|"&amp;TEXT(I189,"000"))</x:f>
      </x:c>
      <x:c r="L189" s="21"/>
      <x:c r="M189" s="21"/>
      <x:c r="N189" s="21"/>
      <x:c r="O189" s="43"/>
      <x:c r="P189" s="43"/>
      <x:c r="Q189" s="25"/>
      <x:c r="R189" s="25"/>
      <x:c r="S189" s="39" t="str">
        <x:f>IF(A189="","",SUMIF('07_DUNG_CHO'!$B$6:$B$505,A189,'07_DUNG_CHO'!$E$6:$E$505))</x:f>
      </x:c>
      <x:c r="T189" s="39" t="str">
        <x:f>IF(A189="","",IF(N189="SETUP",0,MAX(0,(P189-O189)*1440-Q189-S189)))</x:f>
      </x:c>
      <x:c r="U189" s="25"/>
      <x:c r="V189" s="25"/>
      <x:c r="W189" s="25"/>
      <x:c r="X189" s="25"/>
      <x:c r="Y189" s="25"/>
      <x:c r="Z189" s="25"/>
      <x:c r="AA189" s="39" t="str">
        <x:f>IF(A189="","",U189-SUM(V189,X189:Z189))</x:f>
      </x:c>
      <x:c r="AB189" s="39" t="str">
        <x:f>IF(A189="","",IF(N189="SETUP",IFERROR(INDEX('04_KE_HOACH_CD'!$K$6:$K$305,MATCH(K189,'04_KE_HOACH_CD'!$G$6:$G$305,0)),0),IF(OR(N189="PRODUCTION",N189="REWORK"),IFERROR(INDEX('04_KE_HOACH_CD'!$L$6:$L$305,MATCH(K189,'04_KE_HOACH_CD'!$G$6:$G$305,0))*V189,0),0)))</x:f>
      </x:c>
      <x:c r="AC189" s="39" t="str">
        <x:f>IF(A189="","",MAX(0,(P189-O189)*1440-Q189))</x:f>
      </x:c>
      <x:c r="AD189" s="37" t="str">
        <x:f>IF(A189="","",IFERROR(AB189/AC189,0))</x:f>
      </x:c>
      <x:c r="AE189" s="33" t="str">
        <x:f>IF(A189="","",AC189/60*SUMIF(DM_NHAN_SU!$A$6:$A$105,L189,DM_NHAN_SU!$E$6:$E$105))</x:f>
      </x:c>
      <x:c r="AF189" s="33" t="str">
        <x:f>IF(A189="","",AC189/60*SUMIF(DM_MAY!$A$6:$A$105,M189,DM_MAY!$F$6:$F$105))</x:f>
      </x:c>
      <x:c r="AG189" s="33" t="str">
        <x:f>IF(A189="","",AE189+AF189)</x:f>
      </x:c>
      <x:c r="AH189" s="21"/>
      <x:c r="AI189" s="29" t="str">
        <x:f>IF(A189="","",IF(OR(B189="",D189="",E189="",I189="",L189="",N189="",O189="",P189=""),"Thiếu dữ liệu",IF(AND(OR(N189="PRODUCTION",N189="REWORK",N189="SETUP"),M189=""),"Thiếu máy",IF(P189&lt;O189,"Sai thời gian",IF(AA189&lt;&gt;0,"Sai cân đối SL","Hợp lệ")))))</x:f>
      </x:c>
      <x:c r="AJ189" s="21"/>
    </x:row>
    <x:row r="190">
      <x:c r="A190" s="21"/>
      <x:c r="B190" s="35"/>
      <x:c r="C190" s="21"/>
      <x:c r="D190" s="21"/>
      <x:c r="E190" s="21"/>
      <x:c r="F190" s="21"/>
      <x:c r="G190" s="21"/>
      <x:c r="H190" s="29" t="str">
        <x:f>IF(OR(D190="",E190=""),"",D190&amp;"|"&amp;E190&amp;"|"&amp;IF(F190="","00",F190)&amp;"|"&amp;IF(G190="","01",G190))</x:f>
      </x:c>
      <x:c r="I190" s="21"/>
      <x:c r="J190" s="29" t="str">
        <x:f>IF(K190="","",IFERROR(INDEX('04_KE_HOACH_CD'!$I$6:$I$305,MATCH(K190,'04_KE_HOACH_CD'!$G$6:$G$305,0)),""))</x:f>
      </x:c>
      <x:c r="K190" s="29" t="str">
        <x:f>IF(OR(H190="",I190=""),"",H190&amp;"|"&amp;TEXT(I190,"000"))</x:f>
      </x:c>
      <x:c r="L190" s="21"/>
      <x:c r="M190" s="21"/>
      <x:c r="N190" s="21"/>
      <x:c r="O190" s="43"/>
      <x:c r="P190" s="43"/>
      <x:c r="Q190" s="25"/>
      <x:c r="R190" s="25"/>
      <x:c r="S190" s="39" t="str">
        <x:f>IF(A190="","",SUMIF('07_DUNG_CHO'!$B$6:$B$505,A190,'07_DUNG_CHO'!$E$6:$E$505))</x:f>
      </x:c>
      <x:c r="T190" s="39" t="str">
        <x:f>IF(A190="","",IF(N190="SETUP",0,MAX(0,(P190-O190)*1440-Q190-S190)))</x:f>
      </x:c>
      <x:c r="U190" s="25"/>
      <x:c r="V190" s="25"/>
      <x:c r="W190" s="25"/>
      <x:c r="X190" s="25"/>
      <x:c r="Y190" s="25"/>
      <x:c r="Z190" s="25"/>
      <x:c r="AA190" s="39" t="str">
        <x:f>IF(A190="","",U190-SUM(V190,X190:Z190))</x:f>
      </x:c>
      <x:c r="AB190" s="39" t="str">
        <x:f>IF(A190="","",IF(N190="SETUP",IFERROR(INDEX('04_KE_HOACH_CD'!$K$6:$K$305,MATCH(K190,'04_KE_HOACH_CD'!$G$6:$G$305,0)),0),IF(OR(N190="PRODUCTION",N190="REWORK"),IFERROR(INDEX('04_KE_HOACH_CD'!$L$6:$L$305,MATCH(K190,'04_KE_HOACH_CD'!$G$6:$G$305,0))*V190,0),0)))</x:f>
      </x:c>
      <x:c r="AC190" s="39" t="str">
        <x:f>IF(A190="","",MAX(0,(P190-O190)*1440-Q190))</x:f>
      </x:c>
      <x:c r="AD190" s="37" t="str">
        <x:f>IF(A190="","",IFERROR(AB190/AC190,0))</x:f>
      </x:c>
      <x:c r="AE190" s="33" t="str">
        <x:f>IF(A190="","",AC190/60*SUMIF(DM_NHAN_SU!$A$6:$A$105,L190,DM_NHAN_SU!$E$6:$E$105))</x:f>
      </x:c>
      <x:c r="AF190" s="33" t="str">
        <x:f>IF(A190="","",AC190/60*SUMIF(DM_MAY!$A$6:$A$105,M190,DM_MAY!$F$6:$F$105))</x:f>
      </x:c>
      <x:c r="AG190" s="33" t="str">
        <x:f>IF(A190="","",AE190+AF190)</x:f>
      </x:c>
      <x:c r="AH190" s="21"/>
      <x:c r="AI190" s="29" t="str">
        <x:f>IF(A190="","",IF(OR(B190="",D190="",E190="",I190="",L190="",N190="",O190="",P190=""),"Thiếu dữ liệu",IF(AND(OR(N190="PRODUCTION",N190="REWORK",N190="SETUP"),M190=""),"Thiếu máy",IF(P190&lt;O190,"Sai thời gian",IF(AA190&lt;&gt;0,"Sai cân đối SL","Hợp lệ")))))</x:f>
      </x:c>
      <x:c r="AJ190" s="21"/>
    </x:row>
    <x:row r="191">
      <x:c r="A191" s="21"/>
      <x:c r="B191" s="35"/>
      <x:c r="C191" s="21"/>
      <x:c r="D191" s="21"/>
      <x:c r="E191" s="21"/>
      <x:c r="F191" s="21"/>
      <x:c r="G191" s="21"/>
      <x:c r="H191" s="29" t="str">
        <x:f>IF(OR(D191="",E191=""),"",D191&amp;"|"&amp;E191&amp;"|"&amp;IF(F191="","00",F191)&amp;"|"&amp;IF(G191="","01",G191))</x:f>
      </x:c>
      <x:c r="I191" s="21"/>
      <x:c r="J191" s="29" t="str">
        <x:f>IF(K191="","",IFERROR(INDEX('04_KE_HOACH_CD'!$I$6:$I$305,MATCH(K191,'04_KE_HOACH_CD'!$G$6:$G$305,0)),""))</x:f>
      </x:c>
      <x:c r="K191" s="29" t="str">
        <x:f>IF(OR(H191="",I191=""),"",H191&amp;"|"&amp;TEXT(I191,"000"))</x:f>
      </x:c>
      <x:c r="L191" s="21"/>
      <x:c r="M191" s="21"/>
      <x:c r="N191" s="21"/>
      <x:c r="O191" s="43"/>
      <x:c r="P191" s="43"/>
      <x:c r="Q191" s="25"/>
      <x:c r="R191" s="25"/>
      <x:c r="S191" s="39" t="str">
        <x:f>IF(A191="","",SUMIF('07_DUNG_CHO'!$B$6:$B$505,A191,'07_DUNG_CHO'!$E$6:$E$505))</x:f>
      </x:c>
      <x:c r="T191" s="39" t="str">
        <x:f>IF(A191="","",IF(N191="SETUP",0,MAX(0,(P191-O191)*1440-Q191-S191)))</x:f>
      </x:c>
      <x:c r="U191" s="25"/>
      <x:c r="V191" s="25"/>
      <x:c r="W191" s="25"/>
      <x:c r="X191" s="25"/>
      <x:c r="Y191" s="25"/>
      <x:c r="Z191" s="25"/>
      <x:c r="AA191" s="39" t="str">
        <x:f>IF(A191="","",U191-SUM(V191,X191:Z191))</x:f>
      </x:c>
      <x:c r="AB191" s="39" t="str">
        <x:f>IF(A191="","",IF(N191="SETUP",IFERROR(INDEX('04_KE_HOACH_CD'!$K$6:$K$305,MATCH(K191,'04_KE_HOACH_CD'!$G$6:$G$305,0)),0),IF(OR(N191="PRODUCTION",N191="REWORK"),IFERROR(INDEX('04_KE_HOACH_CD'!$L$6:$L$305,MATCH(K191,'04_KE_HOACH_CD'!$G$6:$G$305,0))*V191,0),0)))</x:f>
      </x:c>
      <x:c r="AC191" s="39" t="str">
        <x:f>IF(A191="","",MAX(0,(P191-O191)*1440-Q191))</x:f>
      </x:c>
      <x:c r="AD191" s="37" t="str">
        <x:f>IF(A191="","",IFERROR(AB191/AC191,0))</x:f>
      </x:c>
      <x:c r="AE191" s="33" t="str">
        <x:f>IF(A191="","",AC191/60*SUMIF(DM_NHAN_SU!$A$6:$A$105,L191,DM_NHAN_SU!$E$6:$E$105))</x:f>
      </x:c>
      <x:c r="AF191" s="33" t="str">
        <x:f>IF(A191="","",AC191/60*SUMIF(DM_MAY!$A$6:$A$105,M191,DM_MAY!$F$6:$F$105))</x:f>
      </x:c>
      <x:c r="AG191" s="33" t="str">
        <x:f>IF(A191="","",AE191+AF191)</x:f>
      </x:c>
      <x:c r="AH191" s="21"/>
      <x:c r="AI191" s="29" t="str">
        <x:f>IF(A191="","",IF(OR(B191="",D191="",E191="",I191="",L191="",N191="",O191="",P191=""),"Thiếu dữ liệu",IF(AND(OR(N191="PRODUCTION",N191="REWORK",N191="SETUP"),M191=""),"Thiếu máy",IF(P191&lt;O191,"Sai thời gian",IF(AA191&lt;&gt;0,"Sai cân đối SL","Hợp lệ")))))</x:f>
      </x:c>
      <x:c r="AJ191" s="21"/>
    </x:row>
    <x:row r="192">
      <x:c r="A192" s="21"/>
      <x:c r="B192" s="35"/>
      <x:c r="C192" s="21"/>
      <x:c r="D192" s="21"/>
      <x:c r="E192" s="21"/>
      <x:c r="F192" s="21"/>
      <x:c r="G192" s="21"/>
      <x:c r="H192" s="29" t="str">
        <x:f>IF(OR(D192="",E192=""),"",D192&amp;"|"&amp;E192&amp;"|"&amp;IF(F192="","00",F192)&amp;"|"&amp;IF(G192="","01",G192))</x:f>
      </x:c>
      <x:c r="I192" s="21"/>
      <x:c r="J192" s="29" t="str">
        <x:f>IF(K192="","",IFERROR(INDEX('04_KE_HOACH_CD'!$I$6:$I$305,MATCH(K192,'04_KE_HOACH_CD'!$G$6:$G$305,0)),""))</x:f>
      </x:c>
      <x:c r="K192" s="29" t="str">
        <x:f>IF(OR(H192="",I192=""),"",H192&amp;"|"&amp;TEXT(I192,"000"))</x:f>
      </x:c>
      <x:c r="L192" s="21"/>
      <x:c r="M192" s="21"/>
      <x:c r="N192" s="21"/>
      <x:c r="O192" s="43"/>
      <x:c r="P192" s="43"/>
      <x:c r="Q192" s="25"/>
      <x:c r="R192" s="25"/>
      <x:c r="S192" s="39" t="str">
        <x:f>IF(A192="","",SUMIF('07_DUNG_CHO'!$B$6:$B$505,A192,'07_DUNG_CHO'!$E$6:$E$505))</x:f>
      </x:c>
      <x:c r="T192" s="39" t="str">
        <x:f>IF(A192="","",IF(N192="SETUP",0,MAX(0,(P192-O192)*1440-Q192-S192)))</x:f>
      </x:c>
      <x:c r="U192" s="25"/>
      <x:c r="V192" s="25"/>
      <x:c r="W192" s="25"/>
      <x:c r="X192" s="25"/>
      <x:c r="Y192" s="25"/>
      <x:c r="Z192" s="25"/>
      <x:c r="AA192" s="39" t="str">
        <x:f>IF(A192="","",U192-SUM(V192,X192:Z192))</x:f>
      </x:c>
      <x:c r="AB192" s="39" t="str">
        <x:f>IF(A192="","",IF(N192="SETUP",IFERROR(INDEX('04_KE_HOACH_CD'!$K$6:$K$305,MATCH(K192,'04_KE_HOACH_CD'!$G$6:$G$305,0)),0),IF(OR(N192="PRODUCTION",N192="REWORK"),IFERROR(INDEX('04_KE_HOACH_CD'!$L$6:$L$305,MATCH(K192,'04_KE_HOACH_CD'!$G$6:$G$305,0))*V192,0),0)))</x:f>
      </x:c>
      <x:c r="AC192" s="39" t="str">
        <x:f>IF(A192="","",MAX(0,(P192-O192)*1440-Q192))</x:f>
      </x:c>
      <x:c r="AD192" s="37" t="str">
        <x:f>IF(A192="","",IFERROR(AB192/AC192,0))</x:f>
      </x:c>
      <x:c r="AE192" s="33" t="str">
        <x:f>IF(A192="","",AC192/60*SUMIF(DM_NHAN_SU!$A$6:$A$105,L192,DM_NHAN_SU!$E$6:$E$105))</x:f>
      </x:c>
      <x:c r="AF192" s="33" t="str">
        <x:f>IF(A192="","",AC192/60*SUMIF(DM_MAY!$A$6:$A$105,M192,DM_MAY!$F$6:$F$105))</x:f>
      </x:c>
      <x:c r="AG192" s="33" t="str">
        <x:f>IF(A192="","",AE192+AF192)</x:f>
      </x:c>
      <x:c r="AH192" s="21"/>
      <x:c r="AI192" s="29" t="str">
        <x:f>IF(A192="","",IF(OR(B192="",D192="",E192="",I192="",L192="",N192="",O192="",P192=""),"Thiếu dữ liệu",IF(AND(OR(N192="PRODUCTION",N192="REWORK",N192="SETUP"),M192=""),"Thiếu máy",IF(P192&lt;O192,"Sai thời gian",IF(AA192&lt;&gt;0,"Sai cân đối SL","Hợp lệ")))))</x:f>
      </x:c>
      <x:c r="AJ192" s="21"/>
    </x:row>
    <x:row r="193">
      <x:c r="A193" s="21"/>
      <x:c r="B193" s="35"/>
      <x:c r="C193" s="21"/>
      <x:c r="D193" s="21"/>
      <x:c r="E193" s="21"/>
      <x:c r="F193" s="21"/>
      <x:c r="G193" s="21"/>
      <x:c r="H193" s="29" t="str">
        <x:f>IF(OR(D193="",E193=""),"",D193&amp;"|"&amp;E193&amp;"|"&amp;IF(F193="","00",F193)&amp;"|"&amp;IF(G193="","01",G193))</x:f>
      </x:c>
      <x:c r="I193" s="21"/>
      <x:c r="J193" s="29" t="str">
        <x:f>IF(K193="","",IFERROR(INDEX('04_KE_HOACH_CD'!$I$6:$I$305,MATCH(K193,'04_KE_HOACH_CD'!$G$6:$G$305,0)),""))</x:f>
      </x:c>
      <x:c r="K193" s="29" t="str">
        <x:f>IF(OR(H193="",I193=""),"",H193&amp;"|"&amp;TEXT(I193,"000"))</x:f>
      </x:c>
      <x:c r="L193" s="21"/>
      <x:c r="M193" s="21"/>
      <x:c r="N193" s="21"/>
      <x:c r="O193" s="43"/>
      <x:c r="P193" s="43"/>
      <x:c r="Q193" s="25"/>
      <x:c r="R193" s="25"/>
      <x:c r="S193" s="39" t="str">
        <x:f>IF(A193="","",SUMIF('07_DUNG_CHO'!$B$6:$B$505,A193,'07_DUNG_CHO'!$E$6:$E$505))</x:f>
      </x:c>
      <x:c r="T193" s="39" t="str">
        <x:f>IF(A193="","",IF(N193="SETUP",0,MAX(0,(P193-O193)*1440-Q193-S193)))</x:f>
      </x:c>
      <x:c r="U193" s="25"/>
      <x:c r="V193" s="25"/>
      <x:c r="W193" s="25"/>
      <x:c r="X193" s="25"/>
      <x:c r="Y193" s="25"/>
      <x:c r="Z193" s="25"/>
      <x:c r="AA193" s="39" t="str">
        <x:f>IF(A193="","",U193-SUM(V193,X193:Z193))</x:f>
      </x:c>
      <x:c r="AB193" s="39" t="str">
        <x:f>IF(A193="","",IF(N193="SETUP",IFERROR(INDEX('04_KE_HOACH_CD'!$K$6:$K$305,MATCH(K193,'04_KE_HOACH_CD'!$G$6:$G$305,0)),0),IF(OR(N193="PRODUCTION",N193="REWORK"),IFERROR(INDEX('04_KE_HOACH_CD'!$L$6:$L$305,MATCH(K193,'04_KE_HOACH_CD'!$G$6:$G$305,0))*V193,0),0)))</x:f>
      </x:c>
      <x:c r="AC193" s="39" t="str">
        <x:f>IF(A193="","",MAX(0,(P193-O193)*1440-Q193))</x:f>
      </x:c>
      <x:c r="AD193" s="37" t="str">
        <x:f>IF(A193="","",IFERROR(AB193/AC193,0))</x:f>
      </x:c>
      <x:c r="AE193" s="33" t="str">
        <x:f>IF(A193="","",AC193/60*SUMIF(DM_NHAN_SU!$A$6:$A$105,L193,DM_NHAN_SU!$E$6:$E$105))</x:f>
      </x:c>
      <x:c r="AF193" s="33" t="str">
        <x:f>IF(A193="","",AC193/60*SUMIF(DM_MAY!$A$6:$A$105,M193,DM_MAY!$F$6:$F$105))</x:f>
      </x:c>
      <x:c r="AG193" s="33" t="str">
        <x:f>IF(A193="","",AE193+AF193)</x:f>
      </x:c>
      <x:c r="AH193" s="21"/>
      <x:c r="AI193" s="29" t="str">
        <x:f>IF(A193="","",IF(OR(B193="",D193="",E193="",I193="",L193="",N193="",O193="",P193=""),"Thiếu dữ liệu",IF(AND(OR(N193="PRODUCTION",N193="REWORK",N193="SETUP"),M193=""),"Thiếu máy",IF(P193&lt;O193,"Sai thời gian",IF(AA193&lt;&gt;0,"Sai cân đối SL","Hợp lệ")))))</x:f>
      </x:c>
      <x:c r="AJ193" s="21"/>
    </x:row>
    <x:row r="194">
      <x:c r="A194" s="21"/>
      <x:c r="B194" s="35"/>
      <x:c r="C194" s="21"/>
      <x:c r="D194" s="21"/>
      <x:c r="E194" s="21"/>
      <x:c r="F194" s="21"/>
      <x:c r="G194" s="21"/>
      <x:c r="H194" s="29" t="str">
        <x:f>IF(OR(D194="",E194=""),"",D194&amp;"|"&amp;E194&amp;"|"&amp;IF(F194="","00",F194)&amp;"|"&amp;IF(G194="","01",G194))</x:f>
      </x:c>
      <x:c r="I194" s="21"/>
      <x:c r="J194" s="29" t="str">
        <x:f>IF(K194="","",IFERROR(INDEX('04_KE_HOACH_CD'!$I$6:$I$305,MATCH(K194,'04_KE_HOACH_CD'!$G$6:$G$305,0)),""))</x:f>
      </x:c>
      <x:c r="K194" s="29" t="str">
        <x:f>IF(OR(H194="",I194=""),"",H194&amp;"|"&amp;TEXT(I194,"000"))</x:f>
      </x:c>
      <x:c r="L194" s="21"/>
      <x:c r="M194" s="21"/>
      <x:c r="N194" s="21"/>
      <x:c r="O194" s="43"/>
      <x:c r="P194" s="43"/>
      <x:c r="Q194" s="25"/>
      <x:c r="R194" s="25"/>
      <x:c r="S194" s="39" t="str">
        <x:f>IF(A194="","",SUMIF('07_DUNG_CHO'!$B$6:$B$505,A194,'07_DUNG_CHO'!$E$6:$E$505))</x:f>
      </x:c>
      <x:c r="T194" s="39" t="str">
        <x:f>IF(A194="","",IF(N194="SETUP",0,MAX(0,(P194-O194)*1440-Q194-S194)))</x:f>
      </x:c>
      <x:c r="U194" s="25"/>
      <x:c r="V194" s="25"/>
      <x:c r="W194" s="25"/>
      <x:c r="X194" s="25"/>
      <x:c r="Y194" s="25"/>
      <x:c r="Z194" s="25"/>
      <x:c r="AA194" s="39" t="str">
        <x:f>IF(A194="","",U194-SUM(V194,X194:Z194))</x:f>
      </x:c>
      <x:c r="AB194" s="39" t="str">
        <x:f>IF(A194="","",IF(N194="SETUP",IFERROR(INDEX('04_KE_HOACH_CD'!$K$6:$K$305,MATCH(K194,'04_KE_HOACH_CD'!$G$6:$G$305,0)),0),IF(OR(N194="PRODUCTION",N194="REWORK"),IFERROR(INDEX('04_KE_HOACH_CD'!$L$6:$L$305,MATCH(K194,'04_KE_HOACH_CD'!$G$6:$G$305,0))*V194,0),0)))</x:f>
      </x:c>
      <x:c r="AC194" s="39" t="str">
        <x:f>IF(A194="","",MAX(0,(P194-O194)*1440-Q194))</x:f>
      </x:c>
      <x:c r="AD194" s="37" t="str">
        <x:f>IF(A194="","",IFERROR(AB194/AC194,0))</x:f>
      </x:c>
      <x:c r="AE194" s="33" t="str">
        <x:f>IF(A194="","",AC194/60*SUMIF(DM_NHAN_SU!$A$6:$A$105,L194,DM_NHAN_SU!$E$6:$E$105))</x:f>
      </x:c>
      <x:c r="AF194" s="33" t="str">
        <x:f>IF(A194="","",AC194/60*SUMIF(DM_MAY!$A$6:$A$105,M194,DM_MAY!$F$6:$F$105))</x:f>
      </x:c>
      <x:c r="AG194" s="33" t="str">
        <x:f>IF(A194="","",AE194+AF194)</x:f>
      </x:c>
      <x:c r="AH194" s="21"/>
      <x:c r="AI194" s="29" t="str">
        <x:f>IF(A194="","",IF(OR(B194="",D194="",E194="",I194="",L194="",N194="",O194="",P194=""),"Thiếu dữ liệu",IF(AND(OR(N194="PRODUCTION",N194="REWORK",N194="SETUP"),M194=""),"Thiếu máy",IF(P194&lt;O194,"Sai thời gian",IF(AA194&lt;&gt;0,"Sai cân đối SL","Hợp lệ")))))</x:f>
      </x:c>
      <x:c r="AJ194" s="21"/>
    </x:row>
    <x:row r="195">
      <x:c r="A195" s="21"/>
      <x:c r="B195" s="35"/>
      <x:c r="C195" s="21"/>
      <x:c r="D195" s="21"/>
      <x:c r="E195" s="21"/>
      <x:c r="F195" s="21"/>
      <x:c r="G195" s="21"/>
      <x:c r="H195" s="29" t="str">
        <x:f>IF(OR(D195="",E195=""),"",D195&amp;"|"&amp;E195&amp;"|"&amp;IF(F195="","00",F195)&amp;"|"&amp;IF(G195="","01",G195))</x:f>
      </x:c>
      <x:c r="I195" s="21"/>
      <x:c r="J195" s="29" t="str">
        <x:f>IF(K195="","",IFERROR(INDEX('04_KE_HOACH_CD'!$I$6:$I$305,MATCH(K195,'04_KE_HOACH_CD'!$G$6:$G$305,0)),""))</x:f>
      </x:c>
      <x:c r="K195" s="29" t="str">
        <x:f>IF(OR(H195="",I195=""),"",H195&amp;"|"&amp;TEXT(I195,"000"))</x:f>
      </x:c>
      <x:c r="L195" s="21"/>
      <x:c r="M195" s="21"/>
      <x:c r="N195" s="21"/>
      <x:c r="O195" s="43"/>
      <x:c r="P195" s="43"/>
      <x:c r="Q195" s="25"/>
      <x:c r="R195" s="25"/>
      <x:c r="S195" s="39" t="str">
        <x:f>IF(A195="","",SUMIF('07_DUNG_CHO'!$B$6:$B$505,A195,'07_DUNG_CHO'!$E$6:$E$505))</x:f>
      </x:c>
      <x:c r="T195" s="39" t="str">
        <x:f>IF(A195="","",IF(N195="SETUP",0,MAX(0,(P195-O195)*1440-Q195-S195)))</x:f>
      </x:c>
      <x:c r="U195" s="25"/>
      <x:c r="V195" s="25"/>
      <x:c r="W195" s="25"/>
      <x:c r="X195" s="25"/>
      <x:c r="Y195" s="25"/>
      <x:c r="Z195" s="25"/>
      <x:c r="AA195" s="39" t="str">
        <x:f>IF(A195="","",U195-SUM(V195,X195:Z195))</x:f>
      </x:c>
      <x:c r="AB195" s="39" t="str">
        <x:f>IF(A195="","",IF(N195="SETUP",IFERROR(INDEX('04_KE_HOACH_CD'!$K$6:$K$305,MATCH(K195,'04_KE_HOACH_CD'!$G$6:$G$305,0)),0),IF(OR(N195="PRODUCTION",N195="REWORK"),IFERROR(INDEX('04_KE_HOACH_CD'!$L$6:$L$305,MATCH(K195,'04_KE_HOACH_CD'!$G$6:$G$305,0))*V195,0),0)))</x:f>
      </x:c>
      <x:c r="AC195" s="39" t="str">
        <x:f>IF(A195="","",MAX(0,(P195-O195)*1440-Q195))</x:f>
      </x:c>
      <x:c r="AD195" s="37" t="str">
        <x:f>IF(A195="","",IFERROR(AB195/AC195,0))</x:f>
      </x:c>
      <x:c r="AE195" s="33" t="str">
        <x:f>IF(A195="","",AC195/60*SUMIF(DM_NHAN_SU!$A$6:$A$105,L195,DM_NHAN_SU!$E$6:$E$105))</x:f>
      </x:c>
      <x:c r="AF195" s="33" t="str">
        <x:f>IF(A195="","",AC195/60*SUMIF(DM_MAY!$A$6:$A$105,M195,DM_MAY!$F$6:$F$105))</x:f>
      </x:c>
      <x:c r="AG195" s="33" t="str">
        <x:f>IF(A195="","",AE195+AF195)</x:f>
      </x:c>
      <x:c r="AH195" s="21"/>
      <x:c r="AI195" s="29" t="str">
        <x:f>IF(A195="","",IF(OR(B195="",D195="",E195="",I195="",L195="",N195="",O195="",P195=""),"Thiếu dữ liệu",IF(AND(OR(N195="PRODUCTION",N195="REWORK",N195="SETUP"),M195=""),"Thiếu máy",IF(P195&lt;O195,"Sai thời gian",IF(AA195&lt;&gt;0,"Sai cân đối SL","Hợp lệ")))))</x:f>
      </x:c>
      <x:c r="AJ195" s="21"/>
    </x:row>
    <x:row r="196">
      <x:c r="A196" s="21"/>
      <x:c r="B196" s="35"/>
      <x:c r="C196" s="21"/>
      <x:c r="D196" s="21"/>
      <x:c r="E196" s="21"/>
      <x:c r="F196" s="21"/>
      <x:c r="G196" s="21"/>
      <x:c r="H196" s="29" t="str">
        <x:f>IF(OR(D196="",E196=""),"",D196&amp;"|"&amp;E196&amp;"|"&amp;IF(F196="","00",F196)&amp;"|"&amp;IF(G196="","01",G196))</x:f>
      </x:c>
      <x:c r="I196" s="21"/>
      <x:c r="J196" s="29" t="str">
        <x:f>IF(K196="","",IFERROR(INDEX('04_KE_HOACH_CD'!$I$6:$I$305,MATCH(K196,'04_KE_HOACH_CD'!$G$6:$G$305,0)),""))</x:f>
      </x:c>
      <x:c r="K196" s="29" t="str">
        <x:f>IF(OR(H196="",I196=""),"",H196&amp;"|"&amp;TEXT(I196,"000"))</x:f>
      </x:c>
      <x:c r="L196" s="21"/>
      <x:c r="M196" s="21"/>
      <x:c r="N196" s="21"/>
      <x:c r="O196" s="43"/>
      <x:c r="P196" s="43"/>
      <x:c r="Q196" s="25"/>
      <x:c r="R196" s="25"/>
      <x:c r="S196" s="39" t="str">
        <x:f>IF(A196="","",SUMIF('07_DUNG_CHO'!$B$6:$B$505,A196,'07_DUNG_CHO'!$E$6:$E$505))</x:f>
      </x:c>
      <x:c r="T196" s="39" t="str">
        <x:f>IF(A196="","",IF(N196="SETUP",0,MAX(0,(P196-O196)*1440-Q196-S196)))</x:f>
      </x:c>
      <x:c r="U196" s="25"/>
      <x:c r="V196" s="25"/>
      <x:c r="W196" s="25"/>
      <x:c r="X196" s="25"/>
      <x:c r="Y196" s="25"/>
      <x:c r="Z196" s="25"/>
      <x:c r="AA196" s="39" t="str">
        <x:f>IF(A196="","",U196-SUM(V196,X196:Z196))</x:f>
      </x:c>
      <x:c r="AB196" s="39" t="str">
        <x:f>IF(A196="","",IF(N196="SETUP",IFERROR(INDEX('04_KE_HOACH_CD'!$K$6:$K$305,MATCH(K196,'04_KE_HOACH_CD'!$G$6:$G$305,0)),0),IF(OR(N196="PRODUCTION",N196="REWORK"),IFERROR(INDEX('04_KE_HOACH_CD'!$L$6:$L$305,MATCH(K196,'04_KE_HOACH_CD'!$G$6:$G$305,0))*V196,0),0)))</x:f>
      </x:c>
      <x:c r="AC196" s="39" t="str">
        <x:f>IF(A196="","",MAX(0,(P196-O196)*1440-Q196))</x:f>
      </x:c>
      <x:c r="AD196" s="37" t="str">
        <x:f>IF(A196="","",IFERROR(AB196/AC196,0))</x:f>
      </x:c>
      <x:c r="AE196" s="33" t="str">
        <x:f>IF(A196="","",AC196/60*SUMIF(DM_NHAN_SU!$A$6:$A$105,L196,DM_NHAN_SU!$E$6:$E$105))</x:f>
      </x:c>
      <x:c r="AF196" s="33" t="str">
        <x:f>IF(A196="","",AC196/60*SUMIF(DM_MAY!$A$6:$A$105,M196,DM_MAY!$F$6:$F$105))</x:f>
      </x:c>
      <x:c r="AG196" s="33" t="str">
        <x:f>IF(A196="","",AE196+AF196)</x:f>
      </x:c>
      <x:c r="AH196" s="21"/>
      <x:c r="AI196" s="29" t="str">
        <x:f>IF(A196="","",IF(OR(B196="",D196="",E196="",I196="",L196="",N196="",O196="",P196=""),"Thiếu dữ liệu",IF(AND(OR(N196="PRODUCTION",N196="REWORK",N196="SETUP"),M196=""),"Thiếu máy",IF(P196&lt;O196,"Sai thời gian",IF(AA196&lt;&gt;0,"Sai cân đối SL","Hợp lệ")))))</x:f>
      </x:c>
      <x:c r="AJ196" s="21"/>
    </x:row>
    <x:row r="197">
      <x:c r="A197" s="21"/>
      <x:c r="B197" s="35"/>
      <x:c r="C197" s="21"/>
      <x:c r="D197" s="21"/>
      <x:c r="E197" s="21"/>
      <x:c r="F197" s="21"/>
      <x:c r="G197" s="21"/>
      <x:c r="H197" s="29" t="str">
        <x:f>IF(OR(D197="",E197=""),"",D197&amp;"|"&amp;E197&amp;"|"&amp;IF(F197="","00",F197)&amp;"|"&amp;IF(G197="","01",G197))</x:f>
      </x:c>
      <x:c r="I197" s="21"/>
      <x:c r="J197" s="29" t="str">
        <x:f>IF(K197="","",IFERROR(INDEX('04_KE_HOACH_CD'!$I$6:$I$305,MATCH(K197,'04_KE_HOACH_CD'!$G$6:$G$305,0)),""))</x:f>
      </x:c>
      <x:c r="K197" s="29" t="str">
        <x:f>IF(OR(H197="",I197=""),"",H197&amp;"|"&amp;TEXT(I197,"000"))</x:f>
      </x:c>
      <x:c r="L197" s="21"/>
      <x:c r="M197" s="21"/>
      <x:c r="N197" s="21"/>
      <x:c r="O197" s="43"/>
      <x:c r="P197" s="43"/>
      <x:c r="Q197" s="25"/>
      <x:c r="R197" s="25"/>
      <x:c r="S197" s="39" t="str">
        <x:f>IF(A197="","",SUMIF('07_DUNG_CHO'!$B$6:$B$505,A197,'07_DUNG_CHO'!$E$6:$E$505))</x:f>
      </x:c>
      <x:c r="T197" s="39" t="str">
        <x:f>IF(A197="","",IF(N197="SETUP",0,MAX(0,(P197-O197)*1440-Q197-S197)))</x:f>
      </x:c>
      <x:c r="U197" s="25"/>
      <x:c r="V197" s="25"/>
      <x:c r="W197" s="25"/>
      <x:c r="X197" s="25"/>
      <x:c r="Y197" s="25"/>
      <x:c r="Z197" s="25"/>
      <x:c r="AA197" s="39" t="str">
        <x:f>IF(A197="","",U197-SUM(V197,X197:Z197))</x:f>
      </x:c>
      <x:c r="AB197" s="39" t="str">
        <x:f>IF(A197="","",IF(N197="SETUP",IFERROR(INDEX('04_KE_HOACH_CD'!$K$6:$K$305,MATCH(K197,'04_KE_HOACH_CD'!$G$6:$G$305,0)),0),IF(OR(N197="PRODUCTION",N197="REWORK"),IFERROR(INDEX('04_KE_HOACH_CD'!$L$6:$L$305,MATCH(K197,'04_KE_HOACH_CD'!$G$6:$G$305,0))*V197,0),0)))</x:f>
      </x:c>
      <x:c r="AC197" s="39" t="str">
        <x:f>IF(A197="","",MAX(0,(P197-O197)*1440-Q197))</x:f>
      </x:c>
      <x:c r="AD197" s="37" t="str">
        <x:f>IF(A197="","",IFERROR(AB197/AC197,0))</x:f>
      </x:c>
      <x:c r="AE197" s="33" t="str">
        <x:f>IF(A197="","",AC197/60*SUMIF(DM_NHAN_SU!$A$6:$A$105,L197,DM_NHAN_SU!$E$6:$E$105))</x:f>
      </x:c>
      <x:c r="AF197" s="33" t="str">
        <x:f>IF(A197="","",AC197/60*SUMIF(DM_MAY!$A$6:$A$105,M197,DM_MAY!$F$6:$F$105))</x:f>
      </x:c>
      <x:c r="AG197" s="33" t="str">
        <x:f>IF(A197="","",AE197+AF197)</x:f>
      </x:c>
      <x:c r="AH197" s="21"/>
      <x:c r="AI197" s="29" t="str">
        <x:f>IF(A197="","",IF(OR(B197="",D197="",E197="",I197="",L197="",N197="",O197="",P197=""),"Thiếu dữ liệu",IF(AND(OR(N197="PRODUCTION",N197="REWORK",N197="SETUP"),M197=""),"Thiếu máy",IF(P197&lt;O197,"Sai thời gian",IF(AA197&lt;&gt;0,"Sai cân đối SL","Hợp lệ")))))</x:f>
      </x:c>
      <x:c r="AJ197" s="21"/>
    </x:row>
    <x:row r="198">
      <x:c r="A198" s="21"/>
      <x:c r="B198" s="35"/>
      <x:c r="C198" s="21"/>
      <x:c r="D198" s="21"/>
      <x:c r="E198" s="21"/>
      <x:c r="F198" s="21"/>
      <x:c r="G198" s="21"/>
      <x:c r="H198" s="29" t="str">
        <x:f>IF(OR(D198="",E198=""),"",D198&amp;"|"&amp;E198&amp;"|"&amp;IF(F198="","00",F198)&amp;"|"&amp;IF(G198="","01",G198))</x:f>
      </x:c>
      <x:c r="I198" s="21"/>
      <x:c r="J198" s="29" t="str">
        <x:f>IF(K198="","",IFERROR(INDEX('04_KE_HOACH_CD'!$I$6:$I$305,MATCH(K198,'04_KE_HOACH_CD'!$G$6:$G$305,0)),""))</x:f>
      </x:c>
      <x:c r="K198" s="29" t="str">
        <x:f>IF(OR(H198="",I198=""),"",H198&amp;"|"&amp;TEXT(I198,"000"))</x:f>
      </x:c>
      <x:c r="L198" s="21"/>
      <x:c r="M198" s="21"/>
      <x:c r="N198" s="21"/>
      <x:c r="O198" s="43"/>
      <x:c r="P198" s="43"/>
      <x:c r="Q198" s="25"/>
      <x:c r="R198" s="25"/>
      <x:c r="S198" s="39" t="str">
        <x:f>IF(A198="","",SUMIF('07_DUNG_CHO'!$B$6:$B$505,A198,'07_DUNG_CHO'!$E$6:$E$505))</x:f>
      </x:c>
      <x:c r="T198" s="39" t="str">
        <x:f>IF(A198="","",IF(N198="SETUP",0,MAX(0,(P198-O198)*1440-Q198-S198)))</x:f>
      </x:c>
      <x:c r="U198" s="25"/>
      <x:c r="V198" s="25"/>
      <x:c r="W198" s="25"/>
      <x:c r="X198" s="25"/>
      <x:c r="Y198" s="25"/>
      <x:c r="Z198" s="25"/>
      <x:c r="AA198" s="39" t="str">
        <x:f>IF(A198="","",U198-SUM(V198,X198:Z198))</x:f>
      </x:c>
      <x:c r="AB198" s="39" t="str">
        <x:f>IF(A198="","",IF(N198="SETUP",IFERROR(INDEX('04_KE_HOACH_CD'!$K$6:$K$305,MATCH(K198,'04_KE_HOACH_CD'!$G$6:$G$305,0)),0),IF(OR(N198="PRODUCTION",N198="REWORK"),IFERROR(INDEX('04_KE_HOACH_CD'!$L$6:$L$305,MATCH(K198,'04_KE_HOACH_CD'!$G$6:$G$305,0))*V198,0),0)))</x:f>
      </x:c>
      <x:c r="AC198" s="39" t="str">
        <x:f>IF(A198="","",MAX(0,(P198-O198)*1440-Q198))</x:f>
      </x:c>
      <x:c r="AD198" s="37" t="str">
        <x:f>IF(A198="","",IFERROR(AB198/AC198,0))</x:f>
      </x:c>
      <x:c r="AE198" s="33" t="str">
        <x:f>IF(A198="","",AC198/60*SUMIF(DM_NHAN_SU!$A$6:$A$105,L198,DM_NHAN_SU!$E$6:$E$105))</x:f>
      </x:c>
      <x:c r="AF198" s="33" t="str">
        <x:f>IF(A198="","",AC198/60*SUMIF(DM_MAY!$A$6:$A$105,M198,DM_MAY!$F$6:$F$105))</x:f>
      </x:c>
      <x:c r="AG198" s="33" t="str">
        <x:f>IF(A198="","",AE198+AF198)</x:f>
      </x:c>
      <x:c r="AH198" s="21"/>
      <x:c r="AI198" s="29" t="str">
        <x:f>IF(A198="","",IF(OR(B198="",D198="",E198="",I198="",L198="",N198="",O198="",P198=""),"Thiếu dữ liệu",IF(AND(OR(N198="PRODUCTION",N198="REWORK",N198="SETUP"),M198=""),"Thiếu máy",IF(P198&lt;O198,"Sai thời gian",IF(AA198&lt;&gt;0,"Sai cân đối SL","Hợp lệ")))))</x:f>
      </x:c>
      <x:c r="AJ198" s="21"/>
    </x:row>
    <x:row r="199">
      <x:c r="A199" s="21"/>
      <x:c r="B199" s="35"/>
      <x:c r="C199" s="21"/>
      <x:c r="D199" s="21"/>
      <x:c r="E199" s="21"/>
      <x:c r="F199" s="21"/>
      <x:c r="G199" s="21"/>
      <x:c r="H199" s="29" t="str">
        <x:f>IF(OR(D199="",E199=""),"",D199&amp;"|"&amp;E199&amp;"|"&amp;IF(F199="","00",F199)&amp;"|"&amp;IF(G199="","01",G199))</x:f>
      </x:c>
      <x:c r="I199" s="21"/>
      <x:c r="J199" s="29" t="str">
        <x:f>IF(K199="","",IFERROR(INDEX('04_KE_HOACH_CD'!$I$6:$I$305,MATCH(K199,'04_KE_HOACH_CD'!$G$6:$G$305,0)),""))</x:f>
      </x:c>
      <x:c r="K199" s="29" t="str">
        <x:f>IF(OR(H199="",I199=""),"",H199&amp;"|"&amp;TEXT(I199,"000"))</x:f>
      </x:c>
      <x:c r="L199" s="21"/>
      <x:c r="M199" s="21"/>
      <x:c r="N199" s="21"/>
      <x:c r="O199" s="43"/>
      <x:c r="P199" s="43"/>
      <x:c r="Q199" s="25"/>
      <x:c r="R199" s="25"/>
      <x:c r="S199" s="39" t="str">
        <x:f>IF(A199="","",SUMIF('07_DUNG_CHO'!$B$6:$B$505,A199,'07_DUNG_CHO'!$E$6:$E$505))</x:f>
      </x:c>
      <x:c r="T199" s="39" t="str">
        <x:f>IF(A199="","",IF(N199="SETUP",0,MAX(0,(P199-O199)*1440-Q199-S199)))</x:f>
      </x:c>
      <x:c r="U199" s="25"/>
      <x:c r="V199" s="25"/>
      <x:c r="W199" s="25"/>
      <x:c r="X199" s="25"/>
      <x:c r="Y199" s="25"/>
      <x:c r="Z199" s="25"/>
      <x:c r="AA199" s="39" t="str">
        <x:f>IF(A199="","",U199-SUM(V199,X199:Z199))</x:f>
      </x:c>
      <x:c r="AB199" s="39" t="str">
        <x:f>IF(A199="","",IF(N199="SETUP",IFERROR(INDEX('04_KE_HOACH_CD'!$K$6:$K$305,MATCH(K199,'04_KE_HOACH_CD'!$G$6:$G$305,0)),0),IF(OR(N199="PRODUCTION",N199="REWORK"),IFERROR(INDEX('04_KE_HOACH_CD'!$L$6:$L$305,MATCH(K199,'04_KE_HOACH_CD'!$G$6:$G$305,0))*V199,0),0)))</x:f>
      </x:c>
      <x:c r="AC199" s="39" t="str">
        <x:f>IF(A199="","",MAX(0,(P199-O199)*1440-Q199))</x:f>
      </x:c>
      <x:c r="AD199" s="37" t="str">
        <x:f>IF(A199="","",IFERROR(AB199/AC199,0))</x:f>
      </x:c>
      <x:c r="AE199" s="33" t="str">
        <x:f>IF(A199="","",AC199/60*SUMIF(DM_NHAN_SU!$A$6:$A$105,L199,DM_NHAN_SU!$E$6:$E$105))</x:f>
      </x:c>
      <x:c r="AF199" s="33" t="str">
        <x:f>IF(A199="","",AC199/60*SUMIF(DM_MAY!$A$6:$A$105,M199,DM_MAY!$F$6:$F$105))</x:f>
      </x:c>
      <x:c r="AG199" s="33" t="str">
        <x:f>IF(A199="","",AE199+AF199)</x:f>
      </x:c>
      <x:c r="AH199" s="21"/>
      <x:c r="AI199" s="29" t="str">
        <x:f>IF(A199="","",IF(OR(B199="",D199="",E199="",I199="",L199="",N199="",O199="",P199=""),"Thiếu dữ liệu",IF(AND(OR(N199="PRODUCTION",N199="REWORK",N199="SETUP"),M199=""),"Thiếu máy",IF(P199&lt;O199,"Sai thời gian",IF(AA199&lt;&gt;0,"Sai cân đối SL","Hợp lệ")))))</x:f>
      </x:c>
      <x:c r="AJ199" s="21"/>
    </x:row>
    <x:row r="200">
      <x:c r="A200" s="21"/>
      <x:c r="B200" s="35"/>
      <x:c r="C200" s="21"/>
      <x:c r="D200" s="21"/>
      <x:c r="E200" s="21"/>
      <x:c r="F200" s="21"/>
      <x:c r="G200" s="21"/>
      <x:c r="H200" s="29" t="str">
        <x:f>IF(OR(D200="",E200=""),"",D200&amp;"|"&amp;E200&amp;"|"&amp;IF(F200="","00",F200)&amp;"|"&amp;IF(G200="","01",G200))</x:f>
      </x:c>
      <x:c r="I200" s="21"/>
      <x:c r="J200" s="29" t="str">
        <x:f>IF(K200="","",IFERROR(INDEX('04_KE_HOACH_CD'!$I$6:$I$305,MATCH(K200,'04_KE_HOACH_CD'!$G$6:$G$305,0)),""))</x:f>
      </x:c>
      <x:c r="K200" s="29" t="str">
        <x:f>IF(OR(H200="",I200=""),"",H200&amp;"|"&amp;TEXT(I200,"000"))</x:f>
      </x:c>
      <x:c r="L200" s="21"/>
      <x:c r="M200" s="21"/>
      <x:c r="N200" s="21"/>
      <x:c r="O200" s="43"/>
      <x:c r="P200" s="43"/>
      <x:c r="Q200" s="25"/>
      <x:c r="R200" s="25"/>
      <x:c r="S200" s="39" t="str">
        <x:f>IF(A200="","",SUMIF('07_DUNG_CHO'!$B$6:$B$505,A200,'07_DUNG_CHO'!$E$6:$E$505))</x:f>
      </x:c>
      <x:c r="T200" s="39" t="str">
        <x:f>IF(A200="","",IF(N200="SETUP",0,MAX(0,(P200-O200)*1440-Q200-S200)))</x:f>
      </x:c>
      <x:c r="U200" s="25"/>
      <x:c r="V200" s="25"/>
      <x:c r="W200" s="25"/>
      <x:c r="X200" s="25"/>
      <x:c r="Y200" s="25"/>
      <x:c r="Z200" s="25"/>
      <x:c r="AA200" s="39" t="str">
        <x:f>IF(A200="","",U200-SUM(V200,X200:Z200))</x:f>
      </x:c>
      <x:c r="AB200" s="39" t="str">
        <x:f>IF(A200="","",IF(N200="SETUP",IFERROR(INDEX('04_KE_HOACH_CD'!$K$6:$K$305,MATCH(K200,'04_KE_HOACH_CD'!$G$6:$G$305,0)),0),IF(OR(N200="PRODUCTION",N200="REWORK"),IFERROR(INDEX('04_KE_HOACH_CD'!$L$6:$L$305,MATCH(K200,'04_KE_HOACH_CD'!$G$6:$G$305,0))*V200,0),0)))</x:f>
      </x:c>
      <x:c r="AC200" s="39" t="str">
        <x:f>IF(A200="","",MAX(0,(P200-O200)*1440-Q200))</x:f>
      </x:c>
      <x:c r="AD200" s="37" t="str">
        <x:f>IF(A200="","",IFERROR(AB200/AC200,0))</x:f>
      </x:c>
      <x:c r="AE200" s="33" t="str">
        <x:f>IF(A200="","",AC200/60*SUMIF(DM_NHAN_SU!$A$6:$A$105,L200,DM_NHAN_SU!$E$6:$E$105))</x:f>
      </x:c>
      <x:c r="AF200" s="33" t="str">
        <x:f>IF(A200="","",AC200/60*SUMIF(DM_MAY!$A$6:$A$105,M200,DM_MAY!$F$6:$F$105))</x:f>
      </x:c>
      <x:c r="AG200" s="33" t="str">
        <x:f>IF(A200="","",AE200+AF200)</x:f>
      </x:c>
      <x:c r="AH200" s="21"/>
      <x:c r="AI200" s="29" t="str">
        <x:f>IF(A200="","",IF(OR(B200="",D200="",E200="",I200="",L200="",N200="",O200="",P200=""),"Thiếu dữ liệu",IF(AND(OR(N200="PRODUCTION",N200="REWORK",N200="SETUP"),M200=""),"Thiếu máy",IF(P200&lt;O200,"Sai thời gian",IF(AA200&lt;&gt;0,"Sai cân đối SL","Hợp lệ")))))</x:f>
      </x:c>
      <x:c r="AJ200" s="21"/>
    </x:row>
    <x:row r="201">
      <x:c r="A201" s="21"/>
      <x:c r="B201" s="35"/>
      <x:c r="C201" s="21"/>
      <x:c r="D201" s="21"/>
      <x:c r="E201" s="21"/>
      <x:c r="F201" s="21"/>
      <x:c r="G201" s="21"/>
      <x:c r="H201" s="29" t="str">
        <x:f>IF(OR(D201="",E201=""),"",D201&amp;"|"&amp;E201&amp;"|"&amp;IF(F201="","00",F201)&amp;"|"&amp;IF(G201="","01",G201))</x:f>
      </x:c>
      <x:c r="I201" s="21"/>
      <x:c r="J201" s="29" t="str">
        <x:f>IF(K201="","",IFERROR(INDEX('04_KE_HOACH_CD'!$I$6:$I$305,MATCH(K201,'04_KE_HOACH_CD'!$G$6:$G$305,0)),""))</x:f>
      </x:c>
      <x:c r="K201" s="29" t="str">
        <x:f>IF(OR(H201="",I201=""),"",H201&amp;"|"&amp;TEXT(I201,"000"))</x:f>
      </x:c>
      <x:c r="L201" s="21"/>
      <x:c r="M201" s="21"/>
      <x:c r="N201" s="21"/>
      <x:c r="O201" s="43"/>
      <x:c r="P201" s="43"/>
      <x:c r="Q201" s="25"/>
      <x:c r="R201" s="25"/>
      <x:c r="S201" s="39" t="str">
        <x:f>IF(A201="","",SUMIF('07_DUNG_CHO'!$B$6:$B$505,A201,'07_DUNG_CHO'!$E$6:$E$505))</x:f>
      </x:c>
      <x:c r="T201" s="39" t="str">
        <x:f>IF(A201="","",IF(N201="SETUP",0,MAX(0,(P201-O201)*1440-Q201-S201)))</x:f>
      </x:c>
      <x:c r="U201" s="25"/>
      <x:c r="V201" s="25"/>
      <x:c r="W201" s="25"/>
      <x:c r="X201" s="25"/>
      <x:c r="Y201" s="25"/>
      <x:c r="Z201" s="25"/>
      <x:c r="AA201" s="39" t="str">
        <x:f>IF(A201="","",U201-SUM(V201,X201:Z201))</x:f>
      </x:c>
      <x:c r="AB201" s="39" t="str">
        <x:f>IF(A201="","",IF(N201="SETUP",IFERROR(INDEX('04_KE_HOACH_CD'!$K$6:$K$305,MATCH(K201,'04_KE_HOACH_CD'!$G$6:$G$305,0)),0),IF(OR(N201="PRODUCTION",N201="REWORK"),IFERROR(INDEX('04_KE_HOACH_CD'!$L$6:$L$305,MATCH(K201,'04_KE_HOACH_CD'!$G$6:$G$305,0))*V201,0),0)))</x:f>
      </x:c>
      <x:c r="AC201" s="39" t="str">
        <x:f>IF(A201="","",MAX(0,(P201-O201)*1440-Q201))</x:f>
      </x:c>
      <x:c r="AD201" s="37" t="str">
        <x:f>IF(A201="","",IFERROR(AB201/AC201,0))</x:f>
      </x:c>
      <x:c r="AE201" s="33" t="str">
        <x:f>IF(A201="","",AC201/60*SUMIF(DM_NHAN_SU!$A$6:$A$105,L201,DM_NHAN_SU!$E$6:$E$105))</x:f>
      </x:c>
      <x:c r="AF201" s="33" t="str">
        <x:f>IF(A201="","",AC201/60*SUMIF(DM_MAY!$A$6:$A$105,M201,DM_MAY!$F$6:$F$105))</x:f>
      </x:c>
      <x:c r="AG201" s="33" t="str">
        <x:f>IF(A201="","",AE201+AF201)</x:f>
      </x:c>
      <x:c r="AH201" s="21"/>
      <x:c r="AI201" s="29" t="str">
        <x:f>IF(A201="","",IF(OR(B201="",D201="",E201="",I201="",L201="",N201="",O201="",P201=""),"Thiếu dữ liệu",IF(AND(OR(N201="PRODUCTION",N201="REWORK",N201="SETUP"),M201=""),"Thiếu máy",IF(P201&lt;O201,"Sai thời gian",IF(AA201&lt;&gt;0,"Sai cân đối SL","Hợp lệ")))))</x:f>
      </x:c>
      <x:c r="AJ201" s="21"/>
    </x:row>
    <x:row r="202">
      <x:c r="A202" s="21"/>
      <x:c r="B202" s="35"/>
      <x:c r="C202" s="21"/>
      <x:c r="D202" s="21"/>
      <x:c r="E202" s="21"/>
      <x:c r="F202" s="21"/>
      <x:c r="G202" s="21"/>
      <x:c r="H202" s="29" t="str">
        <x:f>IF(OR(D202="",E202=""),"",D202&amp;"|"&amp;E202&amp;"|"&amp;IF(F202="","00",F202)&amp;"|"&amp;IF(G202="","01",G202))</x:f>
      </x:c>
      <x:c r="I202" s="21"/>
      <x:c r="J202" s="29" t="str">
        <x:f>IF(K202="","",IFERROR(INDEX('04_KE_HOACH_CD'!$I$6:$I$305,MATCH(K202,'04_KE_HOACH_CD'!$G$6:$G$305,0)),""))</x:f>
      </x:c>
      <x:c r="K202" s="29" t="str">
        <x:f>IF(OR(H202="",I202=""),"",H202&amp;"|"&amp;TEXT(I202,"000"))</x:f>
      </x:c>
      <x:c r="L202" s="21"/>
      <x:c r="M202" s="21"/>
      <x:c r="N202" s="21"/>
      <x:c r="O202" s="43"/>
      <x:c r="P202" s="43"/>
      <x:c r="Q202" s="25"/>
      <x:c r="R202" s="25"/>
      <x:c r="S202" s="39" t="str">
        <x:f>IF(A202="","",SUMIF('07_DUNG_CHO'!$B$6:$B$505,A202,'07_DUNG_CHO'!$E$6:$E$505))</x:f>
      </x:c>
      <x:c r="T202" s="39" t="str">
        <x:f>IF(A202="","",IF(N202="SETUP",0,MAX(0,(P202-O202)*1440-Q202-S202)))</x:f>
      </x:c>
      <x:c r="U202" s="25"/>
      <x:c r="V202" s="25"/>
      <x:c r="W202" s="25"/>
      <x:c r="X202" s="25"/>
      <x:c r="Y202" s="25"/>
      <x:c r="Z202" s="25"/>
      <x:c r="AA202" s="39" t="str">
        <x:f>IF(A202="","",U202-SUM(V202,X202:Z202))</x:f>
      </x:c>
      <x:c r="AB202" s="39" t="str">
        <x:f>IF(A202="","",IF(N202="SETUP",IFERROR(INDEX('04_KE_HOACH_CD'!$K$6:$K$305,MATCH(K202,'04_KE_HOACH_CD'!$G$6:$G$305,0)),0),IF(OR(N202="PRODUCTION",N202="REWORK"),IFERROR(INDEX('04_KE_HOACH_CD'!$L$6:$L$305,MATCH(K202,'04_KE_HOACH_CD'!$G$6:$G$305,0))*V202,0),0)))</x:f>
      </x:c>
      <x:c r="AC202" s="39" t="str">
        <x:f>IF(A202="","",MAX(0,(P202-O202)*1440-Q202))</x:f>
      </x:c>
      <x:c r="AD202" s="37" t="str">
        <x:f>IF(A202="","",IFERROR(AB202/AC202,0))</x:f>
      </x:c>
      <x:c r="AE202" s="33" t="str">
        <x:f>IF(A202="","",AC202/60*SUMIF(DM_NHAN_SU!$A$6:$A$105,L202,DM_NHAN_SU!$E$6:$E$105))</x:f>
      </x:c>
      <x:c r="AF202" s="33" t="str">
        <x:f>IF(A202="","",AC202/60*SUMIF(DM_MAY!$A$6:$A$105,M202,DM_MAY!$F$6:$F$105))</x:f>
      </x:c>
      <x:c r="AG202" s="33" t="str">
        <x:f>IF(A202="","",AE202+AF202)</x:f>
      </x:c>
      <x:c r="AH202" s="21"/>
      <x:c r="AI202" s="29" t="str">
        <x:f>IF(A202="","",IF(OR(B202="",D202="",E202="",I202="",L202="",N202="",O202="",P202=""),"Thiếu dữ liệu",IF(AND(OR(N202="PRODUCTION",N202="REWORK",N202="SETUP"),M202=""),"Thiếu máy",IF(P202&lt;O202,"Sai thời gian",IF(AA202&lt;&gt;0,"Sai cân đối SL","Hợp lệ")))))</x:f>
      </x:c>
      <x:c r="AJ202" s="21"/>
    </x:row>
    <x:row r="203">
      <x:c r="A203" s="21"/>
      <x:c r="B203" s="35"/>
      <x:c r="C203" s="21"/>
      <x:c r="D203" s="21"/>
      <x:c r="E203" s="21"/>
      <x:c r="F203" s="21"/>
      <x:c r="G203" s="21"/>
      <x:c r="H203" s="29" t="str">
        <x:f>IF(OR(D203="",E203=""),"",D203&amp;"|"&amp;E203&amp;"|"&amp;IF(F203="","00",F203)&amp;"|"&amp;IF(G203="","01",G203))</x:f>
      </x:c>
      <x:c r="I203" s="21"/>
      <x:c r="J203" s="29" t="str">
        <x:f>IF(K203="","",IFERROR(INDEX('04_KE_HOACH_CD'!$I$6:$I$305,MATCH(K203,'04_KE_HOACH_CD'!$G$6:$G$305,0)),""))</x:f>
      </x:c>
      <x:c r="K203" s="29" t="str">
        <x:f>IF(OR(H203="",I203=""),"",H203&amp;"|"&amp;TEXT(I203,"000"))</x:f>
      </x:c>
      <x:c r="L203" s="21"/>
      <x:c r="M203" s="21"/>
      <x:c r="N203" s="21"/>
      <x:c r="O203" s="43"/>
      <x:c r="P203" s="43"/>
      <x:c r="Q203" s="25"/>
      <x:c r="R203" s="25"/>
      <x:c r="S203" s="39" t="str">
        <x:f>IF(A203="","",SUMIF('07_DUNG_CHO'!$B$6:$B$505,A203,'07_DUNG_CHO'!$E$6:$E$505))</x:f>
      </x:c>
      <x:c r="T203" s="39" t="str">
        <x:f>IF(A203="","",IF(N203="SETUP",0,MAX(0,(P203-O203)*1440-Q203-S203)))</x:f>
      </x:c>
      <x:c r="U203" s="25"/>
      <x:c r="V203" s="25"/>
      <x:c r="W203" s="25"/>
      <x:c r="X203" s="25"/>
      <x:c r="Y203" s="25"/>
      <x:c r="Z203" s="25"/>
      <x:c r="AA203" s="39" t="str">
        <x:f>IF(A203="","",U203-SUM(V203,X203:Z203))</x:f>
      </x:c>
      <x:c r="AB203" s="39" t="str">
        <x:f>IF(A203="","",IF(N203="SETUP",IFERROR(INDEX('04_KE_HOACH_CD'!$K$6:$K$305,MATCH(K203,'04_KE_HOACH_CD'!$G$6:$G$305,0)),0),IF(OR(N203="PRODUCTION",N203="REWORK"),IFERROR(INDEX('04_KE_HOACH_CD'!$L$6:$L$305,MATCH(K203,'04_KE_HOACH_CD'!$G$6:$G$305,0))*V203,0),0)))</x:f>
      </x:c>
      <x:c r="AC203" s="39" t="str">
        <x:f>IF(A203="","",MAX(0,(P203-O203)*1440-Q203))</x:f>
      </x:c>
      <x:c r="AD203" s="37" t="str">
        <x:f>IF(A203="","",IFERROR(AB203/AC203,0))</x:f>
      </x:c>
      <x:c r="AE203" s="33" t="str">
        <x:f>IF(A203="","",AC203/60*SUMIF(DM_NHAN_SU!$A$6:$A$105,L203,DM_NHAN_SU!$E$6:$E$105))</x:f>
      </x:c>
      <x:c r="AF203" s="33" t="str">
        <x:f>IF(A203="","",AC203/60*SUMIF(DM_MAY!$A$6:$A$105,M203,DM_MAY!$F$6:$F$105))</x:f>
      </x:c>
      <x:c r="AG203" s="33" t="str">
        <x:f>IF(A203="","",AE203+AF203)</x:f>
      </x:c>
      <x:c r="AH203" s="21"/>
      <x:c r="AI203" s="29" t="str">
        <x:f>IF(A203="","",IF(OR(B203="",D203="",E203="",I203="",L203="",N203="",O203="",P203=""),"Thiếu dữ liệu",IF(AND(OR(N203="PRODUCTION",N203="REWORK",N203="SETUP"),M203=""),"Thiếu máy",IF(P203&lt;O203,"Sai thời gian",IF(AA203&lt;&gt;0,"Sai cân đối SL","Hợp lệ")))))</x:f>
      </x:c>
      <x:c r="AJ203" s="21"/>
    </x:row>
    <x:row r="204">
      <x:c r="A204" s="21"/>
      <x:c r="B204" s="35"/>
      <x:c r="C204" s="21"/>
      <x:c r="D204" s="21"/>
      <x:c r="E204" s="21"/>
      <x:c r="F204" s="21"/>
      <x:c r="G204" s="21"/>
      <x:c r="H204" s="29" t="str">
        <x:f>IF(OR(D204="",E204=""),"",D204&amp;"|"&amp;E204&amp;"|"&amp;IF(F204="","00",F204)&amp;"|"&amp;IF(G204="","01",G204))</x:f>
      </x:c>
      <x:c r="I204" s="21"/>
      <x:c r="J204" s="29" t="str">
        <x:f>IF(K204="","",IFERROR(INDEX('04_KE_HOACH_CD'!$I$6:$I$305,MATCH(K204,'04_KE_HOACH_CD'!$G$6:$G$305,0)),""))</x:f>
      </x:c>
      <x:c r="K204" s="29" t="str">
        <x:f>IF(OR(H204="",I204=""),"",H204&amp;"|"&amp;TEXT(I204,"000"))</x:f>
      </x:c>
      <x:c r="L204" s="21"/>
      <x:c r="M204" s="21"/>
      <x:c r="N204" s="21"/>
      <x:c r="O204" s="43"/>
      <x:c r="P204" s="43"/>
      <x:c r="Q204" s="25"/>
      <x:c r="R204" s="25"/>
      <x:c r="S204" s="39" t="str">
        <x:f>IF(A204="","",SUMIF('07_DUNG_CHO'!$B$6:$B$505,A204,'07_DUNG_CHO'!$E$6:$E$505))</x:f>
      </x:c>
      <x:c r="T204" s="39" t="str">
        <x:f>IF(A204="","",IF(N204="SETUP",0,MAX(0,(P204-O204)*1440-Q204-S204)))</x:f>
      </x:c>
      <x:c r="U204" s="25"/>
      <x:c r="V204" s="25"/>
      <x:c r="W204" s="25"/>
      <x:c r="X204" s="25"/>
      <x:c r="Y204" s="25"/>
      <x:c r="Z204" s="25"/>
      <x:c r="AA204" s="39" t="str">
        <x:f>IF(A204="","",U204-SUM(V204,X204:Z204))</x:f>
      </x:c>
      <x:c r="AB204" s="39" t="str">
        <x:f>IF(A204="","",IF(N204="SETUP",IFERROR(INDEX('04_KE_HOACH_CD'!$K$6:$K$305,MATCH(K204,'04_KE_HOACH_CD'!$G$6:$G$305,0)),0),IF(OR(N204="PRODUCTION",N204="REWORK"),IFERROR(INDEX('04_KE_HOACH_CD'!$L$6:$L$305,MATCH(K204,'04_KE_HOACH_CD'!$G$6:$G$305,0))*V204,0),0)))</x:f>
      </x:c>
      <x:c r="AC204" s="39" t="str">
        <x:f>IF(A204="","",MAX(0,(P204-O204)*1440-Q204))</x:f>
      </x:c>
      <x:c r="AD204" s="37" t="str">
        <x:f>IF(A204="","",IFERROR(AB204/AC204,0))</x:f>
      </x:c>
      <x:c r="AE204" s="33" t="str">
        <x:f>IF(A204="","",AC204/60*SUMIF(DM_NHAN_SU!$A$6:$A$105,L204,DM_NHAN_SU!$E$6:$E$105))</x:f>
      </x:c>
      <x:c r="AF204" s="33" t="str">
        <x:f>IF(A204="","",AC204/60*SUMIF(DM_MAY!$A$6:$A$105,M204,DM_MAY!$F$6:$F$105))</x:f>
      </x:c>
      <x:c r="AG204" s="33" t="str">
        <x:f>IF(A204="","",AE204+AF204)</x:f>
      </x:c>
      <x:c r="AH204" s="21"/>
      <x:c r="AI204" s="29" t="str">
        <x:f>IF(A204="","",IF(OR(B204="",D204="",E204="",I204="",L204="",N204="",O204="",P204=""),"Thiếu dữ liệu",IF(AND(OR(N204="PRODUCTION",N204="REWORK",N204="SETUP"),M204=""),"Thiếu máy",IF(P204&lt;O204,"Sai thời gian",IF(AA204&lt;&gt;0,"Sai cân đối SL","Hợp lệ")))))</x:f>
      </x:c>
      <x:c r="AJ204" s="21"/>
    </x:row>
    <x:row r="205">
      <x:c r="A205" s="21"/>
      <x:c r="B205" s="35"/>
      <x:c r="C205" s="21"/>
      <x:c r="D205" s="21"/>
      <x:c r="E205" s="21"/>
      <x:c r="F205" s="21"/>
      <x:c r="G205" s="21"/>
      <x:c r="H205" s="29" t="str">
        <x:f>IF(OR(D205="",E205=""),"",D205&amp;"|"&amp;E205&amp;"|"&amp;IF(F205="","00",F205)&amp;"|"&amp;IF(G205="","01",G205))</x:f>
      </x:c>
      <x:c r="I205" s="21"/>
      <x:c r="J205" s="29" t="str">
        <x:f>IF(K205="","",IFERROR(INDEX('04_KE_HOACH_CD'!$I$6:$I$305,MATCH(K205,'04_KE_HOACH_CD'!$G$6:$G$305,0)),""))</x:f>
      </x:c>
      <x:c r="K205" s="29" t="str">
        <x:f>IF(OR(H205="",I205=""),"",H205&amp;"|"&amp;TEXT(I205,"000"))</x:f>
      </x:c>
      <x:c r="L205" s="21"/>
      <x:c r="M205" s="21"/>
      <x:c r="N205" s="21"/>
      <x:c r="O205" s="43"/>
      <x:c r="P205" s="43"/>
      <x:c r="Q205" s="25"/>
      <x:c r="R205" s="25"/>
      <x:c r="S205" s="39" t="str">
        <x:f>IF(A205="","",SUMIF('07_DUNG_CHO'!$B$6:$B$505,A205,'07_DUNG_CHO'!$E$6:$E$505))</x:f>
      </x:c>
      <x:c r="T205" s="39" t="str">
        <x:f>IF(A205="","",IF(N205="SETUP",0,MAX(0,(P205-O205)*1440-Q205-S205)))</x:f>
      </x:c>
      <x:c r="U205" s="25"/>
      <x:c r="V205" s="25"/>
      <x:c r="W205" s="25"/>
      <x:c r="X205" s="25"/>
      <x:c r="Y205" s="25"/>
      <x:c r="Z205" s="25"/>
      <x:c r="AA205" s="39" t="str">
        <x:f>IF(A205="","",U205-SUM(V205,X205:Z205))</x:f>
      </x:c>
      <x:c r="AB205" s="39" t="str">
        <x:f>IF(A205="","",IF(N205="SETUP",IFERROR(INDEX('04_KE_HOACH_CD'!$K$6:$K$305,MATCH(K205,'04_KE_HOACH_CD'!$G$6:$G$305,0)),0),IF(OR(N205="PRODUCTION",N205="REWORK"),IFERROR(INDEX('04_KE_HOACH_CD'!$L$6:$L$305,MATCH(K205,'04_KE_HOACH_CD'!$G$6:$G$305,0))*V205,0),0)))</x:f>
      </x:c>
      <x:c r="AC205" s="39" t="str">
        <x:f>IF(A205="","",MAX(0,(P205-O205)*1440-Q205))</x:f>
      </x:c>
      <x:c r="AD205" s="37" t="str">
        <x:f>IF(A205="","",IFERROR(AB205/AC205,0))</x:f>
      </x:c>
      <x:c r="AE205" s="33" t="str">
        <x:f>IF(A205="","",AC205/60*SUMIF(DM_NHAN_SU!$A$6:$A$105,L205,DM_NHAN_SU!$E$6:$E$105))</x:f>
      </x:c>
      <x:c r="AF205" s="33" t="str">
        <x:f>IF(A205="","",AC205/60*SUMIF(DM_MAY!$A$6:$A$105,M205,DM_MAY!$F$6:$F$105))</x:f>
      </x:c>
      <x:c r="AG205" s="33" t="str">
        <x:f>IF(A205="","",AE205+AF205)</x:f>
      </x:c>
      <x:c r="AH205" s="21"/>
      <x:c r="AI205" s="29" t="str">
        <x:f>IF(A205="","",IF(OR(B205="",D205="",E205="",I205="",L205="",N205="",O205="",P205=""),"Thiếu dữ liệu",IF(AND(OR(N205="PRODUCTION",N205="REWORK",N205="SETUP"),M205=""),"Thiếu máy",IF(P205&lt;O205,"Sai thời gian",IF(AA205&lt;&gt;0,"Sai cân đối SL","Hợp lệ")))))</x:f>
      </x:c>
      <x:c r="AJ205" s="21"/>
    </x:row>
    <x:row r="206">
      <x:c r="A206" s="21"/>
      <x:c r="B206" s="35"/>
      <x:c r="C206" s="21"/>
      <x:c r="D206" s="21"/>
      <x:c r="E206" s="21"/>
      <x:c r="F206" s="21"/>
      <x:c r="G206" s="21"/>
      <x:c r="H206" s="29" t="str">
        <x:f>IF(OR(D206="",E206=""),"",D206&amp;"|"&amp;E206&amp;"|"&amp;IF(F206="","00",F206)&amp;"|"&amp;IF(G206="","01",G206))</x:f>
      </x:c>
      <x:c r="I206" s="21"/>
      <x:c r="J206" s="29" t="str">
        <x:f>IF(K206="","",IFERROR(INDEX('04_KE_HOACH_CD'!$I$6:$I$305,MATCH(K206,'04_KE_HOACH_CD'!$G$6:$G$305,0)),""))</x:f>
      </x:c>
      <x:c r="K206" s="29" t="str">
        <x:f>IF(OR(H206="",I206=""),"",H206&amp;"|"&amp;TEXT(I206,"000"))</x:f>
      </x:c>
      <x:c r="L206" s="21"/>
      <x:c r="M206" s="21"/>
      <x:c r="N206" s="21"/>
      <x:c r="O206" s="43"/>
      <x:c r="P206" s="43"/>
      <x:c r="Q206" s="25"/>
      <x:c r="R206" s="25"/>
      <x:c r="S206" s="39" t="str">
        <x:f>IF(A206="","",SUMIF('07_DUNG_CHO'!$B$6:$B$505,A206,'07_DUNG_CHO'!$E$6:$E$505))</x:f>
      </x:c>
      <x:c r="T206" s="39" t="str">
        <x:f>IF(A206="","",IF(N206="SETUP",0,MAX(0,(P206-O206)*1440-Q206-S206)))</x:f>
      </x:c>
      <x:c r="U206" s="25"/>
      <x:c r="V206" s="25"/>
      <x:c r="W206" s="25"/>
      <x:c r="X206" s="25"/>
      <x:c r="Y206" s="25"/>
      <x:c r="Z206" s="25"/>
      <x:c r="AA206" s="39" t="str">
        <x:f>IF(A206="","",U206-SUM(V206,X206:Z206))</x:f>
      </x:c>
      <x:c r="AB206" s="39" t="str">
        <x:f>IF(A206="","",IF(N206="SETUP",IFERROR(INDEX('04_KE_HOACH_CD'!$K$6:$K$305,MATCH(K206,'04_KE_HOACH_CD'!$G$6:$G$305,0)),0),IF(OR(N206="PRODUCTION",N206="REWORK"),IFERROR(INDEX('04_KE_HOACH_CD'!$L$6:$L$305,MATCH(K206,'04_KE_HOACH_CD'!$G$6:$G$305,0))*V206,0),0)))</x:f>
      </x:c>
      <x:c r="AC206" s="39" t="str">
        <x:f>IF(A206="","",MAX(0,(P206-O206)*1440-Q206))</x:f>
      </x:c>
      <x:c r="AD206" s="37" t="str">
        <x:f>IF(A206="","",IFERROR(AB206/AC206,0))</x:f>
      </x:c>
      <x:c r="AE206" s="33" t="str">
        <x:f>IF(A206="","",AC206/60*SUMIF(DM_NHAN_SU!$A$6:$A$105,L206,DM_NHAN_SU!$E$6:$E$105))</x:f>
      </x:c>
      <x:c r="AF206" s="33" t="str">
        <x:f>IF(A206="","",AC206/60*SUMIF(DM_MAY!$A$6:$A$105,M206,DM_MAY!$F$6:$F$105))</x:f>
      </x:c>
      <x:c r="AG206" s="33" t="str">
        <x:f>IF(A206="","",AE206+AF206)</x:f>
      </x:c>
      <x:c r="AH206" s="21"/>
      <x:c r="AI206" s="29" t="str">
        <x:f>IF(A206="","",IF(OR(B206="",D206="",E206="",I206="",L206="",N206="",O206="",P206=""),"Thiếu dữ liệu",IF(AND(OR(N206="PRODUCTION",N206="REWORK",N206="SETUP"),M206=""),"Thiếu máy",IF(P206&lt;O206,"Sai thời gian",IF(AA206&lt;&gt;0,"Sai cân đối SL","Hợp lệ")))))</x:f>
      </x:c>
      <x:c r="AJ206" s="21"/>
    </x:row>
    <x:row r="207">
      <x:c r="A207" s="21"/>
      <x:c r="B207" s="35"/>
      <x:c r="C207" s="21"/>
      <x:c r="D207" s="21"/>
      <x:c r="E207" s="21"/>
      <x:c r="F207" s="21"/>
      <x:c r="G207" s="21"/>
      <x:c r="H207" s="29" t="str">
        <x:f>IF(OR(D207="",E207=""),"",D207&amp;"|"&amp;E207&amp;"|"&amp;IF(F207="","00",F207)&amp;"|"&amp;IF(G207="","01",G207))</x:f>
      </x:c>
      <x:c r="I207" s="21"/>
      <x:c r="J207" s="29" t="str">
        <x:f>IF(K207="","",IFERROR(INDEX('04_KE_HOACH_CD'!$I$6:$I$305,MATCH(K207,'04_KE_HOACH_CD'!$G$6:$G$305,0)),""))</x:f>
      </x:c>
      <x:c r="K207" s="29" t="str">
        <x:f>IF(OR(H207="",I207=""),"",H207&amp;"|"&amp;TEXT(I207,"000"))</x:f>
      </x:c>
      <x:c r="L207" s="21"/>
      <x:c r="M207" s="21"/>
      <x:c r="N207" s="21"/>
      <x:c r="O207" s="43"/>
      <x:c r="P207" s="43"/>
      <x:c r="Q207" s="25"/>
      <x:c r="R207" s="25"/>
      <x:c r="S207" s="39" t="str">
        <x:f>IF(A207="","",SUMIF('07_DUNG_CHO'!$B$6:$B$505,A207,'07_DUNG_CHO'!$E$6:$E$505))</x:f>
      </x:c>
      <x:c r="T207" s="39" t="str">
        <x:f>IF(A207="","",IF(N207="SETUP",0,MAX(0,(P207-O207)*1440-Q207-S207)))</x:f>
      </x:c>
      <x:c r="U207" s="25"/>
      <x:c r="V207" s="25"/>
      <x:c r="W207" s="25"/>
      <x:c r="X207" s="25"/>
      <x:c r="Y207" s="25"/>
      <x:c r="Z207" s="25"/>
      <x:c r="AA207" s="39" t="str">
        <x:f>IF(A207="","",U207-SUM(V207,X207:Z207))</x:f>
      </x:c>
      <x:c r="AB207" s="39" t="str">
        <x:f>IF(A207="","",IF(N207="SETUP",IFERROR(INDEX('04_KE_HOACH_CD'!$K$6:$K$305,MATCH(K207,'04_KE_HOACH_CD'!$G$6:$G$305,0)),0),IF(OR(N207="PRODUCTION",N207="REWORK"),IFERROR(INDEX('04_KE_HOACH_CD'!$L$6:$L$305,MATCH(K207,'04_KE_HOACH_CD'!$G$6:$G$305,0))*V207,0),0)))</x:f>
      </x:c>
      <x:c r="AC207" s="39" t="str">
        <x:f>IF(A207="","",MAX(0,(P207-O207)*1440-Q207))</x:f>
      </x:c>
      <x:c r="AD207" s="37" t="str">
        <x:f>IF(A207="","",IFERROR(AB207/AC207,0))</x:f>
      </x:c>
      <x:c r="AE207" s="33" t="str">
        <x:f>IF(A207="","",AC207/60*SUMIF(DM_NHAN_SU!$A$6:$A$105,L207,DM_NHAN_SU!$E$6:$E$105))</x:f>
      </x:c>
      <x:c r="AF207" s="33" t="str">
        <x:f>IF(A207="","",AC207/60*SUMIF(DM_MAY!$A$6:$A$105,M207,DM_MAY!$F$6:$F$105))</x:f>
      </x:c>
      <x:c r="AG207" s="33" t="str">
        <x:f>IF(A207="","",AE207+AF207)</x:f>
      </x:c>
      <x:c r="AH207" s="21"/>
      <x:c r="AI207" s="29" t="str">
        <x:f>IF(A207="","",IF(OR(B207="",D207="",E207="",I207="",L207="",N207="",O207="",P207=""),"Thiếu dữ liệu",IF(AND(OR(N207="PRODUCTION",N207="REWORK",N207="SETUP"),M207=""),"Thiếu máy",IF(P207&lt;O207,"Sai thời gian",IF(AA207&lt;&gt;0,"Sai cân đối SL","Hợp lệ")))))</x:f>
      </x:c>
      <x:c r="AJ207" s="21"/>
    </x:row>
    <x:row r="208">
      <x:c r="A208" s="21"/>
      <x:c r="B208" s="35"/>
      <x:c r="C208" s="21"/>
      <x:c r="D208" s="21"/>
      <x:c r="E208" s="21"/>
      <x:c r="F208" s="21"/>
      <x:c r="G208" s="21"/>
      <x:c r="H208" s="29" t="str">
        <x:f>IF(OR(D208="",E208=""),"",D208&amp;"|"&amp;E208&amp;"|"&amp;IF(F208="","00",F208)&amp;"|"&amp;IF(G208="","01",G208))</x:f>
      </x:c>
      <x:c r="I208" s="21"/>
      <x:c r="J208" s="29" t="str">
        <x:f>IF(K208="","",IFERROR(INDEX('04_KE_HOACH_CD'!$I$6:$I$305,MATCH(K208,'04_KE_HOACH_CD'!$G$6:$G$305,0)),""))</x:f>
      </x:c>
      <x:c r="K208" s="29" t="str">
        <x:f>IF(OR(H208="",I208=""),"",H208&amp;"|"&amp;TEXT(I208,"000"))</x:f>
      </x:c>
      <x:c r="L208" s="21"/>
      <x:c r="M208" s="21"/>
      <x:c r="N208" s="21"/>
      <x:c r="O208" s="43"/>
      <x:c r="P208" s="43"/>
      <x:c r="Q208" s="25"/>
      <x:c r="R208" s="25"/>
      <x:c r="S208" s="39" t="str">
        <x:f>IF(A208="","",SUMIF('07_DUNG_CHO'!$B$6:$B$505,A208,'07_DUNG_CHO'!$E$6:$E$505))</x:f>
      </x:c>
      <x:c r="T208" s="39" t="str">
        <x:f>IF(A208="","",IF(N208="SETUP",0,MAX(0,(P208-O208)*1440-Q208-S208)))</x:f>
      </x:c>
      <x:c r="U208" s="25"/>
      <x:c r="V208" s="25"/>
      <x:c r="W208" s="25"/>
      <x:c r="X208" s="25"/>
      <x:c r="Y208" s="25"/>
      <x:c r="Z208" s="25"/>
      <x:c r="AA208" s="39" t="str">
        <x:f>IF(A208="","",U208-SUM(V208,X208:Z208))</x:f>
      </x:c>
      <x:c r="AB208" s="39" t="str">
        <x:f>IF(A208="","",IF(N208="SETUP",IFERROR(INDEX('04_KE_HOACH_CD'!$K$6:$K$305,MATCH(K208,'04_KE_HOACH_CD'!$G$6:$G$305,0)),0),IF(OR(N208="PRODUCTION",N208="REWORK"),IFERROR(INDEX('04_KE_HOACH_CD'!$L$6:$L$305,MATCH(K208,'04_KE_HOACH_CD'!$G$6:$G$305,0))*V208,0),0)))</x:f>
      </x:c>
      <x:c r="AC208" s="39" t="str">
        <x:f>IF(A208="","",MAX(0,(P208-O208)*1440-Q208))</x:f>
      </x:c>
      <x:c r="AD208" s="37" t="str">
        <x:f>IF(A208="","",IFERROR(AB208/AC208,0))</x:f>
      </x:c>
      <x:c r="AE208" s="33" t="str">
        <x:f>IF(A208="","",AC208/60*SUMIF(DM_NHAN_SU!$A$6:$A$105,L208,DM_NHAN_SU!$E$6:$E$105))</x:f>
      </x:c>
      <x:c r="AF208" s="33" t="str">
        <x:f>IF(A208="","",AC208/60*SUMIF(DM_MAY!$A$6:$A$105,M208,DM_MAY!$F$6:$F$105))</x:f>
      </x:c>
      <x:c r="AG208" s="33" t="str">
        <x:f>IF(A208="","",AE208+AF208)</x:f>
      </x:c>
      <x:c r="AH208" s="21"/>
      <x:c r="AI208" s="29" t="str">
        <x:f>IF(A208="","",IF(OR(B208="",D208="",E208="",I208="",L208="",N208="",O208="",P208=""),"Thiếu dữ liệu",IF(AND(OR(N208="PRODUCTION",N208="REWORK",N208="SETUP"),M208=""),"Thiếu máy",IF(P208&lt;O208,"Sai thời gian",IF(AA208&lt;&gt;0,"Sai cân đối SL","Hợp lệ")))))</x:f>
      </x:c>
      <x:c r="AJ208" s="21"/>
    </x:row>
    <x:row r="209">
      <x:c r="A209" s="21"/>
      <x:c r="B209" s="35"/>
      <x:c r="C209" s="21"/>
      <x:c r="D209" s="21"/>
      <x:c r="E209" s="21"/>
      <x:c r="F209" s="21"/>
      <x:c r="G209" s="21"/>
      <x:c r="H209" s="29" t="str">
        <x:f>IF(OR(D209="",E209=""),"",D209&amp;"|"&amp;E209&amp;"|"&amp;IF(F209="","00",F209)&amp;"|"&amp;IF(G209="","01",G209))</x:f>
      </x:c>
      <x:c r="I209" s="21"/>
      <x:c r="J209" s="29" t="str">
        <x:f>IF(K209="","",IFERROR(INDEX('04_KE_HOACH_CD'!$I$6:$I$305,MATCH(K209,'04_KE_HOACH_CD'!$G$6:$G$305,0)),""))</x:f>
      </x:c>
      <x:c r="K209" s="29" t="str">
        <x:f>IF(OR(H209="",I209=""),"",H209&amp;"|"&amp;TEXT(I209,"000"))</x:f>
      </x:c>
      <x:c r="L209" s="21"/>
      <x:c r="M209" s="21"/>
      <x:c r="N209" s="21"/>
      <x:c r="O209" s="43"/>
      <x:c r="P209" s="43"/>
      <x:c r="Q209" s="25"/>
      <x:c r="R209" s="25"/>
      <x:c r="S209" s="39" t="str">
        <x:f>IF(A209="","",SUMIF('07_DUNG_CHO'!$B$6:$B$505,A209,'07_DUNG_CHO'!$E$6:$E$505))</x:f>
      </x:c>
      <x:c r="T209" s="39" t="str">
        <x:f>IF(A209="","",IF(N209="SETUP",0,MAX(0,(P209-O209)*1440-Q209-S209)))</x:f>
      </x:c>
      <x:c r="U209" s="25"/>
      <x:c r="V209" s="25"/>
      <x:c r="W209" s="25"/>
      <x:c r="X209" s="25"/>
      <x:c r="Y209" s="25"/>
      <x:c r="Z209" s="25"/>
      <x:c r="AA209" s="39" t="str">
        <x:f>IF(A209="","",U209-SUM(V209,X209:Z209))</x:f>
      </x:c>
      <x:c r="AB209" s="39" t="str">
        <x:f>IF(A209="","",IF(N209="SETUP",IFERROR(INDEX('04_KE_HOACH_CD'!$K$6:$K$305,MATCH(K209,'04_KE_HOACH_CD'!$G$6:$G$305,0)),0),IF(OR(N209="PRODUCTION",N209="REWORK"),IFERROR(INDEX('04_KE_HOACH_CD'!$L$6:$L$305,MATCH(K209,'04_KE_HOACH_CD'!$G$6:$G$305,0))*V209,0),0)))</x:f>
      </x:c>
      <x:c r="AC209" s="39" t="str">
        <x:f>IF(A209="","",MAX(0,(P209-O209)*1440-Q209))</x:f>
      </x:c>
      <x:c r="AD209" s="37" t="str">
        <x:f>IF(A209="","",IFERROR(AB209/AC209,0))</x:f>
      </x:c>
      <x:c r="AE209" s="33" t="str">
        <x:f>IF(A209="","",AC209/60*SUMIF(DM_NHAN_SU!$A$6:$A$105,L209,DM_NHAN_SU!$E$6:$E$105))</x:f>
      </x:c>
      <x:c r="AF209" s="33" t="str">
        <x:f>IF(A209="","",AC209/60*SUMIF(DM_MAY!$A$6:$A$105,M209,DM_MAY!$F$6:$F$105))</x:f>
      </x:c>
      <x:c r="AG209" s="33" t="str">
        <x:f>IF(A209="","",AE209+AF209)</x:f>
      </x:c>
      <x:c r="AH209" s="21"/>
      <x:c r="AI209" s="29" t="str">
        <x:f>IF(A209="","",IF(OR(B209="",D209="",E209="",I209="",L209="",N209="",O209="",P209=""),"Thiếu dữ liệu",IF(AND(OR(N209="PRODUCTION",N209="REWORK",N209="SETUP"),M209=""),"Thiếu máy",IF(P209&lt;O209,"Sai thời gian",IF(AA209&lt;&gt;0,"Sai cân đối SL","Hợp lệ")))))</x:f>
      </x:c>
      <x:c r="AJ209" s="21"/>
    </x:row>
    <x:row r="210">
      <x:c r="A210" s="21"/>
      <x:c r="B210" s="35"/>
      <x:c r="C210" s="21"/>
      <x:c r="D210" s="21"/>
      <x:c r="E210" s="21"/>
      <x:c r="F210" s="21"/>
      <x:c r="G210" s="21"/>
      <x:c r="H210" s="29" t="str">
        <x:f>IF(OR(D210="",E210=""),"",D210&amp;"|"&amp;E210&amp;"|"&amp;IF(F210="","00",F210)&amp;"|"&amp;IF(G210="","01",G210))</x:f>
      </x:c>
      <x:c r="I210" s="21"/>
      <x:c r="J210" s="29" t="str">
        <x:f>IF(K210="","",IFERROR(INDEX('04_KE_HOACH_CD'!$I$6:$I$305,MATCH(K210,'04_KE_HOACH_CD'!$G$6:$G$305,0)),""))</x:f>
      </x:c>
      <x:c r="K210" s="29" t="str">
        <x:f>IF(OR(H210="",I210=""),"",H210&amp;"|"&amp;TEXT(I210,"000"))</x:f>
      </x:c>
      <x:c r="L210" s="21"/>
      <x:c r="M210" s="21"/>
      <x:c r="N210" s="21"/>
      <x:c r="O210" s="43"/>
      <x:c r="P210" s="43"/>
      <x:c r="Q210" s="25"/>
      <x:c r="R210" s="25"/>
      <x:c r="S210" s="39" t="str">
        <x:f>IF(A210="","",SUMIF('07_DUNG_CHO'!$B$6:$B$505,A210,'07_DUNG_CHO'!$E$6:$E$505))</x:f>
      </x:c>
      <x:c r="T210" s="39" t="str">
        <x:f>IF(A210="","",IF(N210="SETUP",0,MAX(0,(P210-O210)*1440-Q210-S210)))</x:f>
      </x:c>
      <x:c r="U210" s="25"/>
      <x:c r="V210" s="25"/>
      <x:c r="W210" s="25"/>
      <x:c r="X210" s="25"/>
      <x:c r="Y210" s="25"/>
      <x:c r="Z210" s="25"/>
      <x:c r="AA210" s="39" t="str">
        <x:f>IF(A210="","",U210-SUM(V210,X210:Z210))</x:f>
      </x:c>
      <x:c r="AB210" s="39" t="str">
        <x:f>IF(A210="","",IF(N210="SETUP",IFERROR(INDEX('04_KE_HOACH_CD'!$K$6:$K$305,MATCH(K210,'04_KE_HOACH_CD'!$G$6:$G$305,0)),0),IF(OR(N210="PRODUCTION",N210="REWORK"),IFERROR(INDEX('04_KE_HOACH_CD'!$L$6:$L$305,MATCH(K210,'04_KE_HOACH_CD'!$G$6:$G$305,0))*V210,0),0)))</x:f>
      </x:c>
      <x:c r="AC210" s="39" t="str">
        <x:f>IF(A210="","",MAX(0,(P210-O210)*1440-Q210))</x:f>
      </x:c>
      <x:c r="AD210" s="37" t="str">
        <x:f>IF(A210="","",IFERROR(AB210/AC210,0))</x:f>
      </x:c>
      <x:c r="AE210" s="33" t="str">
        <x:f>IF(A210="","",AC210/60*SUMIF(DM_NHAN_SU!$A$6:$A$105,L210,DM_NHAN_SU!$E$6:$E$105))</x:f>
      </x:c>
      <x:c r="AF210" s="33" t="str">
        <x:f>IF(A210="","",AC210/60*SUMIF(DM_MAY!$A$6:$A$105,M210,DM_MAY!$F$6:$F$105))</x:f>
      </x:c>
      <x:c r="AG210" s="33" t="str">
        <x:f>IF(A210="","",AE210+AF210)</x:f>
      </x:c>
      <x:c r="AH210" s="21"/>
      <x:c r="AI210" s="29" t="str">
        <x:f>IF(A210="","",IF(OR(B210="",D210="",E210="",I210="",L210="",N210="",O210="",P210=""),"Thiếu dữ liệu",IF(AND(OR(N210="PRODUCTION",N210="REWORK",N210="SETUP"),M210=""),"Thiếu máy",IF(P210&lt;O210,"Sai thời gian",IF(AA210&lt;&gt;0,"Sai cân đối SL","Hợp lệ")))))</x:f>
      </x:c>
      <x:c r="AJ210" s="21"/>
    </x:row>
    <x:row r="211">
      <x:c r="A211" s="21"/>
      <x:c r="B211" s="35"/>
      <x:c r="C211" s="21"/>
      <x:c r="D211" s="21"/>
      <x:c r="E211" s="21"/>
      <x:c r="F211" s="21"/>
      <x:c r="G211" s="21"/>
      <x:c r="H211" s="29" t="str">
        <x:f>IF(OR(D211="",E211=""),"",D211&amp;"|"&amp;E211&amp;"|"&amp;IF(F211="","00",F211)&amp;"|"&amp;IF(G211="","01",G211))</x:f>
      </x:c>
      <x:c r="I211" s="21"/>
      <x:c r="J211" s="29" t="str">
        <x:f>IF(K211="","",IFERROR(INDEX('04_KE_HOACH_CD'!$I$6:$I$305,MATCH(K211,'04_KE_HOACH_CD'!$G$6:$G$305,0)),""))</x:f>
      </x:c>
      <x:c r="K211" s="29" t="str">
        <x:f>IF(OR(H211="",I211=""),"",H211&amp;"|"&amp;TEXT(I211,"000"))</x:f>
      </x:c>
      <x:c r="L211" s="21"/>
      <x:c r="M211" s="21"/>
      <x:c r="N211" s="21"/>
      <x:c r="O211" s="43"/>
      <x:c r="P211" s="43"/>
      <x:c r="Q211" s="25"/>
      <x:c r="R211" s="25"/>
      <x:c r="S211" s="39" t="str">
        <x:f>IF(A211="","",SUMIF('07_DUNG_CHO'!$B$6:$B$505,A211,'07_DUNG_CHO'!$E$6:$E$505))</x:f>
      </x:c>
      <x:c r="T211" s="39" t="str">
        <x:f>IF(A211="","",IF(N211="SETUP",0,MAX(0,(P211-O211)*1440-Q211-S211)))</x:f>
      </x:c>
      <x:c r="U211" s="25"/>
      <x:c r="V211" s="25"/>
      <x:c r="W211" s="25"/>
      <x:c r="X211" s="25"/>
      <x:c r="Y211" s="25"/>
      <x:c r="Z211" s="25"/>
      <x:c r="AA211" s="39" t="str">
        <x:f>IF(A211="","",U211-SUM(V211,X211:Z211))</x:f>
      </x:c>
      <x:c r="AB211" s="39" t="str">
        <x:f>IF(A211="","",IF(N211="SETUP",IFERROR(INDEX('04_KE_HOACH_CD'!$K$6:$K$305,MATCH(K211,'04_KE_HOACH_CD'!$G$6:$G$305,0)),0),IF(OR(N211="PRODUCTION",N211="REWORK"),IFERROR(INDEX('04_KE_HOACH_CD'!$L$6:$L$305,MATCH(K211,'04_KE_HOACH_CD'!$G$6:$G$305,0))*V211,0),0)))</x:f>
      </x:c>
      <x:c r="AC211" s="39" t="str">
        <x:f>IF(A211="","",MAX(0,(P211-O211)*1440-Q211))</x:f>
      </x:c>
      <x:c r="AD211" s="37" t="str">
        <x:f>IF(A211="","",IFERROR(AB211/AC211,0))</x:f>
      </x:c>
      <x:c r="AE211" s="33" t="str">
        <x:f>IF(A211="","",AC211/60*SUMIF(DM_NHAN_SU!$A$6:$A$105,L211,DM_NHAN_SU!$E$6:$E$105))</x:f>
      </x:c>
      <x:c r="AF211" s="33" t="str">
        <x:f>IF(A211="","",AC211/60*SUMIF(DM_MAY!$A$6:$A$105,M211,DM_MAY!$F$6:$F$105))</x:f>
      </x:c>
      <x:c r="AG211" s="33" t="str">
        <x:f>IF(A211="","",AE211+AF211)</x:f>
      </x:c>
      <x:c r="AH211" s="21"/>
      <x:c r="AI211" s="29" t="str">
        <x:f>IF(A211="","",IF(OR(B211="",D211="",E211="",I211="",L211="",N211="",O211="",P211=""),"Thiếu dữ liệu",IF(AND(OR(N211="PRODUCTION",N211="REWORK",N211="SETUP"),M211=""),"Thiếu máy",IF(P211&lt;O211,"Sai thời gian",IF(AA211&lt;&gt;0,"Sai cân đối SL","Hợp lệ")))))</x:f>
      </x:c>
      <x:c r="AJ211" s="21"/>
    </x:row>
    <x:row r="212">
      <x:c r="A212" s="21"/>
      <x:c r="B212" s="35"/>
      <x:c r="C212" s="21"/>
      <x:c r="D212" s="21"/>
      <x:c r="E212" s="21"/>
      <x:c r="F212" s="21"/>
      <x:c r="G212" s="21"/>
      <x:c r="H212" s="29" t="str">
        <x:f>IF(OR(D212="",E212=""),"",D212&amp;"|"&amp;E212&amp;"|"&amp;IF(F212="","00",F212)&amp;"|"&amp;IF(G212="","01",G212))</x:f>
      </x:c>
      <x:c r="I212" s="21"/>
      <x:c r="J212" s="29" t="str">
        <x:f>IF(K212="","",IFERROR(INDEX('04_KE_HOACH_CD'!$I$6:$I$305,MATCH(K212,'04_KE_HOACH_CD'!$G$6:$G$305,0)),""))</x:f>
      </x:c>
      <x:c r="K212" s="29" t="str">
        <x:f>IF(OR(H212="",I212=""),"",H212&amp;"|"&amp;TEXT(I212,"000"))</x:f>
      </x:c>
      <x:c r="L212" s="21"/>
      <x:c r="M212" s="21"/>
      <x:c r="N212" s="21"/>
      <x:c r="O212" s="43"/>
      <x:c r="P212" s="43"/>
      <x:c r="Q212" s="25"/>
      <x:c r="R212" s="25"/>
      <x:c r="S212" s="39" t="str">
        <x:f>IF(A212="","",SUMIF('07_DUNG_CHO'!$B$6:$B$505,A212,'07_DUNG_CHO'!$E$6:$E$505))</x:f>
      </x:c>
      <x:c r="T212" s="39" t="str">
        <x:f>IF(A212="","",IF(N212="SETUP",0,MAX(0,(P212-O212)*1440-Q212-S212)))</x:f>
      </x:c>
      <x:c r="U212" s="25"/>
      <x:c r="V212" s="25"/>
      <x:c r="W212" s="25"/>
      <x:c r="X212" s="25"/>
      <x:c r="Y212" s="25"/>
      <x:c r="Z212" s="25"/>
      <x:c r="AA212" s="39" t="str">
        <x:f>IF(A212="","",U212-SUM(V212,X212:Z212))</x:f>
      </x:c>
      <x:c r="AB212" s="39" t="str">
        <x:f>IF(A212="","",IF(N212="SETUP",IFERROR(INDEX('04_KE_HOACH_CD'!$K$6:$K$305,MATCH(K212,'04_KE_HOACH_CD'!$G$6:$G$305,0)),0),IF(OR(N212="PRODUCTION",N212="REWORK"),IFERROR(INDEX('04_KE_HOACH_CD'!$L$6:$L$305,MATCH(K212,'04_KE_HOACH_CD'!$G$6:$G$305,0))*V212,0),0)))</x:f>
      </x:c>
      <x:c r="AC212" s="39" t="str">
        <x:f>IF(A212="","",MAX(0,(P212-O212)*1440-Q212))</x:f>
      </x:c>
      <x:c r="AD212" s="37" t="str">
        <x:f>IF(A212="","",IFERROR(AB212/AC212,0))</x:f>
      </x:c>
      <x:c r="AE212" s="33" t="str">
        <x:f>IF(A212="","",AC212/60*SUMIF(DM_NHAN_SU!$A$6:$A$105,L212,DM_NHAN_SU!$E$6:$E$105))</x:f>
      </x:c>
      <x:c r="AF212" s="33" t="str">
        <x:f>IF(A212="","",AC212/60*SUMIF(DM_MAY!$A$6:$A$105,M212,DM_MAY!$F$6:$F$105))</x:f>
      </x:c>
      <x:c r="AG212" s="33" t="str">
        <x:f>IF(A212="","",AE212+AF212)</x:f>
      </x:c>
      <x:c r="AH212" s="21"/>
      <x:c r="AI212" s="29" t="str">
        <x:f>IF(A212="","",IF(OR(B212="",D212="",E212="",I212="",L212="",N212="",O212="",P212=""),"Thiếu dữ liệu",IF(AND(OR(N212="PRODUCTION",N212="REWORK",N212="SETUP"),M212=""),"Thiếu máy",IF(P212&lt;O212,"Sai thời gian",IF(AA212&lt;&gt;0,"Sai cân đối SL","Hợp lệ")))))</x:f>
      </x:c>
      <x:c r="AJ212" s="21"/>
    </x:row>
    <x:row r="213">
      <x:c r="A213" s="21"/>
      <x:c r="B213" s="35"/>
      <x:c r="C213" s="21"/>
      <x:c r="D213" s="21"/>
      <x:c r="E213" s="21"/>
      <x:c r="F213" s="21"/>
      <x:c r="G213" s="21"/>
      <x:c r="H213" s="29" t="str">
        <x:f>IF(OR(D213="",E213=""),"",D213&amp;"|"&amp;E213&amp;"|"&amp;IF(F213="","00",F213)&amp;"|"&amp;IF(G213="","01",G213))</x:f>
      </x:c>
      <x:c r="I213" s="21"/>
      <x:c r="J213" s="29" t="str">
        <x:f>IF(K213="","",IFERROR(INDEX('04_KE_HOACH_CD'!$I$6:$I$305,MATCH(K213,'04_KE_HOACH_CD'!$G$6:$G$305,0)),""))</x:f>
      </x:c>
      <x:c r="K213" s="29" t="str">
        <x:f>IF(OR(H213="",I213=""),"",H213&amp;"|"&amp;TEXT(I213,"000"))</x:f>
      </x:c>
      <x:c r="L213" s="21"/>
      <x:c r="M213" s="21"/>
      <x:c r="N213" s="21"/>
      <x:c r="O213" s="43"/>
      <x:c r="P213" s="43"/>
      <x:c r="Q213" s="25"/>
      <x:c r="R213" s="25"/>
      <x:c r="S213" s="39" t="str">
        <x:f>IF(A213="","",SUMIF('07_DUNG_CHO'!$B$6:$B$505,A213,'07_DUNG_CHO'!$E$6:$E$505))</x:f>
      </x:c>
      <x:c r="T213" s="39" t="str">
        <x:f>IF(A213="","",IF(N213="SETUP",0,MAX(0,(P213-O213)*1440-Q213-S213)))</x:f>
      </x:c>
      <x:c r="U213" s="25"/>
      <x:c r="V213" s="25"/>
      <x:c r="W213" s="25"/>
      <x:c r="X213" s="25"/>
      <x:c r="Y213" s="25"/>
      <x:c r="Z213" s="25"/>
      <x:c r="AA213" s="39" t="str">
        <x:f>IF(A213="","",U213-SUM(V213,X213:Z213))</x:f>
      </x:c>
      <x:c r="AB213" s="39" t="str">
        <x:f>IF(A213="","",IF(N213="SETUP",IFERROR(INDEX('04_KE_HOACH_CD'!$K$6:$K$305,MATCH(K213,'04_KE_HOACH_CD'!$G$6:$G$305,0)),0),IF(OR(N213="PRODUCTION",N213="REWORK"),IFERROR(INDEX('04_KE_HOACH_CD'!$L$6:$L$305,MATCH(K213,'04_KE_HOACH_CD'!$G$6:$G$305,0))*V213,0),0)))</x:f>
      </x:c>
      <x:c r="AC213" s="39" t="str">
        <x:f>IF(A213="","",MAX(0,(P213-O213)*1440-Q213))</x:f>
      </x:c>
      <x:c r="AD213" s="37" t="str">
        <x:f>IF(A213="","",IFERROR(AB213/AC213,0))</x:f>
      </x:c>
      <x:c r="AE213" s="33" t="str">
        <x:f>IF(A213="","",AC213/60*SUMIF(DM_NHAN_SU!$A$6:$A$105,L213,DM_NHAN_SU!$E$6:$E$105))</x:f>
      </x:c>
      <x:c r="AF213" s="33" t="str">
        <x:f>IF(A213="","",AC213/60*SUMIF(DM_MAY!$A$6:$A$105,M213,DM_MAY!$F$6:$F$105))</x:f>
      </x:c>
      <x:c r="AG213" s="33" t="str">
        <x:f>IF(A213="","",AE213+AF213)</x:f>
      </x:c>
      <x:c r="AH213" s="21"/>
      <x:c r="AI213" s="29" t="str">
        <x:f>IF(A213="","",IF(OR(B213="",D213="",E213="",I213="",L213="",N213="",O213="",P213=""),"Thiếu dữ liệu",IF(AND(OR(N213="PRODUCTION",N213="REWORK",N213="SETUP"),M213=""),"Thiếu máy",IF(P213&lt;O213,"Sai thời gian",IF(AA213&lt;&gt;0,"Sai cân đối SL","Hợp lệ")))))</x:f>
      </x:c>
      <x:c r="AJ213" s="21"/>
    </x:row>
    <x:row r="214">
      <x:c r="A214" s="21"/>
      <x:c r="B214" s="35"/>
      <x:c r="C214" s="21"/>
      <x:c r="D214" s="21"/>
      <x:c r="E214" s="21"/>
      <x:c r="F214" s="21"/>
      <x:c r="G214" s="21"/>
      <x:c r="H214" s="29" t="str">
        <x:f>IF(OR(D214="",E214=""),"",D214&amp;"|"&amp;E214&amp;"|"&amp;IF(F214="","00",F214)&amp;"|"&amp;IF(G214="","01",G214))</x:f>
      </x:c>
      <x:c r="I214" s="21"/>
      <x:c r="J214" s="29" t="str">
        <x:f>IF(K214="","",IFERROR(INDEX('04_KE_HOACH_CD'!$I$6:$I$305,MATCH(K214,'04_KE_HOACH_CD'!$G$6:$G$305,0)),""))</x:f>
      </x:c>
      <x:c r="K214" s="29" t="str">
        <x:f>IF(OR(H214="",I214=""),"",H214&amp;"|"&amp;TEXT(I214,"000"))</x:f>
      </x:c>
      <x:c r="L214" s="21"/>
      <x:c r="M214" s="21"/>
      <x:c r="N214" s="21"/>
      <x:c r="O214" s="43"/>
      <x:c r="P214" s="43"/>
      <x:c r="Q214" s="25"/>
      <x:c r="R214" s="25"/>
      <x:c r="S214" s="39" t="str">
        <x:f>IF(A214="","",SUMIF('07_DUNG_CHO'!$B$6:$B$505,A214,'07_DUNG_CHO'!$E$6:$E$505))</x:f>
      </x:c>
      <x:c r="T214" s="39" t="str">
        <x:f>IF(A214="","",IF(N214="SETUP",0,MAX(0,(P214-O214)*1440-Q214-S214)))</x:f>
      </x:c>
      <x:c r="U214" s="25"/>
      <x:c r="V214" s="25"/>
      <x:c r="W214" s="25"/>
      <x:c r="X214" s="25"/>
      <x:c r="Y214" s="25"/>
      <x:c r="Z214" s="25"/>
      <x:c r="AA214" s="39" t="str">
        <x:f>IF(A214="","",U214-SUM(V214,X214:Z214))</x:f>
      </x:c>
      <x:c r="AB214" s="39" t="str">
        <x:f>IF(A214="","",IF(N214="SETUP",IFERROR(INDEX('04_KE_HOACH_CD'!$K$6:$K$305,MATCH(K214,'04_KE_HOACH_CD'!$G$6:$G$305,0)),0),IF(OR(N214="PRODUCTION",N214="REWORK"),IFERROR(INDEX('04_KE_HOACH_CD'!$L$6:$L$305,MATCH(K214,'04_KE_HOACH_CD'!$G$6:$G$305,0))*V214,0),0)))</x:f>
      </x:c>
      <x:c r="AC214" s="39" t="str">
        <x:f>IF(A214="","",MAX(0,(P214-O214)*1440-Q214))</x:f>
      </x:c>
      <x:c r="AD214" s="37" t="str">
        <x:f>IF(A214="","",IFERROR(AB214/AC214,0))</x:f>
      </x:c>
      <x:c r="AE214" s="33" t="str">
        <x:f>IF(A214="","",AC214/60*SUMIF(DM_NHAN_SU!$A$6:$A$105,L214,DM_NHAN_SU!$E$6:$E$105))</x:f>
      </x:c>
      <x:c r="AF214" s="33" t="str">
        <x:f>IF(A214="","",AC214/60*SUMIF(DM_MAY!$A$6:$A$105,M214,DM_MAY!$F$6:$F$105))</x:f>
      </x:c>
      <x:c r="AG214" s="33" t="str">
        <x:f>IF(A214="","",AE214+AF214)</x:f>
      </x:c>
      <x:c r="AH214" s="21"/>
      <x:c r="AI214" s="29" t="str">
        <x:f>IF(A214="","",IF(OR(B214="",D214="",E214="",I214="",L214="",N214="",O214="",P214=""),"Thiếu dữ liệu",IF(AND(OR(N214="PRODUCTION",N214="REWORK",N214="SETUP"),M214=""),"Thiếu máy",IF(P214&lt;O214,"Sai thời gian",IF(AA214&lt;&gt;0,"Sai cân đối SL","Hợp lệ")))))</x:f>
      </x:c>
      <x:c r="AJ214" s="21"/>
    </x:row>
    <x:row r="215">
      <x:c r="A215" s="21"/>
      <x:c r="B215" s="35"/>
      <x:c r="C215" s="21"/>
      <x:c r="D215" s="21"/>
      <x:c r="E215" s="21"/>
      <x:c r="F215" s="21"/>
      <x:c r="G215" s="21"/>
      <x:c r="H215" s="29" t="str">
        <x:f>IF(OR(D215="",E215=""),"",D215&amp;"|"&amp;E215&amp;"|"&amp;IF(F215="","00",F215)&amp;"|"&amp;IF(G215="","01",G215))</x:f>
      </x:c>
      <x:c r="I215" s="21"/>
      <x:c r="J215" s="29" t="str">
        <x:f>IF(K215="","",IFERROR(INDEX('04_KE_HOACH_CD'!$I$6:$I$305,MATCH(K215,'04_KE_HOACH_CD'!$G$6:$G$305,0)),""))</x:f>
      </x:c>
      <x:c r="K215" s="29" t="str">
        <x:f>IF(OR(H215="",I215=""),"",H215&amp;"|"&amp;TEXT(I215,"000"))</x:f>
      </x:c>
      <x:c r="L215" s="21"/>
      <x:c r="M215" s="21"/>
      <x:c r="N215" s="21"/>
      <x:c r="O215" s="43"/>
      <x:c r="P215" s="43"/>
      <x:c r="Q215" s="25"/>
      <x:c r="R215" s="25"/>
      <x:c r="S215" s="39" t="str">
        <x:f>IF(A215="","",SUMIF('07_DUNG_CHO'!$B$6:$B$505,A215,'07_DUNG_CHO'!$E$6:$E$505))</x:f>
      </x:c>
      <x:c r="T215" s="39" t="str">
        <x:f>IF(A215="","",IF(N215="SETUP",0,MAX(0,(P215-O215)*1440-Q215-S215)))</x:f>
      </x:c>
      <x:c r="U215" s="25"/>
      <x:c r="V215" s="25"/>
      <x:c r="W215" s="25"/>
      <x:c r="X215" s="25"/>
      <x:c r="Y215" s="25"/>
      <x:c r="Z215" s="25"/>
      <x:c r="AA215" s="39" t="str">
        <x:f>IF(A215="","",U215-SUM(V215,X215:Z215))</x:f>
      </x:c>
      <x:c r="AB215" s="39" t="str">
        <x:f>IF(A215="","",IF(N215="SETUP",IFERROR(INDEX('04_KE_HOACH_CD'!$K$6:$K$305,MATCH(K215,'04_KE_HOACH_CD'!$G$6:$G$305,0)),0),IF(OR(N215="PRODUCTION",N215="REWORK"),IFERROR(INDEX('04_KE_HOACH_CD'!$L$6:$L$305,MATCH(K215,'04_KE_HOACH_CD'!$G$6:$G$305,0))*V215,0),0)))</x:f>
      </x:c>
      <x:c r="AC215" s="39" t="str">
        <x:f>IF(A215="","",MAX(0,(P215-O215)*1440-Q215))</x:f>
      </x:c>
      <x:c r="AD215" s="37" t="str">
        <x:f>IF(A215="","",IFERROR(AB215/AC215,0))</x:f>
      </x:c>
      <x:c r="AE215" s="33" t="str">
        <x:f>IF(A215="","",AC215/60*SUMIF(DM_NHAN_SU!$A$6:$A$105,L215,DM_NHAN_SU!$E$6:$E$105))</x:f>
      </x:c>
      <x:c r="AF215" s="33" t="str">
        <x:f>IF(A215="","",AC215/60*SUMIF(DM_MAY!$A$6:$A$105,M215,DM_MAY!$F$6:$F$105))</x:f>
      </x:c>
      <x:c r="AG215" s="33" t="str">
        <x:f>IF(A215="","",AE215+AF215)</x:f>
      </x:c>
      <x:c r="AH215" s="21"/>
      <x:c r="AI215" s="29" t="str">
        <x:f>IF(A215="","",IF(OR(B215="",D215="",E215="",I215="",L215="",N215="",O215="",P215=""),"Thiếu dữ liệu",IF(AND(OR(N215="PRODUCTION",N215="REWORK",N215="SETUP"),M215=""),"Thiếu máy",IF(P215&lt;O215,"Sai thời gian",IF(AA215&lt;&gt;0,"Sai cân đối SL","Hợp lệ")))))</x:f>
      </x:c>
      <x:c r="AJ215" s="21"/>
    </x:row>
    <x:row r="216">
      <x:c r="A216" s="21"/>
      <x:c r="B216" s="35"/>
      <x:c r="C216" s="21"/>
      <x:c r="D216" s="21"/>
      <x:c r="E216" s="21"/>
      <x:c r="F216" s="21"/>
      <x:c r="G216" s="21"/>
      <x:c r="H216" s="29" t="str">
        <x:f>IF(OR(D216="",E216=""),"",D216&amp;"|"&amp;E216&amp;"|"&amp;IF(F216="","00",F216)&amp;"|"&amp;IF(G216="","01",G216))</x:f>
      </x:c>
      <x:c r="I216" s="21"/>
      <x:c r="J216" s="29" t="str">
        <x:f>IF(K216="","",IFERROR(INDEX('04_KE_HOACH_CD'!$I$6:$I$305,MATCH(K216,'04_KE_HOACH_CD'!$G$6:$G$305,0)),""))</x:f>
      </x:c>
      <x:c r="K216" s="29" t="str">
        <x:f>IF(OR(H216="",I216=""),"",H216&amp;"|"&amp;TEXT(I216,"000"))</x:f>
      </x:c>
      <x:c r="L216" s="21"/>
      <x:c r="M216" s="21"/>
      <x:c r="N216" s="21"/>
      <x:c r="O216" s="43"/>
      <x:c r="P216" s="43"/>
      <x:c r="Q216" s="25"/>
      <x:c r="R216" s="25"/>
      <x:c r="S216" s="39" t="str">
        <x:f>IF(A216="","",SUMIF('07_DUNG_CHO'!$B$6:$B$505,A216,'07_DUNG_CHO'!$E$6:$E$505))</x:f>
      </x:c>
      <x:c r="T216" s="39" t="str">
        <x:f>IF(A216="","",IF(N216="SETUP",0,MAX(0,(P216-O216)*1440-Q216-S216)))</x:f>
      </x:c>
      <x:c r="U216" s="25"/>
      <x:c r="V216" s="25"/>
      <x:c r="W216" s="25"/>
      <x:c r="X216" s="25"/>
      <x:c r="Y216" s="25"/>
      <x:c r="Z216" s="25"/>
      <x:c r="AA216" s="39" t="str">
        <x:f>IF(A216="","",U216-SUM(V216,X216:Z216))</x:f>
      </x:c>
      <x:c r="AB216" s="39" t="str">
        <x:f>IF(A216="","",IF(N216="SETUP",IFERROR(INDEX('04_KE_HOACH_CD'!$K$6:$K$305,MATCH(K216,'04_KE_HOACH_CD'!$G$6:$G$305,0)),0),IF(OR(N216="PRODUCTION",N216="REWORK"),IFERROR(INDEX('04_KE_HOACH_CD'!$L$6:$L$305,MATCH(K216,'04_KE_HOACH_CD'!$G$6:$G$305,0))*V216,0),0)))</x:f>
      </x:c>
      <x:c r="AC216" s="39" t="str">
        <x:f>IF(A216="","",MAX(0,(P216-O216)*1440-Q216))</x:f>
      </x:c>
      <x:c r="AD216" s="37" t="str">
        <x:f>IF(A216="","",IFERROR(AB216/AC216,0))</x:f>
      </x:c>
      <x:c r="AE216" s="33" t="str">
        <x:f>IF(A216="","",AC216/60*SUMIF(DM_NHAN_SU!$A$6:$A$105,L216,DM_NHAN_SU!$E$6:$E$105))</x:f>
      </x:c>
      <x:c r="AF216" s="33" t="str">
        <x:f>IF(A216="","",AC216/60*SUMIF(DM_MAY!$A$6:$A$105,M216,DM_MAY!$F$6:$F$105))</x:f>
      </x:c>
      <x:c r="AG216" s="33" t="str">
        <x:f>IF(A216="","",AE216+AF216)</x:f>
      </x:c>
      <x:c r="AH216" s="21"/>
      <x:c r="AI216" s="29" t="str">
        <x:f>IF(A216="","",IF(OR(B216="",D216="",E216="",I216="",L216="",N216="",O216="",P216=""),"Thiếu dữ liệu",IF(AND(OR(N216="PRODUCTION",N216="REWORK",N216="SETUP"),M216=""),"Thiếu máy",IF(P216&lt;O216,"Sai thời gian",IF(AA216&lt;&gt;0,"Sai cân đối SL","Hợp lệ")))))</x:f>
      </x:c>
      <x:c r="AJ216" s="21"/>
    </x:row>
    <x:row r="217">
      <x:c r="A217" s="21"/>
      <x:c r="B217" s="35"/>
      <x:c r="C217" s="21"/>
      <x:c r="D217" s="21"/>
      <x:c r="E217" s="21"/>
      <x:c r="F217" s="21"/>
      <x:c r="G217" s="21"/>
      <x:c r="H217" s="29" t="str">
        <x:f>IF(OR(D217="",E217=""),"",D217&amp;"|"&amp;E217&amp;"|"&amp;IF(F217="","00",F217)&amp;"|"&amp;IF(G217="","01",G217))</x:f>
      </x:c>
      <x:c r="I217" s="21"/>
      <x:c r="J217" s="29" t="str">
        <x:f>IF(K217="","",IFERROR(INDEX('04_KE_HOACH_CD'!$I$6:$I$305,MATCH(K217,'04_KE_HOACH_CD'!$G$6:$G$305,0)),""))</x:f>
      </x:c>
      <x:c r="K217" s="29" t="str">
        <x:f>IF(OR(H217="",I217=""),"",H217&amp;"|"&amp;TEXT(I217,"000"))</x:f>
      </x:c>
      <x:c r="L217" s="21"/>
      <x:c r="M217" s="21"/>
      <x:c r="N217" s="21"/>
      <x:c r="O217" s="43"/>
      <x:c r="P217" s="43"/>
      <x:c r="Q217" s="25"/>
      <x:c r="R217" s="25"/>
      <x:c r="S217" s="39" t="str">
        <x:f>IF(A217="","",SUMIF('07_DUNG_CHO'!$B$6:$B$505,A217,'07_DUNG_CHO'!$E$6:$E$505))</x:f>
      </x:c>
      <x:c r="T217" s="39" t="str">
        <x:f>IF(A217="","",IF(N217="SETUP",0,MAX(0,(P217-O217)*1440-Q217-S217)))</x:f>
      </x:c>
      <x:c r="U217" s="25"/>
      <x:c r="V217" s="25"/>
      <x:c r="W217" s="25"/>
      <x:c r="X217" s="25"/>
      <x:c r="Y217" s="25"/>
      <x:c r="Z217" s="25"/>
      <x:c r="AA217" s="39" t="str">
        <x:f>IF(A217="","",U217-SUM(V217,X217:Z217))</x:f>
      </x:c>
      <x:c r="AB217" s="39" t="str">
        <x:f>IF(A217="","",IF(N217="SETUP",IFERROR(INDEX('04_KE_HOACH_CD'!$K$6:$K$305,MATCH(K217,'04_KE_HOACH_CD'!$G$6:$G$305,0)),0),IF(OR(N217="PRODUCTION",N217="REWORK"),IFERROR(INDEX('04_KE_HOACH_CD'!$L$6:$L$305,MATCH(K217,'04_KE_HOACH_CD'!$G$6:$G$305,0))*V217,0),0)))</x:f>
      </x:c>
      <x:c r="AC217" s="39" t="str">
        <x:f>IF(A217="","",MAX(0,(P217-O217)*1440-Q217))</x:f>
      </x:c>
      <x:c r="AD217" s="37" t="str">
        <x:f>IF(A217="","",IFERROR(AB217/AC217,0))</x:f>
      </x:c>
      <x:c r="AE217" s="33" t="str">
        <x:f>IF(A217="","",AC217/60*SUMIF(DM_NHAN_SU!$A$6:$A$105,L217,DM_NHAN_SU!$E$6:$E$105))</x:f>
      </x:c>
      <x:c r="AF217" s="33" t="str">
        <x:f>IF(A217="","",AC217/60*SUMIF(DM_MAY!$A$6:$A$105,M217,DM_MAY!$F$6:$F$105))</x:f>
      </x:c>
      <x:c r="AG217" s="33" t="str">
        <x:f>IF(A217="","",AE217+AF217)</x:f>
      </x:c>
      <x:c r="AH217" s="21"/>
      <x:c r="AI217" s="29" t="str">
        <x:f>IF(A217="","",IF(OR(B217="",D217="",E217="",I217="",L217="",N217="",O217="",P217=""),"Thiếu dữ liệu",IF(AND(OR(N217="PRODUCTION",N217="REWORK",N217="SETUP"),M217=""),"Thiếu máy",IF(P217&lt;O217,"Sai thời gian",IF(AA217&lt;&gt;0,"Sai cân đối SL","Hợp lệ")))))</x:f>
      </x:c>
      <x:c r="AJ217" s="21"/>
    </x:row>
    <x:row r="218">
      <x:c r="A218" s="21"/>
      <x:c r="B218" s="35"/>
      <x:c r="C218" s="21"/>
      <x:c r="D218" s="21"/>
      <x:c r="E218" s="21"/>
      <x:c r="F218" s="21"/>
      <x:c r="G218" s="21"/>
      <x:c r="H218" s="29" t="str">
        <x:f>IF(OR(D218="",E218=""),"",D218&amp;"|"&amp;E218&amp;"|"&amp;IF(F218="","00",F218)&amp;"|"&amp;IF(G218="","01",G218))</x:f>
      </x:c>
      <x:c r="I218" s="21"/>
      <x:c r="J218" s="29" t="str">
        <x:f>IF(K218="","",IFERROR(INDEX('04_KE_HOACH_CD'!$I$6:$I$305,MATCH(K218,'04_KE_HOACH_CD'!$G$6:$G$305,0)),""))</x:f>
      </x:c>
      <x:c r="K218" s="29" t="str">
        <x:f>IF(OR(H218="",I218=""),"",H218&amp;"|"&amp;TEXT(I218,"000"))</x:f>
      </x:c>
      <x:c r="L218" s="21"/>
      <x:c r="M218" s="21"/>
      <x:c r="N218" s="21"/>
      <x:c r="O218" s="43"/>
      <x:c r="P218" s="43"/>
      <x:c r="Q218" s="25"/>
      <x:c r="R218" s="25"/>
      <x:c r="S218" s="39" t="str">
        <x:f>IF(A218="","",SUMIF('07_DUNG_CHO'!$B$6:$B$505,A218,'07_DUNG_CHO'!$E$6:$E$505))</x:f>
      </x:c>
      <x:c r="T218" s="39" t="str">
        <x:f>IF(A218="","",IF(N218="SETUP",0,MAX(0,(P218-O218)*1440-Q218-S218)))</x:f>
      </x:c>
      <x:c r="U218" s="25"/>
      <x:c r="V218" s="25"/>
      <x:c r="W218" s="25"/>
      <x:c r="X218" s="25"/>
      <x:c r="Y218" s="25"/>
      <x:c r="Z218" s="25"/>
      <x:c r="AA218" s="39" t="str">
        <x:f>IF(A218="","",U218-SUM(V218,X218:Z218))</x:f>
      </x:c>
      <x:c r="AB218" s="39" t="str">
        <x:f>IF(A218="","",IF(N218="SETUP",IFERROR(INDEX('04_KE_HOACH_CD'!$K$6:$K$305,MATCH(K218,'04_KE_HOACH_CD'!$G$6:$G$305,0)),0),IF(OR(N218="PRODUCTION",N218="REWORK"),IFERROR(INDEX('04_KE_HOACH_CD'!$L$6:$L$305,MATCH(K218,'04_KE_HOACH_CD'!$G$6:$G$305,0))*V218,0),0)))</x:f>
      </x:c>
      <x:c r="AC218" s="39" t="str">
        <x:f>IF(A218="","",MAX(0,(P218-O218)*1440-Q218))</x:f>
      </x:c>
      <x:c r="AD218" s="37" t="str">
        <x:f>IF(A218="","",IFERROR(AB218/AC218,0))</x:f>
      </x:c>
      <x:c r="AE218" s="33" t="str">
        <x:f>IF(A218="","",AC218/60*SUMIF(DM_NHAN_SU!$A$6:$A$105,L218,DM_NHAN_SU!$E$6:$E$105))</x:f>
      </x:c>
      <x:c r="AF218" s="33" t="str">
        <x:f>IF(A218="","",AC218/60*SUMIF(DM_MAY!$A$6:$A$105,M218,DM_MAY!$F$6:$F$105))</x:f>
      </x:c>
      <x:c r="AG218" s="33" t="str">
        <x:f>IF(A218="","",AE218+AF218)</x:f>
      </x:c>
      <x:c r="AH218" s="21"/>
      <x:c r="AI218" s="29" t="str">
        <x:f>IF(A218="","",IF(OR(B218="",D218="",E218="",I218="",L218="",N218="",O218="",P218=""),"Thiếu dữ liệu",IF(AND(OR(N218="PRODUCTION",N218="REWORK",N218="SETUP"),M218=""),"Thiếu máy",IF(P218&lt;O218,"Sai thời gian",IF(AA218&lt;&gt;0,"Sai cân đối SL","Hợp lệ")))))</x:f>
      </x:c>
      <x:c r="AJ218" s="21"/>
    </x:row>
    <x:row r="219">
      <x:c r="A219" s="21"/>
      <x:c r="B219" s="35"/>
      <x:c r="C219" s="21"/>
      <x:c r="D219" s="21"/>
      <x:c r="E219" s="21"/>
      <x:c r="F219" s="21"/>
      <x:c r="G219" s="21"/>
      <x:c r="H219" s="29" t="str">
        <x:f>IF(OR(D219="",E219=""),"",D219&amp;"|"&amp;E219&amp;"|"&amp;IF(F219="","00",F219)&amp;"|"&amp;IF(G219="","01",G219))</x:f>
      </x:c>
      <x:c r="I219" s="21"/>
      <x:c r="J219" s="29" t="str">
        <x:f>IF(K219="","",IFERROR(INDEX('04_KE_HOACH_CD'!$I$6:$I$305,MATCH(K219,'04_KE_HOACH_CD'!$G$6:$G$305,0)),""))</x:f>
      </x:c>
      <x:c r="K219" s="29" t="str">
        <x:f>IF(OR(H219="",I219=""),"",H219&amp;"|"&amp;TEXT(I219,"000"))</x:f>
      </x:c>
      <x:c r="L219" s="21"/>
      <x:c r="M219" s="21"/>
      <x:c r="N219" s="21"/>
      <x:c r="O219" s="43"/>
      <x:c r="P219" s="43"/>
      <x:c r="Q219" s="25"/>
      <x:c r="R219" s="25"/>
      <x:c r="S219" s="39" t="str">
        <x:f>IF(A219="","",SUMIF('07_DUNG_CHO'!$B$6:$B$505,A219,'07_DUNG_CHO'!$E$6:$E$505))</x:f>
      </x:c>
      <x:c r="T219" s="39" t="str">
        <x:f>IF(A219="","",IF(N219="SETUP",0,MAX(0,(P219-O219)*1440-Q219-S219)))</x:f>
      </x:c>
      <x:c r="U219" s="25"/>
      <x:c r="V219" s="25"/>
      <x:c r="W219" s="25"/>
      <x:c r="X219" s="25"/>
      <x:c r="Y219" s="25"/>
      <x:c r="Z219" s="25"/>
      <x:c r="AA219" s="39" t="str">
        <x:f>IF(A219="","",U219-SUM(V219,X219:Z219))</x:f>
      </x:c>
      <x:c r="AB219" s="39" t="str">
        <x:f>IF(A219="","",IF(N219="SETUP",IFERROR(INDEX('04_KE_HOACH_CD'!$K$6:$K$305,MATCH(K219,'04_KE_HOACH_CD'!$G$6:$G$305,0)),0),IF(OR(N219="PRODUCTION",N219="REWORK"),IFERROR(INDEX('04_KE_HOACH_CD'!$L$6:$L$305,MATCH(K219,'04_KE_HOACH_CD'!$G$6:$G$305,0))*V219,0),0)))</x:f>
      </x:c>
      <x:c r="AC219" s="39" t="str">
        <x:f>IF(A219="","",MAX(0,(P219-O219)*1440-Q219))</x:f>
      </x:c>
      <x:c r="AD219" s="37" t="str">
        <x:f>IF(A219="","",IFERROR(AB219/AC219,0))</x:f>
      </x:c>
      <x:c r="AE219" s="33" t="str">
        <x:f>IF(A219="","",AC219/60*SUMIF(DM_NHAN_SU!$A$6:$A$105,L219,DM_NHAN_SU!$E$6:$E$105))</x:f>
      </x:c>
      <x:c r="AF219" s="33" t="str">
        <x:f>IF(A219="","",AC219/60*SUMIF(DM_MAY!$A$6:$A$105,M219,DM_MAY!$F$6:$F$105))</x:f>
      </x:c>
      <x:c r="AG219" s="33" t="str">
        <x:f>IF(A219="","",AE219+AF219)</x:f>
      </x:c>
      <x:c r="AH219" s="21"/>
      <x:c r="AI219" s="29" t="str">
        <x:f>IF(A219="","",IF(OR(B219="",D219="",E219="",I219="",L219="",N219="",O219="",P219=""),"Thiếu dữ liệu",IF(AND(OR(N219="PRODUCTION",N219="REWORK",N219="SETUP"),M219=""),"Thiếu máy",IF(P219&lt;O219,"Sai thời gian",IF(AA219&lt;&gt;0,"Sai cân đối SL","Hợp lệ")))))</x:f>
      </x:c>
      <x:c r="AJ219" s="21"/>
    </x:row>
    <x:row r="220">
      <x:c r="A220" s="21"/>
      <x:c r="B220" s="35"/>
      <x:c r="C220" s="21"/>
      <x:c r="D220" s="21"/>
      <x:c r="E220" s="21"/>
      <x:c r="F220" s="21"/>
      <x:c r="G220" s="21"/>
      <x:c r="H220" s="29" t="str">
        <x:f>IF(OR(D220="",E220=""),"",D220&amp;"|"&amp;E220&amp;"|"&amp;IF(F220="","00",F220)&amp;"|"&amp;IF(G220="","01",G220))</x:f>
      </x:c>
      <x:c r="I220" s="21"/>
      <x:c r="J220" s="29" t="str">
        <x:f>IF(K220="","",IFERROR(INDEX('04_KE_HOACH_CD'!$I$6:$I$305,MATCH(K220,'04_KE_HOACH_CD'!$G$6:$G$305,0)),""))</x:f>
      </x:c>
      <x:c r="K220" s="29" t="str">
        <x:f>IF(OR(H220="",I220=""),"",H220&amp;"|"&amp;TEXT(I220,"000"))</x:f>
      </x:c>
      <x:c r="L220" s="21"/>
      <x:c r="M220" s="21"/>
      <x:c r="N220" s="21"/>
      <x:c r="O220" s="43"/>
      <x:c r="P220" s="43"/>
      <x:c r="Q220" s="25"/>
      <x:c r="R220" s="25"/>
      <x:c r="S220" s="39" t="str">
        <x:f>IF(A220="","",SUMIF('07_DUNG_CHO'!$B$6:$B$505,A220,'07_DUNG_CHO'!$E$6:$E$505))</x:f>
      </x:c>
      <x:c r="T220" s="39" t="str">
        <x:f>IF(A220="","",IF(N220="SETUP",0,MAX(0,(P220-O220)*1440-Q220-S220)))</x:f>
      </x:c>
      <x:c r="U220" s="25"/>
      <x:c r="V220" s="25"/>
      <x:c r="W220" s="25"/>
      <x:c r="X220" s="25"/>
      <x:c r="Y220" s="25"/>
      <x:c r="Z220" s="25"/>
      <x:c r="AA220" s="39" t="str">
        <x:f>IF(A220="","",U220-SUM(V220,X220:Z220))</x:f>
      </x:c>
      <x:c r="AB220" s="39" t="str">
        <x:f>IF(A220="","",IF(N220="SETUP",IFERROR(INDEX('04_KE_HOACH_CD'!$K$6:$K$305,MATCH(K220,'04_KE_HOACH_CD'!$G$6:$G$305,0)),0),IF(OR(N220="PRODUCTION",N220="REWORK"),IFERROR(INDEX('04_KE_HOACH_CD'!$L$6:$L$305,MATCH(K220,'04_KE_HOACH_CD'!$G$6:$G$305,0))*V220,0),0)))</x:f>
      </x:c>
      <x:c r="AC220" s="39" t="str">
        <x:f>IF(A220="","",MAX(0,(P220-O220)*1440-Q220))</x:f>
      </x:c>
      <x:c r="AD220" s="37" t="str">
        <x:f>IF(A220="","",IFERROR(AB220/AC220,0))</x:f>
      </x:c>
      <x:c r="AE220" s="33" t="str">
        <x:f>IF(A220="","",AC220/60*SUMIF(DM_NHAN_SU!$A$6:$A$105,L220,DM_NHAN_SU!$E$6:$E$105))</x:f>
      </x:c>
      <x:c r="AF220" s="33" t="str">
        <x:f>IF(A220="","",AC220/60*SUMIF(DM_MAY!$A$6:$A$105,M220,DM_MAY!$F$6:$F$105))</x:f>
      </x:c>
      <x:c r="AG220" s="33" t="str">
        <x:f>IF(A220="","",AE220+AF220)</x:f>
      </x:c>
      <x:c r="AH220" s="21"/>
      <x:c r="AI220" s="29" t="str">
        <x:f>IF(A220="","",IF(OR(B220="",D220="",E220="",I220="",L220="",N220="",O220="",P220=""),"Thiếu dữ liệu",IF(AND(OR(N220="PRODUCTION",N220="REWORK",N220="SETUP"),M220=""),"Thiếu máy",IF(P220&lt;O220,"Sai thời gian",IF(AA220&lt;&gt;0,"Sai cân đối SL","Hợp lệ")))))</x:f>
      </x:c>
      <x:c r="AJ220" s="21"/>
    </x:row>
    <x:row r="221">
      <x:c r="A221" s="21"/>
      <x:c r="B221" s="35"/>
      <x:c r="C221" s="21"/>
      <x:c r="D221" s="21"/>
      <x:c r="E221" s="21"/>
      <x:c r="F221" s="21"/>
      <x:c r="G221" s="21"/>
      <x:c r="H221" s="29" t="str">
        <x:f>IF(OR(D221="",E221=""),"",D221&amp;"|"&amp;E221&amp;"|"&amp;IF(F221="","00",F221)&amp;"|"&amp;IF(G221="","01",G221))</x:f>
      </x:c>
      <x:c r="I221" s="21"/>
      <x:c r="J221" s="29" t="str">
        <x:f>IF(K221="","",IFERROR(INDEX('04_KE_HOACH_CD'!$I$6:$I$305,MATCH(K221,'04_KE_HOACH_CD'!$G$6:$G$305,0)),""))</x:f>
      </x:c>
      <x:c r="K221" s="29" t="str">
        <x:f>IF(OR(H221="",I221=""),"",H221&amp;"|"&amp;TEXT(I221,"000"))</x:f>
      </x:c>
      <x:c r="L221" s="21"/>
      <x:c r="M221" s="21"/>
      <x:c r="N221" s="21"/>
      <x:c r="O221" s="43"/>
      <x:c r="P221" s="43"/>
      <x:c r="Q221" s="25"/>
      <x:c r="R221" s="25"/>
      <x:c r="S221" s="39" t="str">
        <x:f>IF(A221="","",SUMIF('07_DUNG_CHO'!$B$6:$B$505,A221,'07_DUNG_CHO'!$E$6:$E$505))</x:f>
      </x:c>
      <x:c r="T221" s="39" t="str">
        <x:f>IF(A221="","",IF(N221="SETUP",0,MAX(0,(P221-O221)*1440-Q221-S221)))</x:f>
      </x:c>
      <x:c r="U221" s="25"/>
      <x:c r="V221" s="25"/>
      <x:c r="W221" s="25"/>
      <x:c r="X221" s="25"/>
      <x:c r="Y221" s="25"/>
      <x:c r="Z221" s="25"/>
      <x:c r="AA221" s="39" t="str">
        <x:f>IF(A221="","",U221-SUM(V221,X221:Z221))</x:f>
      </x:c>
      <x:c r="AB221" s="39" t="str">
        <x:f>IF(A221="","",IF(N221="SETUP",IFERROR(INDEX('04_KE_HOACH_CD'!$K$6:$K$305,MATCH(K221,'04_KE_HOACH_CD'!$G$6:$G$305,0)),0),IF(OR(N221="PRODUCTION",N221="REWORK"),IFERROR(INDEX('04_KE_HOACH_CD'!$L$6:$L$305,MATCH(K221,'04_KE_HOACH_CD'!$G$6:$G$305,0))*V221,0),0)))</x:f>
      </x:c>
      <x:c r="AC221" s="39" t="str">
        <x:f>IF(A221="","",MAX(0,(P221-O221)*1440-Q221))</x:f>
      </x:c>
      <x:c r="AD221" s="37" t="str">
        <x:f>IF(A221="","",IFERROR(AB221/AC221,0))</x:f>
      </x:c>
      <x:c r="AE221" s="33" t="str">
        <x:f>IF(A221="","",AC221/60*SUMIF(DM_NHAN_SU!$A$6:$A$105,L221,DM_NHAN_SU!$E$6:$E$105))</x:f>
      </x:c>
      <x:c r="AF221" s="33" t="str">
        <x:f>IF(A221="","",AC221/60*SUMIF(DM_MAY!$A$6:$A$105,M221,DM_MAY!$F$6:$F$105))</x:f>
      </x:c>
      <x:c r="AG221" s="33" t="str">
        <x:f>IF(A221="","",AE221+AF221)</x:f>
      </x:c>
      <x:c r="AH221" s="21"/>
      <x:c r="AI221" s="29" t="str">
        <x:f>IF(A221="","",IF(OR(B221="",D221="",E221="",I221="",L221="",N221="",O221="",P221=""),"Thiếu dữ liệu",IF(AND(OR(N221="PRODUCTION",N221="REWORK",N221="SETUP"),M221=""),"Thiếu máy",IF(P221&lt;O221,"Sai thời gian",IF(AA221&lt;&gt;0,"Sai cân đối SL","Hợp lệ")))))</x:f>
      </x:c>
      <x:c r="AJ221" s="21"/>
    </x:row>
    <x:row r="222">
      <x:c r="A222" s="21"/>
      <x:c r="B222" s="35"/>
      <x:c r="C222" s="21"/>
      <x:c r="D222" s="21"/>
      <x:c r="E222" s="21"/>
      <x:c r="F222" s="21"/>
      <x:c r="G222" s="21"/>
      <x:c r="H222" s="29" t="str">
        <x:f>IF(OR(D222="",E222=""),"",D222&amp;"|"&amp;E222&amp;"|"&amp;IF(F222="","00",F222)&amp;"|"&amp;IF(G222="","01",G222))</x:f>
      </x:c>
      <x:c r="I222" s="21"/>
      <x:c r="J222" s="29" t="str">
        <x:f>IF(K222="","",IFERROR(INDEX('04_KE_HOACH_CD'!$I$6:$I$305,MATCH(K222,'04_KE_HOACH_CD'!$G$6:$G$305,0)),""))</x:f>
      </x:c>
      <x:c r="K222" s="29" t="str">
        <x:f>IF(OR(H222="",I222=""),"",H222&amp;"|"&amp;TEXT(I222,"000"))</x:f>
      </x:c>
      <x:c r="L222" s="21"/>
      <x:c r="M222" s="21"/>
      <x:c r="N222" s="21"/>
      <x:c r="O222" s="43"/>
      <x:c r="P222" s="43"/>
      <x:c r="Q222" s="25"/>
      <x:c r="R222" s="25"/>
      <x:c r="S222" s="39" t="str">
        <x:f>IF(A222="","",SUMIF('07_DUNG_CHO'!$B$6:$B$505,A222,'07_DUNG_CHO'!$E$6:$E$505))</x:f>
      </x:c>
      <x:c r="T222" s="39" t="str">
        <x:f>IF(A222="","",IF(N222="SETUP",0,MAX(0,(P222-O222)*1440-Q222-S222)))</x:f>
      </x:c>
      <x:c r="U222" s="25"/>
      <x:c r="V222" s="25"/>
      <x:c r="W222" s="25"/>
      <x:c r="X222" s="25"/>
      <x:c r="Y222" s="25"/>
      <x:c r="Z222" s="25"/>
      <x:c r="AA222" s="39" t="str">
        <x:f>IF(A222="","",U222-SUM(V222,X222:Z222))</x:f>
      </x:c>
      <x:c r="AB222" s="39" t="str">
        <x:f>IF(A222="","",IF(N222="SETUP",IFERROR(INDEX('04_KE_HOACH_CD'!$K$6:$K$305,MATCH(K222,'04_KE_HOACH_CD'!$G$6:$G$305,0)),0),IF(OR(N222="PRODUCTION",N222="REWORK"),IFERROR(INDEX('04_KE_HOACH_CD'!$L$6:$L$305,MATCH(K222,'04_KE_HOACH_CD'!$G$6:$G$305,0))*V222,0),0)))</x:f>
      </x:c>
      <x:c r="AC222" s="39" t="str">
        <x:f>IF(A222="","",MAX(0,(P222-O222)*1440-Q222))</x:f>
      </x:c>
      <x:c r="AD222" s="37" t="str">
        <x:f>IF(A222="","",IFERROR(AB222/AC222,0))</x:f>
      </x:c>
      <x:c r="AE222" s="33" t="str">
        <x:f>IF(A222="","",AC222/60*SUMIF(DM_NHAN_SU!$A$6:$A$105,L222,DM_NHAN_SU!$E$6:$E$105))</x:f>
      </x:c>
      <x:c r="AF222" s="33" t="str">
        <x:f>IF(A222="","",AC222/60*SUMIF(DM_MAY!$A$6:$A$105,M222,DM_MAY!$F$6:$F$105))</x:f>
      </x:c>
      <x:c r="AG222" s="33" t="str">
        <x:f>IF(A222="","",AE222+AF222)</x:f>
      </x:c>
      <x:c r="AH222" s="21"/>
      <x:c r="AI222" s="29" t="str">
        <x:f>IF(A222="","",IF(OR(B222="",D222="",E222="",I222="",L222="",N222="",O222="",P222=""),"Thiếu dữ liệu",IF(AND(OR(N222="PRODUCTION",N222="REWORK",N222="SETUP"),M222=""),"Thiếu máy",IF(P222&lt;O222,"Sai thời gian",IF(AA222&lt;&gt;0,"Sai cân đối SL","Hợp lệ")))))</x:f>
      </x:c>
      <x:c r="AJ222" s="21"/>
    </x:row>
    <x:row r="223">
      <x:c r="A223" s="21"/>
      <x:c r="B223" s="35"/>
      <x:c r="C223" s="21"/>
      <x:c r="D223" s="21"/>
      <x:c r="E223" s="21"/>
      <x:c r="F223" s="21"/>
      <x:c r="G223" s="21"/>
      <x:c r="H223" s="29" t="str">
        <x:f>IF(OR(D223="",E223=""),"",D223&amp;"|"&amp;E223&amp;"|"&amp;IF(F223="","00",F223)&amp;"|"&amp;IF(G223="","01",G223))</x:f>
      </x:c>
      <x:c r="I223" s="21"/>
      <x:c r="J223" s="29" t="str">
        <x:f>IF(K223="","",IFERROR(INDEX('04_KE_HOACH_CD'!$I$6:$I$305,MATCH(K223,'04_KE_HOACH_CD'!$G$6:$G$305,0)),""))</x:f>
      </x:c>
      <x:c r="K223" s="29" t="str">
        <x:f>IF(OR(H223="",I223=""),"",H223&amp;"|"&amp;TEXT(I223,"000"))</x:f>
      </x:c>
      <x:c r="L223" s="21"/>
      <x:c r="M223" s="21"/>
      <x:c r="N223" s="21"/>
      <x:c r="O223" s="43"/>
      <x:c r="P223" s="43"/>
      <x:c r="Q223" s="25"/>
      <x:c r="R223" s="25"/>
      <x:c r="S223" s="39" t="str">
        <x:f>IF(A223="","",SUMIF('07_DUNG_CHO'!$B$6:$B$505,A223,'07_DUNG_CHO'!$E$6:$E$505))</x:f>
      </x:c>
      <x:c r="T223" s="39" t="str">
        <x:f>IF(A223="","",IF(N223="SETUP",0,MAX(0,(P223-O223)*1440-Q223-S223)))</x:f>
      </x:c>
      <x:c r="U223" s="25"/>
      <x:c r="V223" s="25"/>
      <x:c r="W223" s="25"/>
      <x:c r="X223" s="25"/>
      <x:c r="Y223" s="25"/>
      <x:c r="Z223" s="25"/>
      <x:c r="AA223" s="39" t="str">
        <x:f>IF(A223="","",U223-SUM(V223,X223:Z223))</x:f>
      </x:c>
      <x:c r="AB223" s="39" t="str">
        <x:f>IF(A223="","",IF(N223="SETUP",IFERROR(INDEX('04_KE_HOACH_CD'!$K$6:$K$305,MATCH(K223,'04_KE_HOACH_CD'!$G$6:$G$305,0)),0),IF(OR(N223="PRODUCTION",N223="REWORK"),IFERROR(INDEX('04_KE_HOACH_CD'!$L$6:$L$305,MATCH(K223,'04_KE_HOACH_CD'!$G$6:$G$305,0))*V223,0),0)))</x:f>
      </x:c>
      <x:c r="AC223" s="39" t="str">
        <x:f>IF(A223="","",MAX(0,(P223-O223)*1440-Q223))</x:f>
      </x:c>
      <x:c r="AD223" s="37" t="str">
        <x:f>IF(A223="","",IFERROR(AB223/AC223,0))</x:f>
      </x:c>
      <x:c r="AE223" s="33" t="str">
        <x:f>IF(A223="","",AC223/60*SUMIF(DM_NHAN_SU!$A$6:$A$105,L223,DM_NHAN_SU!$E$6:$E$105))</x:f>
      </x:c>
      <x:c r="AF223" s="33" t="str">
        <x:f>IF(A223="","",AC223/60*SUMIF(DM_MAY!$A$6:$A$105,M223,DM_MAY!$F$6:$F$105))</x:f>
      </x:c>
      <x:c r="AG223" s="33" t="str">
        <x:f>IF(A223="","",AE223+AF223)</x:f>
      </x:c>
      <x:c r="AH223" s="21"/>
      <x:c r="AI223" s="29" t="str">
        <x:f>IF(A223="","",IF(OR(B223="",D223="",E223="",I223="",L223="",N223="",O223="",P223=""),"Thiếu dữ liệu",IF(AND(OR(N223="PRODUCTION",N223="REWORK",N223="SETUP"),M223=""),"Thiếu máy",IF(P223&lt;O223,"Sai thời gian",IF(AA223&lt;&gt;0,"Sai cân đối SL","Hợp lệ")))))</x:f>
      </x:c>
      <x:c r="AJ223" s="21"/>
    </x:row>
    <x:row r="224">
      <x:c r="A224" s="21"/>
      <x:c r="B224" s="35"/>
      <x:c r="C224" s="21"/>
      <x:c r="D224" s="21"/>
      <x:c r="E224" s="21"/>
      <x:c r="F224" s="21"/>
      <x:c r="G224" s="21"/>
      <x:c r="H224" s="29" t="str">
        <x:f>IF(OR(D224="",E224=""),"",D224&amp;"|"&amp;E224&amp;"|"&amp;IF(F224="","00",F224)&amp;"|"&amp;IF(G224="","01",G224))</x:f>
      </x:c>
      <x:c r="I224" s="21"/>
      <x:c r="J224" s="29" t="str">
        <x:f>IF(K224="","",IFERROR(INDEX('04_KE_HOACH_CD'!$I$6:$I$305,MATCH(K224,'04_KE_HOACH_CD'!$G$6:$G$305,0)),""))</x:f>
      </x:c>
      <x:c r="K224" s="29" t="str">
        <x:f>IF(OR(H224="",I224=""),"",H224&amp;"|"&amp;TEXT(I224,"000"))</x:f>
      </x:c>
      <x:c r="L224" s="21"/>
      <x:c r="M224" s="21"/>
      <x:c r="N224" s="21"/>
      <x:c r="O224" s="43"/>
      <x:c r="P224" s="43"/>
      <x:c r="Q224" s="25"/>
      <x:c r="R224" s="25"/>
      <x:c r="S224" s="39" t="str">
        <x:f>IF(A224="","",SUMIF('07_DUNG_CHO'!$B$6:$B$505,A224,'07_DUNG_CHO'!$E$6:$E$505))</x:f>
      </x:c>
      <x:c r="T224" s="39" t="str">
        <x:f>IF(A224="","",IF(N224="SETUP",0,MAX(0,(P224-O224)*1440-Q224-S224)))</x:f>
      </x:c>
      <x:c r="U224" s="25"/>
      <x:c r="V224" s="25"/>
      <x:c r="W224" s="25"/>
      <x:c r="X224" s="25"/>
      <x:c r="Y224" s="25"/>
      <x:c r="Z224" s="25"/>
      <x:c r="AA224" s="39" t="str">
        <x:f>IF(A224="","",U224-SUM(V224,X224:Z224))</x:f>
      </x:c>
      <x:c r="AB224" s="39" t="str">
        <x:f>IF(A224="","",IF(N224="SETUP",IFERROR(INDEX('04_KE_HOACH_CD'!$K$6:$K$305,MATCH(K224,'04_KE_HOACH_CD'!$G$6:$G$305,0)),0),IF(OR(N224="PRODUCTION",N224="REWORK"),IFERROR(INDEX('04_KE_HOACH_CD'!$L$6:$L$305,MATCH(K224,'04_KE_HOACH_CD'!$G$6:$G$305,0))*V224,0),0)))</x:f>
      </x:c>
      <x:c r="AC224" s="39" t="str">
        <x:f>IF(A224="","",MAX(0,(P224-O224)*1440-Q224))</x:f>
      </x:c>
      <x:c r="AD224" s="37" t="str">
        <x:f>IF(A224="","",IFERROR(AB224/AC224,0))</x:f>
      </x:c>
      <x:c r="AE224" s="33" t="str">
        <x:f>IF(A224="","",AC224/60*SUMIF(DM_NHAN_SU!$A$6:$A$105,L224,DM_NHAN_SU!$E$6:$E$105))</x:f>
      </x:c>
      <x:c r="AF224" s="33" t="str">
        <x:f>IF(A224="","",AC224/60*SUMIF(DM_MAY!$A$6:$A$105,M224,DM_MAY!$F$6:$F$105))</x:f>
      </x:c>
      <x:c r="AG224" s="33" t="str">
        <x:f>IF(A224="","",AE224+AF224)</x:f>
      </x:c>
      <x:c r="AH224" s="21"/>
      <x:c r="AI224" s="29" t="str">
        <x:f>IF(A224="","",IF(OR(B224="",D224="",E224="",I224="",L224="",N224="",O224="",P224=""),"Thiếu dữ liệu",IF(AND(OR(N224="PRODUCTION",N224="REWORK",N224="SETUP"),M224=""),"Thiếu máy",IF(P224&lt;O224,"Sai thời gian",IF(AA224&lt;&gt;0,"Sai cân đối SL","Hợp lệ")))))</x:f>
      </x:c>
      <x:c r="AJ224" s="21"/>
    </x:row>
    <x:row r="225">
      <x:c r="A225" s="21"/>
      <x:c r="B225" s="35"/>
      <x:c r="C225" s="21"/>
      <x:c r="D225" s="21"/>
      <x:c r="E225" s="21"/>
      <x:c r="F225" s="21"/>
      <x:c r="G225" s="21"/>
      <x:c r="H225" s="29" t="str">
        <x:f>IF(OR(D225="",E225=""),"",D225&amp;"|"&amp;E225&amp;"|"&amp;IF(F225="","00",F225)&amp;"|"&amp;IF(G225="","01",G225))</x:f>
      </x:c>
      <x:c r="I225" s="21"/>
      <x:c r="J225" s="29" t="str">
        <x:f>IF(K225="","",IFERROR(INDEX('04_KE_HOACH_CD'!$I$6:$I$305,MATCH(K225,'04_KE_HOACH_CD'!$G$6:$G$305,0)),""))</x:f>
      </x:c>
      <x:c r="K225" s="29" t="str">
        <x:f>IF(OR(H225="",I225=""),"",H225&amp;"|"&amp;TEXT(I225,"000"))</x:f>
      </x:c>
      <x:c r="L225" s="21"/>
      <x:c r="M225" s="21"/>
      <x:c r="N225" s="21"/>
      <x:c r="O225" s="43"/>
      <x:c r="P225" s="43"/>
      <x:c r="Q225" s="25"/>
      <x:c r="R225" s="25"/>
      <x:c r="S225" s="39" t="str">
        <x:f>IF(A225="","",SUMIF('07_DUNG_CHO'!$B$6:$B$505,A225,'07_DUNG_CHO'!$E$6:$E$505))</x:f>
      </x:c>
      <x:c r="T225" s="39" t="str">
        <x:f>IF(A225="","",IF(N225="SETUP",0,MAX(0,(P225-O225)*1440-Q225-S225)))</x:f>
      </x:c>
      <x:c r="U225" s="25"/>
      <x:c r="V225" s="25"/>
      <x:c r="W225" s="25"/>
      <x:c r="X225" s="25"/>
      <x:c r="Y225" s="25"/>
      <x:c r="Z225" s="25"/>
      <x:c r="AA225" s="39" t="str">
        <x:f>IF(A225="","",U225-SUM(V225,X225:Z225))</x:f>
      </x:c>
      <x:c r="AB225" s="39" t="str">
        <x:f>IF(A225="","",IF(N225="SETUP",IFERROR(INDEX('04_KE_HOACH_CD'!$K$6:$K$305,MATCH(K225,'04_KE_HOACH_CD'!$G$6:$G$305,0)),0),IF(OR(N225="PRODUCTION",N225="REWORK"),IFERROR(INDEX('04_KE_HOACH_CD'!$L$6:$L$305,MATCH(K225,'04_KE_HOACH_CD'!$G$6:$G$305,0))*V225,0),0)))</x:f>
      </x:c>
      <x:c r="AC225" s="39" t="str">
        <x:f>IF(A225="","",MAX(0,(P225-O225)*1440-Q225))</x:f>
      </x:c>
      <x:c r="AD225" s="37" t="str">
        <x:f>IF(A225="","",IFERROR(AB225/AC225,0))</x:f>
      </x:c>
      <x:c r="AE225" s="33" t="str">
        <x:f>IF(A225="","",AC225/60*SUMIF(DM_NHAN_SU!$A$6:$A$105,L225,DM_NHAN_SU!$E$6:$E$105))</x:f>
      </x:c>
      <x:c r="AF225" s="33" t="str">
        <x:f>IF(A225="","",AC225/60*SUMIF(DM_MAY!$A$6:$A$105,M225,DM_MAY!$F$6:$F$105))</x:f>
      </x:c>
      <x:c r="AG225" s="33" t="str">
        <x:f>IF(A225="","",AE225+AF225)</x:f>
      </x:c>
      <x:c r="AH225" s="21"/>
      <x:c r="AI225" s="29" t="str">
        <x:f>IF(A225="","",IF(OR(B225="",D225="",E225="",I225="",L225="",N225="",O225="",P225=""),"Thiếu dữ liệu",IF(AND(OR(N225="PRODUCTION",N225="REWORK",N225="SETUP"),M225=""),"Thiếu máy",IF(P225&lt;O225,"Sai thời gian",IF(AA225&lt;&gt;0,"Sai cân đối SL","Hợp lệ")))))</x:f>
      </x:c>
      <x:c r="AJ225" s="21"/>
    </x:row>
    <x:row r="226">
      <x:c r="A226" s="21"/>
      <x:c r="B226" s="35"/>
      <x:c r="C226" s="21"/>
      <x:c r="D226" s="21"/>
      <x:c r="E226" s="21"/>
      <x:c r="F226" s="21"/>
      <x:c r="G226" s="21"/>
      <x:c r="H226" s="29" t="str">
        <x:f>IF(OR(D226="",E226=""),"",D226&amp;"|"&amp;E226&amp;"|"&amp;IF(F226="","00",F226)&amp;"|"&amp;IF(G226="","01",G226))</x:f>
      </x:c>
      <x:c r="I226" s="21"/>
      <x:c r="J226" s="29" t="str">
        <x:f>IF(K226="","",IFERROR(INDEX('04_KE_HOACH_CD'!$I$6:$I$305,MATCH(K226,'04_KE_HOACH_CD'!$G$6:$G$305,0)),""))</x:f>
      </x:c>
      <x:c r="K226" s="29" t="str">
        <x:f>IF(OR(H226="",I226=""),"",H226&amp;"|"&amp;TEXT(I226,"000"))</x:f>
      </x:c>
      <x:c r="L226" s="21"/>
      <x:c r="M226" s="21"/>
      <x:c r="N226" s="21"/>
      <x:c r="O226" s="43"/>
      <x:c r="P226" s="43"/>
      <x:c r="Q226" s="25"/>
      <x:c r="R226" s="25"/>
      <x:c r="S226" s="39" t="str">
        <x:f>IF(A226="","",SUMIF('07_DUNG_CHO'!$B$6:$B$505,A226,'07_DUNG_CHO'!$E$6:$E$505))</x:f>
      </x:c>
      <x:c r="T226" s="39" t="str">
        <x:f>IF(A226="","",IF(N226="SETUP",0,MAX(0,(P226-O226)*1440-Q226-S226)))</x:f>
      </x:c>
      <x:c r="U226" s="25"/>
      <x:c r="V226" s="25"/>
      <x:c r="W226" s="25"/>
      <x:c r="X226" s="25"/>
      <x:c r="Y226" s="25"/>
      <x:c r="Z226" s="25"/>
      <x:c r="AA226" s="39" t="str">
        <x:f>IF(A226="","",U226-SUM(V226,X226:Z226))</x:f>
      </x:c>
      <x:c r="AB226" s="39" t="str">
        <x:f>IF(A226="","",IF(N226="SETUP",IFERROR(INDEX('04_KE_HOACH_CD'!$K$6:$K$305,MATCH(K226,'04_KE_HOACH_CD'!$G$6:$G$305,0)),0),IF(OR(N226="PRODUCTION",N226="REWORK"),IFERROR(INDEX('04_KE_HOACH_CD'!$L$6:$L$305,MATCH(K226,'04_KE_HOACH_CD'!$G$6:$G$305,0))*V226,0),0)))</x:f>
      </x:c>
      <x:c r="AC226" s="39" t="str">
        <x:f>IF(A226="","",MAX(0,(P226-O226)*1440-Q226))</x:f>
      </x:c>
      <x:c r="AD226" s="37" t="str">
        <x:f>IF(A226="","",IFERROR(AB226/AC226,0))</x:f>
      </x:c>
      <x:c r="AE226" s="33" t="str">
        <x:f>IF(A226="","",AC226/60*SUMIF(DM_NHAN_SU!$A$6:$A$105,L226,DM_NHAN_SU!$E$6:$E$105))</x:f>
      </x:c>
      <x:c r="AF226" s="33" t="str">
        <x:f>IF(A226="","",AC226/60*SUMIF(DM_MAY!$A$6:$A$105,M226,DM_MAY!$F$6:$F$105))</x:f>
      </x:c>
      <x:c r="AG226" s="33" t="str">
        <x:f>IF(A226="","",AE226+AF226)</x:f>
      </x:c>
      <x:c r="AH226" s="21"/>
      <x:c r="AI226" s="29" t="str">
        <x:f>IF(A226="","",IF(OR(B226="",D226="",E226="",I226="",L226="",N226="",O226="",P226=""),"Thiếu dữ liệu",IF(AND(OR(N226="PRODUCTION",N226="REWORK",N226="SETUP"),M226=""),"Thiếu máy",IF(P226&lt;O226,"Sai thời gian",IF(AA226&lt;&gt;0,"Sai cân đối SL","Hợp lệ")))))</x:f>
      </x:c>
      <x:c r="AJ226" s="21"/>
    </x:row>
    <x:row r="227">
      <x:c r="A227" s="21"/>
      <x:c r="B227" s="35"/>
      <x:c r="C227" s="21"/>
      <x:c r="D227" s="21"/>
      <x:c r="E227" s="21"/>
      <x:c r="F227" s="21"/>
      <x:c r="G227" s="21"/>
      <x:c r="H227" s="29" t="str">
        <x:f>IF(OR(D227="",E227=""),"",D227&amp;"|"&amp;E227&amp;"|"&amp;IF(F227="","00",F227)&amp;"|"&amp;IF(G227="","01",G227))</x:f>
      </x:c>
      <x:c r="I227" s="21"/>
      <x:c r="J227" s="29" t="str">
        <x:f>IF(K227="","",IFERROR(INDEX('04_KE_HOACH_CD'!$I$6:$I$305,MATCH(K227,'04_KE_HOACH_CD'!$G$6:$G$305,0)),""))</x:f>
      </x:c>
      <x:c r="K227" s="29" t="str">
        <x:f>IF(OR(H227="",I227=""),"",H227&amp;"|"&amp;TEXT(I227,"000"))</x:f>
      </x:c>
      <x:c r="L227" s="21"/>
      <x:c r="M227" s="21"/>
      <x:c r="N227" s="21"/>
      <x:c r="O227" s="43"/>
      <x:c r="P227" s="43"/>
      <x:c r="Q227" s="25"/>
      <x:c r="R227" s="25"/>
      <x:c r="S227" s="39" t="str">
        <x:f>IF(A227="","",SUMIF('07_DUNG_CHO'!$B$6:$B$505,A227,'07_DUNG_CHO'!$E$6:$E$505))</x:f>
      </x:c>
      <x:c r="T227" s="39" t="str">
        <x:f>IF(A227="","",IF(N227="SETUP",0,MAX(0,(P227-O227)*1440-Q227-S227)))</x:f>
      </x:c>
      <x:c r="U227" s="25"/>
      <x:c r="V227" s="25"/>
      <x:c r="W227" s="25"/>
      <x:c r="X227" s="25"/>
      <x:c r="Y227" s="25"/>
      <x:c r="Z227" s="25"/>
      <x:c r="AA227" s="39" t="str">
        <x:f>IF(A227="","",U227-SUM(V227,X227:Z227))</x:f>
      </x:c>
      <x:c r="AB227" s="39" t="str">
        <x:f>IF(A227="","",IF(N227="SETUP",IFERROR(INDEX('04_KE_HOACH_CD'!$K$6:$K$305,MATCH(K227,'04_KE_HOACH_CD'!$G$6:$G$305,0)),0),IF(OR(N227="PRODUCTION",N227="REWORK"),IFERROR(INDEX('04_KE_HOACH_CD'!$L$6:$L$305,MATCH(K227,'04_KE_HOACH_CD'!$G$6:$G$305,0))*V227,0),0)))</x:f>
      </x:c>
      <x:c r="AC227" s="39" t="str">
        <x:f>IF(A227="","",MAX(0,(P227-O227)*1440-Q227))</x:f>
      </x:c>
      <x:c r="AD227" s="37" t="str">
        <x:f>IF(A227="","",IFERROR(AB227/AC227,0))</x:f>
      </x:c>
      <x:c r="AE227" s="33" t="str">
        <x:f>IF(A227="","",AC227/60*SUMIF(DM_NHAN_SU!$A$6:$A$105,L227,DM_NHAN_SU!$E$6:$E$105))</x:f>
      </x:c>
      <x:c r="AF227" s="33" t="str">
        <x:f>IF(A227="","",AC227/60*SUMIF(DM_MAY!$A$6:$A$105,M227,DM_MAY!$F$6:$F$105))</x:f>
      </x:c>
      <x:c r="AG227" s="33" t="str">
        <x:f>IF(A227="","",AE227+AF227)</x:f>
      </x:c>
      <x:c r="AH227" s="21"/>
      <x:c r="AI227" s="29" t="str">
        <x:f>IF(A227="","",IF(OR(B227="",D227="",E227="",I227="",L227="",N227="",O227="",P227=""),"Thiếu dữ liệu",IF(AND(OR(N227="PRODUCTION",N227="REWORK",N227="SETUP"),M227=""),"Thiếu máy",IF(P227&lt;O227,"Sai thời gian",IF(AA227&lt;&gt;0,"Sai cân đối SL","Hợp lệ")))))</x:f>
      </x:c>
      <x:c r="AJ227" s="21"/>
    </x:row>
    <x:row r="228">
      <x:c r="A228" s="21"/>
      <x:c r="B228" s="35"/>
      <x:c r="C228" s="21"/>
      <x:c r="D228" s="21"/>
      <x:c r="E228" s="21"/>
      <x:c r="F228" s="21"/>
      <x:c r="G228" s="21"/>
      <x:c r="H228" s="29" t="str">
        <x:f>IF(OR(D228="",E228=""),"",D228&amp;"|"&amp;E228&amp;"|"&amp;IF(F228="","00",F228)&amp;"|"&amp;IF(G228="","01",G228))</x:f>
      </x:c>
      <x:c r="I228" s="21"/>
      <x:c r="J228" s="29" t="str">
        <x:f>IF(K228="","",IFERROR(INDEX('04_KE_HOACH_CD'!$I$6:$I$305,MATCH(K228,'04_KE_HOACH_CD'!$G$6:$G$305,0)),""))</x:f>
      </x:c>
      <x:c r="K228" s="29" t="str">
        <x:f>IF(OR(H228="",I228=""),"",H228&amp;"|"&amp;TEXT(I228,"000"))</x:f>
      </x:c>
      <x:c r="L228" s="21"/>
      <x:c r="M228" s="21"/>
      <x:c r="N228" s="21"/>
      <x:c r="O228" s="43"/>
      <x:c r="P228" s="43"/>
      <x:c r="Q228" s="25"/>
      <x:c r="R228" s="25"/>
      <x:c r="S228" s="39" t="str">
        <x:f>IF(A228="","",SUMIF('07_DUNG_CHO'!$B$6:$B$505,A228,'07_DUNG_CHO'!$E$6:$E$505))</x:f>
      </x:c>
      <x:c r="T228" s="39" t="str">
        <x:f>IF(A228="","",IF(N228="SETUP",0,MAX(0,(P228-O228)*1440-Q228-S228)))</x:f>
      </x:c>
      <x:c r="U228" s="25"/>
      <x:c r="V228" s="25"/>
      <x:c r="W228" s="25"/>
      <x:c r="X228" s="25"/>
      <x:c r="Y228" s="25"/>
      <x:c r="Z228" s="25"/>
      <x:c r="AA228" s="39" t="str">
        <x:f>IF(A228="","",U228-SUM(V228,X228:Z228))</x:f>
      </x:c>
      <x:c r="AB228" s="39" t="str">
        <x:f>IF(A228="","",IF(N228="SETUP",IFERROR(INDEX('04_KE_HOACH_CD'!$K$6:$K$305,MATCH(K228,'04_KE_HOACH_CD'!$G$6:$G$305,0)),0),IF(OR(N228="PRODUCTION",N228="REWORK"),IFERROR(INDEX('04_KE_HOACH_CD'!$L$6:$L$305,MATCH(K228,'04_KE_HOACH_CD'!$G$6:$G$305,0))*V228,0),0)))</x:f>
      </x:c>
      <x:c r="AC228" s="39" t="str">
        <x:f>IF(A228="","",MAX(0,(P228-O228)*1440-Q228))</x:f>
      </x:c>
      <x:c r="AD228" s="37" t="str">
        <x:f>IF(A228="","",IFERROR(AB228/AC228,0))</x:f>
      </x:c>
      <x:c r="AE228" s="33" t="str">
        <x:f>IF(A228="","",AC228/60*SUMIF(DM_NHAN_SU!$A$6:$A$105,L228,DM_NHAN_SU!$E$6:$E$105))</x:f>
      </x:c>
      <x:c r="AF228" s="33" t="str">
        <x:f>IF(A228="","",AC228/60*SUMIF(DM_MAY!$A$6:$A$105,M228,DM_MAY!$F$6:$F$105))</x:f>
      </x:c>
      <x:c r="AG228" s="33" t="str">
        <x:f>IF(A228="","",AE228+AF228)</x:f>
      </x:c>
      <x:c r="AH228" s="21"/>
      <x:c r="AI228" s="29" t="str">
        <x:f>IF(A228="","",IF(OR(B228="",D228="",E228="",I228="",L228="",N228="",O228="",P228=""),"Thiếu dữ liệu",IF(AND(OR(N228="PRODUCTION",N228="REWORK",N228="SETUP"),M228=""),"Thiếu máy",IF(P228&lt;O228,"Sai thời gian",IF(AA228&lt;&gt;0,"Sai cân đối SL","Hợp lệ")))))</x:f>
      </x:c>
      <x:c r="AJ228" s="21"/>
    </x:row>
    <x:row r="229">
      <x:c r="A229" s="21"/>
      <x:c r="B229" s="35"/>
      <x:c r="C229" s="21"/>
      <x:c r="D229" s="21"/>
      <x:c r="E229" s="21"/>
      <x:c r="F229" s="21"/>
      <x:c r="G229" s="21"/>
      <x:c r="H229" s="29" t="str">
        <x:f>IF(OR(D229="",E229=""),"",D229&amp;"|"&amp;E229&amp;"|"&amp;IF(F229="","00",F229)&amp;"|"&amp;IF(G229="","01",G229))</x:f>
      </x:c>
      <x:c r="I229" s="21"/>
      <x:c r="J229" s="29" t="str">
        <x:f>IF(K229="","",IFERROR(INDEX('04_KE_HOACH_CD'!$I$6:$I$305,MATCH(K229,'04_KE_HOACH_CD'!$G$6:$G$305,0)),""))</x:f>
      </x:c>
      <x:c r="K229" s="29" t="str">
        <x:f>IF(OR(H229="",I229=""),"",H229&amp;"|"&amp;TEXT(I229,"000"))</x:f>
      </x:c>
      <x:c r="L229" s="21"/>
      <x:c r="M229" s="21"/>
      <x:c r="N229" s="21"/>
      <x:c r="O229" s="43"/>
      <x:c r="P229" s="43"/>
      <x:c r="Q229" s="25"/>
      <x:c r="R229" s="25"/>
      <x:c r="S229" s="39" t="str">
        <x:f>IF(A229="","",SUMIF('07_DUNG_CHO'!$B$6:$B$505,A229,'07_DUNG_CHO'!$E$6:$E$505))</x:f>
      </x:c>
      <x:c r="T229" s="39" t="str">
        <x:f>IF(A229="","",IF(N229="SETUP",0,MAX(0,(P229-O229)*1440-Q229-S229)))</x:f>
      </x:c>
      <x:c r="U229" s="25"/>
      <x:c r="V229" s="25"/>
      <x:c r="W229" s="25"/>
      <x:c r="X229" s="25"/>
      <x:c r="Y229" s="25"/>
      <x:c r="Z229" s="25"/>
      <x:c r="AA229" s="39" t="str">
        <x:f>IF(A229="","",U229-SUM(V229,X229:Z229))</x:f>
      </x:c>
      <x:c r="AB229" s="39" t="str">
        <x:f>IF(A229="","",IF(N229="SETUP",IFERROR(INDEX('04_KE_HOACH_CD'!$K$6:$K$305,MATCH(K229,'04_KE_HOACH_CD'!$G$6:$G$305,0)),0),IF(OR(N229="PRODUCTION",N229="REWORK"),IFERROR(INDEX('04_KE_HOACH_CD'!$L$6:$L$305,MATCH(K229,'04_KE_HOACH_CD'!$G$6:$G$305,0))*V229,0),0)))</x:f>
      </x:c>
      <x:c r="AC229" s="39" t="str">
        <x:f>IF(A229="","",MAX(0,(P229-O229)*1440-Q229))</x:f>
      </x:c>
      <x:c r="AD229" s="37" t="str">
        <x:f>IF(A229="","",IFERROR(AB229/AC229,0))</x:f>
      </x:c>
      <x:c r="AE229" s="33" t="str">
        <x:f>IF(A229="","",AC229/60*SUMIF(DM_NHAN_SU!$A$6:$A$105,L229,DM_NHAN_SU!$E$6:$E$105))</x:f>
      </x:c>
      <x:c r="AF229" s="33" t="str">
        <x:f>IF(A229="","",AC229/60*SUMIF(DM_MAY!$A$6:$A$105,M229,DM_MAY!$F$6:$F$105))</x:f>
      </x:c>
      <x:c r="AG229" s="33" t="str">
        <x:f>IF(A229="","",AE229+AF229)</x:f>
      </x:c>
      <x:c r="AH229" s="21"/>
      <x:c r="AI229" s="29" t="str">
        <x:f>IF(A229="","",IF(OR(B229="",D229="",E229="",I229="",L229="",N229="",O229="",P229=""),"Thiếu dữ liệu",IF(AND(OR(N229="PRODUCTION",N229="REWORK",N229="SETUP"),M229=""),"Thiếu máy",IF(P229&lt;O229,"Sai thời gian",IF(AA229&lt;&gt;0,"Sai cân đối SL","Hợp lệ")))))</x:f>
      </x:c>
      <x:c r="AJ229" s="21"/>
    </x:row>
    <x:row r="230">
      <x:c r="A230" s="21"/>
      <x:c r="B230" s="35"/>
      <x:c r="C230" s="21"/>
      <x:c r="D230" s="21"/>
      <x:c r="E230" s="21"/>
      <x:c r="F230" s="21"/>
      <x:c r="G230" s="21"/>
      <x:c r="H230" s="29" t="str">
        <x:f>IF(OR(D230="",E230=""),"",D230&amp;"|"&amp;E230&amp;"|"&amp;IF(F230="","00",F230)&amp;"|"&amp;IF(G230="","01",G230))</x:f>
      </x:c>
      <x:c r="I230" s="21"/>
      <x:c r="J230" s="29" t="str">
        <x:f>IF(K230="","",IFERROR(INDEX('04_KE_HOACH_CD'!$I$6:$I$305,MATCH(K230,'04_KE_HOACH_CD'!$G$6:$G$305,0)),""))</x:f>
      </x:c>
      <x:c r="K230" s="29" t="str">
        <x:f>IF(OR(H230="",I230=""),"",H230&amp;"|"&amp;TEXT(I230,"000"))</x:f>
      </x:c>
      <x:c r="L230" s="21"/>
      <x:c r="M230" s="21"/>
      <x:c r="N230" s="21"/>
      <x:c r="O230" s="43"/>
      <x:c r="P230" s="43"/>
      <x:c r="Q230" s="25"/>
      <x:c r="R230" s="25"/>
      <x:c r="S230" s="39" t="str">
        <x:f>IF(A230="","",SUMIF('07_DUNG_CHO'!$B$6:$B$505,A230,'07_DUNG_CHO'!$E$6:$E$505))</x:f>
      </x:c>
      <x:c r="T230" s="39" t="str">
        <x:f>IF(A230="","",IF(N230="SETUP",0,MAX(0,(P230-O230)*1440-Q230-S230)))</x:f>
      </x:c>
      <x:c r="U230" s="25"/>
      <x:c r="V230" s="25"/>
      <x:c r="W230" s="25"/>
      <x:c r="X230" s="25"/>
      <x:c r="Y230" s="25"/>
      <x:c r="Z230" s="25"/>
      <x:c r="AA230" s="39" t="str">
        <x:f>IF(A230="","",U230-SUM(V230,X230:Z230))</x:f>
      </x:c>
      <x:c r="AB230" s="39" t="str">
        <x:f>IF(A230="","",IF(N230="SETUP",IFERROR(INDEX('04_KE_HOACH_CD'!$K$6:$K$305,MATCH(K230,'04_KE_HOACH_CD'!$G$6:$G$305,0)),0),IF(OR(N230="PRODUCTION",N230="REWORK"),IFERROR(INDEX('04_KE_HOACH_CD'!$L$6:$L$305,MATCH(K230,'04_KE_HOACH_CD'!$G$6:$G$305,0))*V230,0),0)))</x:f>
      </x:c>
      <x:c r="AC230" s="39" t="str">
        <x:f>IF(A230="","",MAX(0,(P230-O230)*1440-Q230))</x:f>
      </x:c>
      <x:c r="AD230" s="37" t="str">
        <x:f>IF(A230="","",IFERROR(AB230/AC230,0))</x:f>
      </x:c>
      <x:c r="AE230" s="33" t="str">
        <x:f>IF(A230="","",AC230/60*SUMIF(DM_NHAN_SU!$A$6:$A$105,L230,DM_NHAN_SU!$E$6:$E$105))</x:f>
      </x:c>
      <x:c r="AF230" s="33" t="str">
        <x:f>IF(A230="","",AC230/60*SUMIF(DM_MAY!$A$6:$A$105,M230,DM_MAY!$F$6:$F$105))</x:f>
      </x:c>
      <x:c r="AG230" s="33" t="str">
        <x:f>IF(A230="","",AE230+AF230)</x:f>
      </x:c>
      <x:c r="AH230" s="21"/>
      <x:c r="AI230" s="29" t="str">
        <x:f>IF(A230="","",IF(OR(B230="",D230="",E230="",I230="",L230="",N230="",O230="",P230=""),"Thiếu dữ liệu",IF(AND(OR(N230="PRODUCTION",N230="REWORK",N230="SETUP"),M230=""),"Thiếu máy",IF(P230&lt;O230,"Sai thời gian",IF(AA230&lt;&gt;0,"Sai cân đối SL","Hợp lệ")))))</x:f>
      </x:c>
      <x:c r="AJ230" s="21"/>
    </x:row>
    <x:row r="231">
      <x:c r="A231" s="21"/>
      <x:c r="B231" s="35"/>
      <x:c r="C231" s="21"/>
      <x:c r="D231" s="21"/>
      <x:c r="E231" s="21"/>
      <x:c r="F231" s="21"/>
      <x:c r="G231" s="21"/>
      <x:c r="H231" s="29" t="str">
        <x:f>IF(OR(D231="",E231=""),"",D231&amp;"|"&amp;E231&amp;"|"&amp;IF(F231="","00",F231)&amp;"|"&amp;IF(G231="","01",G231))</x:f>
      </x:c>
      <x:c r="I231" s="21"/>
      <x:c r="J231" s="29" t="str">
        <x:f>IF(K231="","",IFERROR(INDEX('04_KE_HOACH_CD'!$I$6:$I$305,MATCH(K231,'04_KE_HOACH_CD'!$G$6:$G$305,0)),""))</x:f>
      </x:c>
      <x:c r="K231" s="29" t="str">
        <x:f>IF(OR(H231="",I231=""),"",H231&amp;"|"&amp;TEXT(I231,"000"))</x:f>
      </x:c>
      <x:c r="L231" s="21"/>
      <x:c r="M231" s="21"/>
      <x:c r="N231" s="21"/>
      <x:c r="O231" s="43"/>
      <x:c r="P231" s="43"/>
      <x:c r="Q231" s="25"/>
      <x:c r="R231" s="25"/>
      <x:c r="S231" s="39" t="str">
        <x:f>IF(A231="","",SUMIF('07_DUNG_CHO'!$B$6:$B$505,A231,'07_DUNG_CHO'!$E$6:$E$505))</x:f>
      </x:c>
      <x:c r="T231" s="39" t="str">
        <x:f>IF(A231="","",IF(N231="SETUP",0,MAX(0,(P231-O231)*1440-Q231-S231)))</x:f>
      </x:c>
      <x:c r="U231" s="25"/>
      <x:c r="V231" s="25"/>
      <x:c r="W231" s="25"/>
      <x:c r="X231" s="25"/>
      <x:c r="Y231" s="25"/>
      <x:c r="Z231" s="25"/>
      <x:c r="AA231" s="39" t="str">
        <x:f>IF(A231="","",U231-SUM(V231,X231:Z231))</x:f>
      </x:c>
      <x:c r="AB231" s="39" t="str">
        <x:f>IF(A231="","",IF(N231="SETUP",IFERROR(INDEX('04_KE_HOACH_CD'!$K$6:$K$305,MATCH(K231,'04_KE_HOACH_CD'!$G$6:$G$305,0)),0),IF(OR(N231="PRODUCTION",N231="REWORK"),IFERROR(INDEX('04_KE_HOACH_CD'!$L$6:$L$305,MATCH(K231,'04_KE_HOACH_CD'!$G$6:$G$305,0))*V231,0),0)))</x:f>
      </x:c>
      <x:c r="AC231" s="39" t="str">
        <x:f>IF(A231="","",MAX(0,(P231-O231)*1440-Q231))</x:f>
      </x:c>
      <x:c r="AD231" s="37" t="str">
        <x:f>IF(A231="","",IFERROR(AB231/AC231,0))</x:f>
      </x:c>
      <x:c r="AE231" s="33" t="str">
        <x:f>IF(A231="","",AC231/60*SUMIF(DM_NHAN_SU!$A$6:$A$105,L231,DM_NHAN_SU!$E$6:$E$105))</x:f>
      </x:c>
      <x:c r="AF231" s="33" t="str">
        <x:f>IF(A231="","",AC231/60*SUMIF(DM_MAY!$A$6:$A$105,M231,DM_MAY!$F$6:$F$105))</x:f>
      </x:c>
      <x:c r="AG231" s="33" t="str">
        <x:f>IF(A231="","",AE231+AF231)</x:f>
      </x:c>
      <x:c r="AH231" s="21"/>
      <x:c r="AI231" s="29" t="str">
        <x:f>IF(A231="","",IF(OR(B231="",D231="",E231="",I231="",L231="",N231="",O231="",P231=""),"Thiếu dữ liệu",IF(AND(OR(N231="PRODUCTION",N231="REWORK",N231="SETUP"),M231=""),"Thiếu máy",IF(P231&lt;O231,"Sai thời gian",IF(AA231&lt;&gt;0,"Sai cân đối SL","Hợp lệ")))))</x:f>
      </x:c>
      <x:c r="AJ231" s="21"/>
    </x:row>
    <x:row r="232">
      <x:c r="A232" s="21"/>
      <x:c r="B232" s="35"/>
      <x:c r="C232" s="21"/>
      <x:c r="D232" s="21"/>
      <x:c r="E232" s="21"/>
      <x:c r="F232" s="21"/>
      <x:c r="G232" s="21"/>
      <x:c r="H232" s="29" t="str">
        <x:f>IF(OR(D232="",E232=""),"",D232&amp;"|"&amp;E232&amp;"|"&amp;IF(F232="","00",F232)&amp;"|"&amp;IF(G232="","01",G232))</x:f>
      </x:c>
      <x:c r="I232" s="21"/>
      <x:c r="J232" s="29" t="str">
        <x:f>IF(K232="","",IFERROR(INDEX('04_KE_HOACH_CD'!$I$6:$I$305,MATCH(K232,'04_KE_HOACH_CD'!$G$6:$G$305,0)),""))</x:f>
      </x:c>
      <x:c r="K232" s="29" t="str">
        <x:f>IF(OR(H232="",I232=""),"",H232&amp;"|"&amp;TEXT(I232,"000"))</x:f>
      </x:c>
      <x:c r="L232" s="21"/>
      <x:c r="M232" s="21"/>
      <x:c r="N232" s="21"/>
      <x:c r="O232" s="43"/>
      <x:c r="P232" s="43"/>
      <x:c r="Q232" s="25"/>
      <x:c r="R232" s="25"/>
      <x:c r="S232" s="39" t="str">
        <x:f>IF(A232="","",SUMIF('07_DUNG_CHO'!$B$6:$B$505,A232,'07_DUNG_CHO'!$E$6:$E$505))</x:f>
      </x:c>
      <x:c r="T232" s="39" t="str">
        <x:f>IF(A232="","",IF(N232="SETUP",0,MAX(0,(P232-O232)*1440-Q232-S232)))</x:f>
      </x:c>
      <x:c r="U232" s="25"/>
      <x:c r="V232" s="25"/>
      <x:c r="W232" s="25"/>
      <x:c r="X232" s="25"/>
      <x:c r="Y232" s="25"/>
      <x:c r="Z232" s="25"/>
      <x:c r="AA232" s="39" t="str">
        <x:f>IF(A232="","",U232-SUM(V232,X232:Z232))</x:f>
      </x:c>
      <x:c r="AB232" s="39" t="str">
        <x:f>IF(A232="","",IF(N232="SETUP",IFERROR(INDEX('04_KE_HOACH_CD'!$K$6:$K$305,MATCH(K232,'04_KE_HOACH_CD'!$G$6:$G$305,0)),0),IF(OR(N232="PRODUCTION",N232="REWORK"),IFERROR(INDEX('04_KE_HOACH_CD'!$L$6:$L$305,MATCH(K232,'04_KE_HOACH_CD'!$G$6:$G$305,0))*V232,0),0)))</x:f>
      </x:c>
      <x:c r="AC232" s="39" t="str">
        <x:f>IF(A232="","",MAX(0,(P232-O232)*1440-Q232))</x:f>
      </x:c>
      <x:c r="AD232" s="37" t="str">
        <x:f>IF(A232="","",IFERROR(AB232/AC232,0))</x:f>
      </x:c>
      <x:c r="AE232" s="33" t="str">
        <x:f>IF(A232="","",AC232/60*SUMIF(DM_NHAN_SU!$A$6:$A$105,L232,DM_NHAN_SU!$E$6:$E$105))</x:f>
      </x:c>
      <x:c r="AF232" s="33" t="str">
        <x:f>IF(A232="","",AC232/60*SUMIF(DM_MAY!$A$6:$A$105,M232,DM_MAY!$F$6:$F$105))</x:f>
      </x:c>
      <x:c r="AG232" s="33" t="str">
        <x:f>IF(A232="","",AE232+AF232)</x:f>
      </x:c>
      <x:c r="AH232" s="21"/>
      <x:c r="AI232" s="29" t="str">
        <x:f>IF(A232="","",IF(OR(B232="",D232="",E232="",I232="",L232="",N232="",O232="",P232=""),"Thiếu dữ liệu",IF(AND(OR(N232="PRODUCTION",N232="REWORK",N232="SETUP"),M232=""),"Thiếu máy",IF(P232&lt;O232,"Sai thời gian",IF(AA232&lt;&gt;0,"Sai cân đối SL","Hợp lệ")))))</x:f>
      </x:c>
      <x:c r="AJ232" s="21"/>
    </x:row>
    <x:row r="233">
      <x:c r="A233" s="21"/>
      <x:c r="B233" s="35"/>
      <x:c r="C233" s="21"/>
      <x:c r="D233" s="21"/>
      <x:c r="E233" s="21"/>
      <x:c r="F233" s="21"/>
      <x:c r="G233" s="21"/>
      <x:c r="H233" s="29" t="str">
        <x:f>IF(OR(D233="",E233=""),"",D233&amp;"|"&amp;E233&amp;"|"&amp;IF(F233="","00",F233)&amp;"|"&amp;IF(G233="","01",G233))</x:f>
      </x:c>
      <x:c r="I233" s="21"/>
      <x:c r="J233" s="29" t="str">
        <x:f>IF(K233="","",IFERROR(INDEX('04_KE_HOACH_CD'!$I$6:$I$305,MATCH(K233,'04_KE_HOACH_CD'!$G$6:$G$305,0)),""))</x:f>
      </x:c>
      <x:c r="K233" s="29" t="str">
        <x:f>IF(OR(H233="",I233=""),"",H233&amp;"|"&amp;TEXT(I233,"000"))</x:f>
      </x:c>
      <x:c r="L233" s="21"/>
      <x:c r="M233" s="21"/>
      <x:c r="N233" s="21"/>
      <x:c r="O233" s="43"/>
      <x:c r="P233" s="43"/>
      <x:c r="Q233" s="25"/>
      <x:c r="R233" s="25"/>
      <x:c r="S233" s="39" t="str">
        <x:f>IF(A233="","",SUMIF('07_DUNG_CHO'!$B$6:$B$505,A233,'07_DUNG_CHO'!$E$6:$E$505))</x:f>
      </x:c>
      <x:c r="T233" s="39" t="str">
        <x:f>IF(A233="","",IF(N233="SETUP",0,MAX(0,(P233-O233)*1440-Q233-S233)))</x:f>
      </x:c>
      <x:c r="U233" s="25"/>
      <x:c r="V233" s="25"/>
      <x:c r="W233" s="25"/>
      <x:c r="X233" s="25"/>
      <x:c r="Y233" s="25"/>
      <x:c r="Z233" s="25"/>
      <x:c r="AA233" s="39" t="str">
        <x:f>IF(A233="","",U233-SUM(V233,X233:Z233))</x:f>
      </x:c>
      <x:c r="AB233" s="39" t="str">
        <x:f>IF(A233="","",IF(N233="SETUP",IFERROR(INDEX('04_KE_HOACH_CD'!$K$6:$K$305,MATCH(K233,'04_KE_HOACH_CD'!$G$6:$G$305,0)),0),IF(OR(N233="PRODUCTION",N233="REWORK"),IFERROR(INDEX('04_KE_HOACH_CD'!$L$6:$L$305,MATCH(K233,'04_KE_HOACH_CD'!$G$6:$G$305,0))*V233,0),0)))</x:f>
      </x:c>
      <x:c r="AC233" s="39" t="str">
        <x:f>IF(A233="","",MAX(0,(P233-O233)*1440-Q233))</x:f>
      </x:c>
      <x:c r="AD233" s="37" t="str">
        <x:f>IF(A233="","",IFERROR(AB233/AC233,0))</x:f>
      </x:c>
      <x:c r="AE233" s="33" t="str">
        <x:f>IF(A233="","",AC233/60*SUMIF(DM_NHAN_SU!$A$6:$A$105,L233,DM_NHAN_SU!$E$6:$E$105))</x:f>
      </x:c>
      <x:c r="AF233" s="33" t="str">
        <x:f>IF(A233="","",AC233/60*SUMIF(DM_MAY!$A$6:$A$105,M233,DM_MAY!$F$6:$F$105))</x:f>
      </x:c>
      <x:c r="AG233" s="33" t="str">
        <x:f>IF(A233="","",AE233+AF233)</x:f>
      </x:c>
      <x:c r="AH233" s="21"/>
      <x:c r="AI233" s="29" t="str">
        <x:f>IF(A233="","",IF(OR(B233="",D233="",E233="",I233="",L233="",N233="",O233="",P233=""),"Thiếu dữ liệu",IF(AND(OR(N233="PRODUCTION",N233="REWORK",N233="SETUP"),M233=""),"Thiếu máy",IF(P233&lt;O233,"Sai thời gian",IF(AA233&lt;&gt;0,"Sai cân đối SL","Hợp lệ")))))</x:f>
      </x:c>
      <x:c r="AJ233" s="21"/>
    </x:row>
    <x:row r="234">
      <x:c r="A234" s="21"/>
      <x:c r="B234" s="35"/>
      <x:c r="C234" s="21"/>
      <x:c r="D234" s="21"/>
      <x:c r="E234" s="21"/>
      <x:c r="F234" s="21"/>
      <x:c r="G234" s="21"/>
      <x:c r="H234" s="29" t="str">
        <x:f>IF(OR(D234="",E234=""),"",D234&amp;"|"&amp;E234&amp;"|"&amp;IF(F234="","00",F234)&amp;"|"&amp;IF(G234="","01",G234))</x:f>
      </x:c>
      <x:c r="I234" s="21"/>
      <x:c r="J234" s="29" t="str">
        <x:f>IF(K234="","",IFERROR(INDEX('04_KE_HOACH_CD'!$I$6:$I$305,MATCH(K234,'04_KE_HOACH_CD'!$G$6:$G$305,0)),""))</x:f>
      </x:c>
      <x:c r="K234" s="29" t="str">
        <x:f>IF(OR(H234="",I234=""),"",H234&amp;"|"&amp;TEXT(I234,"000"))</x:f>
      </x:c>
      <x:c r="L234" s="21"/>
      <x:c r="M234" s="21"/>
      <x:c r="N234" s="21"/>
      <x:c r="O234" s="43"/>
      <x:c r="P234" s="43"/>
      <x:c r="Q234" s="25"/>
      <x:c r="R234" s="25"/>
      <x:c r="S234" s="39" t="str">
        <x:f>IF(A234="","",SUMIF('07_DUNG_CHO'!$B$6:$B$505,A234,'07_DUNG_CHO'!$E$6:$E$505))</x:f>
      </x:c>
      <x:c r="T234" s="39" t="str">
        <x:f>IF(A234="","",IF(N234="SETUP",0,MAX(0,(P234-O234)*1440-Q234-S234)))</x:f>
      </x:c>
      <x:c r="U234" s="25"/>
      <x:c r="V234" s="25"/>
      <x:c r="W234" s="25"/>
      <x:c r="X234" s="25"/>
      <x:c r="Y234" s="25"/>
      <x:c r="Z234" s="25"/>
      <x:c r="AA234" s="39" t="str">
        <x:f>IF(A234="","",U234-SUM(V234,X234:Z234))</x:f>
      </x:c>
      <x:c r="AB234" s="39" t="str">
        <x:f>IF(A234="","",IF(N234="SETUP",IFERROR(INDEX('04_KE_HOACH_CD'!$K$6:$K$305,MATCH(K234,'04_KE_HOACH_CD'!$G$6:$G$305,0)),0),IF(OR(N234="PRODUCTION",N234="REWORK"),IFERROR(INDEX('04_KE_HOACH_CD'!$L$6:$L$305,MATCH(K234,'04_KE_HOACH_CD'!$G$6:$G$305,0))*V234,0),0)))</x:f>
      </x:c>
      <x:c r="AC234" s="39" t="str">
        <x:f>IF(A234="","",MAX(0,(P234-O234)*1440-Q234))</x:f>
      </x:c>
      <x:c r="AD234" s="37" t="str">
        <x:f>IF(A234="","",IFERROR(AB234/AC234,0))</x:f>
      </x:c>
      <x:c r="AE234" s="33" t="str">
        <x:f>IF(A234="","",AC234/60*SUMIF(DM_NHAN_SU!$A$6:$A$105,L234,DM_NHAN_SU!$E$6:$E$105))</x:f>
      </x:c>
      <x:c r="AF234" s="33" t="str">
        <x:f>IF(A234="","",AC234/60*SUMIF(DM_MAY!$A$6:$A$105,M234,DM_MAY!$F$6:$F$105))</x:f>
      </x:c>
      <x:c r="AG234" s="33" t="str">
        <x:f>IF(A234="","",AE234+AF234)</x:f>
      </x:c>
      <x:c r="AH234" s="21"/>
      <x:c r="AI234" s="29" t="str">
        <x:f>IF(A234="","",IF(OR(B234="",D234="",E234="",I234="",L234="",N234="",O234="",P234=""),"Thiếu dữ liệu",IF(AND(OR(N234="PRODUCTION",N234="REWORK",N234="SETUP"),M234=""),"Thiếu máy",IF(P234&lt;O234,"Sai thời gian",IF(AA234&lt;&gt;0,"Sai cân đối SL","Hợp lệ")))))</x:f>
      </x:c>
      <x:c r="AJ234" s="21"/>
    </x:row>
    <x:row r="235">
      <x:c r="A235" s="21"/>
      <x:c r="B235" s="35"/>
      <x:c r="C235" s="21"/>
      <x:c r="D235" s="21"/>
      <x:c r="E235" s="21"/>
      <x:c r="F235" s="21"/>
      <x:c r="G235" s="21"/>
      <x:c r="H235" s="29" t="str">
        <x:f>IF(OR(D235="",E235=""),"",D235&amp;"|"&amp;E235&amp;"|"&amp;IF(F235="","00",F235)&amp;"|"&amp;IF(G235="","01",G235))</x:f>
      </x:c>
      <x:c r="I235" s="21"/>
      <x:c r="J235" s="29" t="str">
        <x:f>IF(K235="","",IFERROR(INDEX('04_KE_HOACH_CD'!$I$6:$I$305,MATCH(K235,'04_KE_HOACH_CD'!$G$6:$G$305,0)),""))</x:f>
      </x:c>
      <x:c r="K235" s="29" t="str">
        <x:f>IF(OR(H235="",I235=""),"",H235&amp;"|"&amp;TEXT(I235,"000"))</x:f>
      </x:c>
      <x:c r="L235" s="21"/>
      <x:c r="M235" s="21"/>
      <x:c r="N235" s="21"/>
      <x:c r="O235" s="43"/>
      <x:c r="P235" s="43"/>
      <x:c r="Q235" s="25"/>
      <x:c r="R235" s="25"/>
      <x:c r="S235" s="39" t="str">
        <x:f>IF(A235="","",SUMIF('07_DUNG_CHO'!$B$6:$B$505,A235,'07_DUNG_CHO'!$E$6:$E$505))</x:f>
      </x:c>
      <x:c r="T235" s="39" t="str">
        <x:f>IF(A235="","",IF(N235="SETUP",0,MAX(0,(P235-O235)*1440-Q235-S235)))</x:f>
      </x:c>
      <x:c r="U235" s="25"/>
      <x:c r="V235" s="25"/>
      <x:c r="W235" s="25"/>
      <x:c r="X235" s="25"/>
      <x:c r="Y235" s="25"/>
      <x:c r="Z235" s="25"/>
      <x:c r="AA235" s="39" t="str">
        <x:f>IF(A235="","",U235-SUM(V235,X235:Z235))</x:f>
      </x:c>
      <x:c r="AB235" s="39" t="str">
        <x:f>IF(A235="","",IF(N235="SETUP",IFERROR(INDEX('04_KE_HOACH_CD'!$K$6:$K$305,MATCH(K235,'04_KE_HOACH_CD'!$G$6:$G$305,0)),0),IF(OR(N235="PRODUCTION",N235="REWORK"),IFERROR(INDEX('04_KE_HOACH_CD'!$L$6:$L$305,MATCH(K235,'04_KE_HOACH_CD'!$G$6:$G$305,0))*V235,0),0)))</x:f>
      </x:c>
      <x:c r="AC235" s="39" t="str">
        <x:f>IF(A235="","",MAX(0,(P235-O235)*1440-Q235))</x:f>
      </x:c>
      <x:c r="AD235" s="37" t="str">
        <x:f>IF(A235="","",IFERROR(AB235/AC235,0))</x:f>
      </x:c>
      <x:c r="AE235" s="33" t="str">
        <x:f>IF(A235="","",AC235/60*SUMIF(DM_NHAN_SU!$A$6:$A$105,L235,DM_NHAN_SU!$E$6:$E$105))</x:f>
      </x:c>
      <x:c r="AF235" s="33" t="str">
        <x:f>IF(A235="","",AC235/60*SUMIF(DM_MAY!$A$6:$A$105,M235,DM_MAY!$F$6:$F$105))</x:f>
      </x:c>
      <x:c r="AG235" s="33" t="str">
        <x:f>IF(A235="","",AE235+AF235)</x:f>
      </x:c>
      <x:c r="AH235" s="21"/>
      <x:c r="AI235" s="29" t="str">
        <x:f>IF(A235="","",IF(OR(B235="",D235="",E235="",I235="",L235="",N235="",O235="",P235=""),"Thiếu dữ liệu",IF(AND(OR(N235="PRODUCTION",N235="REWORK",N235="SETUP"),M235=""),"Thiếu máy",IF(P235&lt;O235,"Sai thời gian",IF(AA235&lt;&gt;0,"Sai cân đối SL","Hợp lệ")))))</x:f>
      </x:c>
      <x:c r="AJ235" s="21"/>
    </x:row>
    <x:row r="236">
      <x:c r="A236" s="21"/>
      <x:c r="B236" s="35"/>
      <x:c r="C236" s="21"/>
      <x:c r="D236" s="21"/>
      <x:c r="E236" s="21"/>
      <x:c r="F236" s="21"/>
      <x:c r="G236" s="21"/>
      <x:c r="H236" s="29" t="str">
        <x:f>IF(OR(D236="",E236=""),"",D236&amp;"|"&amp;E236&amp;"|"&amp;IF(F236="","00",F236)&amp;"|"&amp;IF(G236="","01",G236))</x:f>
      </x:c>
      <x:c r="I236" s="21"/>
      <x:c r="J236" s="29" t="str">
        <x:f>IF(K236="","",IFERROR(INDEX('04_KE_HOACH_CD'!$I$6:$I$305,MATCH(K236,'04_KE_HOACH_CD'!$G$6:$G$305,0)),""))</x:f>
      </x:c>
      <x:c r="K236" s="29" t="str">
        <x:f>IF(OR(H236="",I236=""),"",H236&amp;"|"&amp;TEXT(I236,"000"))</x:f>
      </x:c>
      <x:c r="L236" s="21"/>
      <x:c r="M236" s="21"/>
      <x:c r="N236" s="21"/>
      <x:c r="O236" s="43"/>
      <x:c r="P236" s="43"/>
      <x:c r="Q236" s="25"/>
      <x:c r="R236" s="25"/>
      <x:c r="S236" s="39" t="str">
        <x:f>IF(A236="","",SUMIF('07_DUNG_CHO'!$B$6:$B$505,A236,'07_DUNG_CHO'!$E$6:$E$505))</x:f>
      </x:c>
      <x:c r="T236" s="39" t="str">
        <x:f>IF(A236="","",IF(N236="SETUP",0,MAX(0,(P236-O236)*1440-Q236-S236)))</x:f>
      </x:c>
      <x:c r="U236" s="25"/>
      <x:c r="V236" s="25"/>
      <x:c r="W236" s="25"/>
      <x:c r="X236" s="25"/>
      <x:c r="Y236" s="25"/>
      <x:c r="Z236" s="25"/>
      <x:c r="AA236" s="39" t="str">
        <x:f>IF(A236="","",U236-SUM(V236,X236:Z236))</x:f>
      </x:c>
      <x:c r="AB236" s="39" t="str">
        <x:f>IF(A236="","",IF(N236="SETUP",IFERROR(INDEX('04_KE_HOACH_CD'!$K$6:$K$305,MATCH(K236,'04_KE_HOACH_CD'!$G$6:$G$305,0)),0),IF(OR(N236="PRODUCTION",N236="REWORK"),IFERROR(INDEX('04_KE_HOACH_CD'!$L$6:$L$305,MATCH(K236,'04_KE_HOACH_CD'!$G$6:$G$305,0))*V236,0),0)))</x:f>
      </x:c>
      <x:c r="AC236" s="39" t="str">
        <x:f>IF(A236="","",MAX(0,(P236-O236)*1440-Q236))</x:f>
      </x:c>
      <x:c r="AD236" s="37" t="str">
        <x:f>IF(A236="","",IFERROR(AB236/AC236,0))</x:f>
      </x:c>
      <x:c r="AE236" s="33" t="str">
        <x:f>IF(A236="","",AC236/60*SUMIF(DM_NHAN_SU!$A$6:$A$105,L236,DM_NHAN_SU!$E$6:$E$105))</x:f>
      </x:c>
      <x:c r="AF236" s="33" t="str">
        <x:f>IF(A236="","",AC236/60*SUMIF(DM_MAY!$A$6:$A$105,M236,DM_MAY!$F$6:$F$105))</x:f>
      </x:c>
      <x:c r="AG236" s="33" t="str">
        <x:f>IF(A236="","",AE236+AF236)</x:f>
      </x:c>
      <x:c r="AH236" s="21"/>
      <x:c r="AI236" s="29" t="str">
        <x:f>IF(A236="","",IF(OR(B236="",D236="",E236="",I236="",L236="",N236="",O236="",P236=""),"Thiếu dữ liệu",IF(AND(OR(N236="PRODUCTION",N236="REWORK",N236="SETUP"),M236=""),"Thiếu máy",IF(P236&lt;O236,"Sai thời gian",IF(AA236&lt;&gt;0,"Sai cân đối SL","Hợp lệ")))))</x:f>
      </x:c>
      <x:c r="AJ236" s="21"/>
    </x:row>
    <x:row r="237">
      <x:c r="A237" s="21"/>
      <x:c r="B237" s="35"/>
      <x:c r="C237" s="21"/>
      <x:c r="D237" s="21"/>
      <x:c r="E237" s="21"/>
      <x:c r="F237" s="21"/>
      <x:c r="G237" s="21"/>
      <x:c r="H237" s="29" t="str">
        <x:f>IF(OR(D237="",E237=""),"",D237&amp;"|"&amp;E237&amp;"|"&amp;IF(F237="","00",F237)&amp;"|"&amp;IF(G237="","01",G237))</x:f>
      </x:c>
      <x:c r="I237" s="21"/>
      <x:c r="J237" s="29" t="str">
        <x:f>IF(K237="","",IFERROR(INDEX('04_KE_HOACH_CD'!$I$6:$I$305,MATCH(K237,'04_KE_HOACH_CD'!$G$6:$G$305,0)),""))</x:f>
      </x:c>
      <x:c r="K237" s="29" t="str">
        <x:f>IF(OR(H237="",I237=""),"",H237&amp;"|"&amp;TEXT(I237,"000"))</x:f>
      </x:c>
      <x:c r="L237" s="21"/>
      <x:c r="M237" s="21"/>
      <x:c r="N237" s="21"/>
      <x:c r="O237" s="43"/>
      <x:c r="P237" s="43"/>
      <x:c r="Q237" s="25"/>
      <x:c r="R237" s="25"/>
      <x:c r="S237" s="39" t="str">
        <x:f>IF(A237="","",SUMIF('07_DUNG_CHO'!$B$6:$B$505,A237,'07_DUNG_CHO'!$E$6:$E$505))</x:f>
      </x:c>
      <x:c r="T237" s="39" t="str">
        <x:f>IF(A237="","",IF(N237="SETUP",0,MAX(0,(P237-O237)*1440-Q237-S237)))</x:f>
      </x:c>
      <x:c r="U237" s="25"/>
      <x:c r="V237" s="25"/>
      <x:c r="W237" s="25"/>
      <x:c r="X237" s="25"/>
      <x:c r="Y237" s="25"/>
      <x:c r="Z237" s="25"/>
      <x:c r="AA237" s="39" t="str">
        <x:f>IF(A237="","",U237-SUM(V237,X237:Z237))</x:f>
      </x:c>
      <x:c r="AB237" s="39" t="str">
        <x:f>IF(A237="","",IF(N237="SETUP",IFERROR(INDEX('04_KE_HOACH_CD'!$K$6:$K$305,MATCH(K237,'04_KE_HOACH_CD'!$G$6:$G$305,0)),0),IF(OR(N237="PRODUCTION",N237="REWORK"),IFERROR(INDEX('04_KE_HOACH_CD'!$L$6:$L$305,MATCH(K237,'04_KE_HOACH_CD'!$G$6:$G$305,0))*V237,0),0)))</x:f>
      </x:c>
      <x:c r="AC237" s="39" t="str">
        <x:f>IF(A237="","",MAX(0,(P237-O237)*1440-Q237))</x:f>
      </x:c>
      <x:c r="AD237" s="37" t="str">
        <x:f>IF(A237="","",IFERROR(AB237/AC237,0))</x:f>
      </x:c>
      <x:c r="AE237" s="33" t="str">
        <x:f>IF(A237="","",AC237/60*SUMIF(DM_NHAN_SU!$A$6:$A$105,L237,DM_NHAN_SU!$E$6:$E$105))</x:f>
      </x:c>
      <x:c r="AF237" s="33" t="str">
        <x:f>IF(A237="","",AC237/60*SUMIF(DM_MAY!$A$6:$A$105,M237,DM_MAY!$F$6:$F$105))</x:f>
      </x:c>
      <x:c r="AG237" s="33" t="str">
        <x:f>IF(A237="","",AE237+AF237)</x:f>
      </x:c>
      <x:c r="AH237" s="21"/>
      <x:c r="AI237" s="29" t="str">
        <x:f>IF(A237="","",IF(OR(B237="",D237="",E237="",I237="",L237="",N237="",O237="",P237=""),"Thiếu dữ liệu",IF(AND(OR(N237="PRODUCTION",N237="REWORK",N237="SETUP"),M237=""),"Thiếu máy",IF(P237&lt;O237,"Sai thời gian",IF(AA237&lt;&gt;0,"Sai cân đối SL","Hợp lệ")))))</x:f>
      </x:c>
      <x:c r="AJ237" s="21"/>
    </x:row>
    <x:row r="238">
      <x:c r="A238" s="21"/>
      <x:c r="B238" s="35"/>
      <x:c r="C238" s="21"/>
      <x:c r="D238" s="21"/>
      <x:c r="E238" s="21"/>
      <x:c r="F238" s="21"/>
      <x:c r="G238" s="21"/>
      <x:c r="H238" s="29" t="str">
        <x:f>IF(OR(D238="",E238=""),"",D238&amp;"|"&amp;E238&amp;"|"&amp;IF(F238="","00",F238)&amp;"|"&amp;IF(G238="","01",G238))</x:f>
      </x:c>
      <x:c r="I238" s="21"/>
      <x:c r="J238" s="29" t="str">
        <x:f>IF(K238="","",IFERROR(INDEX('04_KE_HOACH_CD'!$I$6:$I$305,MATCH(K238,'04_KE_HOACH_CD'!$G$6:$G$305,0)),""))</x:f>
      </x:c>
      <x:c r="K238" s="29" t="str">
        <x:f>IF(OR(H238="",I238=""),"",H238&amp;"|"&amp;TEXT(I238,"000"))</x:f>
      </x:c>
      <x:c r="L238" s="21"/>
      <x:c r="M238" s="21"/>
      <x:c r="N238" s="21"/>
      <x:c r="O238" s="43"/>
      <x:c r="P238" s="43"/>
      <x:c r="Q238" s="25"/>
      <x:c r="R238" s="25"/>
      <x:c r="S238" s="39" t="str">
        <x:f>IF(A238="","",SUMIF('07_DUNG_CHO'!$B$6:$B$505,A238,'07_DUNG_CHO'!$E$6:$E$505))</x:f>
      </x:c>
      <x:c r="T238" s="39" t="str">
        <x:f>IF(A238="","",IF(N238="SETUP",0,MAX(0,(P238-O238)*1440-Q238-S238)))</x:f>
      </x:c>
      <x:c r="U238" s="25"/>
      <x:c r="V238" s="25"/>
      <x:c r="W238" s="25"/>
      <x:c r="X238" s="25"/>
      <x:c r="Y238" s="25"/>
      <x:c r="Z238" s="25"/>
      <x:c r="AA238" s="39" t="str">
        <x:f>IF(A238="","",U238-SUM(V238,X238:Z238))</x:f>
      </x:c>
      <x:c r="AB238" s="39" t="str">
        <x:f>IF(A238="","",IF(N238="SETUP",IFERROR(INDEX('04_KE_HOACH_CD'!$K$6:$K$305,MATCH(K238,'04_KE_HOACH_CD'!$G$6:$G$305,0)),0),IF(OR(N238="PRODUCTION",N238="REWORK"),IFERROR(INDEX('04_KE_HOACH_CD'!$L$6:$L$305,MATCH(K238,'04_KE_HOACH_CD'!$G$6:$G$305,0))*V238,0),0)))</x:f>
      </x:c>
      <x:c r="AC238" s="39" t="str">
        <x:f>IF(A238="","",MAX(0,(P238-O238)*1440-Q238))</x:f>
      </x:c>
      <x:c r="AD238" s="37" t="str">
        <x:f>IF(A238="","",IFERROR(AB238/AC238,0))</x:f>
      </x:c>
      <x:c r="AE238" s="33" t="str">
        <x:f>IF(A238="","",AC238/60*SUMIF(DM_NHAN_SU!$A$6:$A$105,L238,DM_NHAN_SU!$E$6:$E$105))</x:f>
      </x:c>
      <x:c r="AF238" s="33" t="str">
        <x:f>IF(A238="","",AC238/60*SUMIF(DM_MAY!$A$6:$A$105,M238,DM_MAY!$F$6:$F$105))</x:f>
      </x:c>
      <x:c r="AG238" s="33" t="str">
        <x:f>IF(A238="","",AE238+AF238)</x:f>
      </x:c>
      <x:c r="AH238" s="21"/>
      <x:c r="AI238" s="29" t="str">
        <x:f>IF(A238="","",IF(OR(B238="",D238="",E238="",I238="",L238="",N238="",O238="",P238=""),"Thiếu dữ liệu",IF(AND(OR(N238="PRODUCTION",N238="REWORK",N238="SETUP"),M238=""),"Thiếu máy",IF(P238&lt;O238,"Sai thời gian",IF(AA238&lt;&gt;0,"Sai cân đối SL","Hợp lệ")))))</x:f>
      </x:c>
      <x:c r="AJ238" s="21"/>
    </x:row>
    <x:row r="239">
      <x:c r="A239" s="21"/>
      <x:c r="B239" s="35"/>
      <x:c r="C239" s="21"/>
      <x:c r="D239" s="21"/>
      <x:c r="E239" s="21"/>
      <x:c r="F239" s="21"/>
      <x:c r="G239" s="21"/>
      <x:c r="H239" s="29" t="str">
        <x:f>IF(OR(D239="",E239=""),"",D239&amp;"|"&amp;E239&amp;"|"&amp;IF(F239="","00",F239)&amp;"|"&amp;IF(G239="","01",G239))</x:f>
      </x:c>
      <x:c r="I239" s="21"/>
      <x:c r="J239" s="29" t="str">
        <x:f>IF(K239="","",IFERROR(INDEX('04_KE_HOACH_CD'!$I$6:$I$305,MATCH(K239,'04_KE_HOACH_CD'!$G$6:$G$305,0)),""))</x:f>
      </x:c>
      <x:c r="K239" s="29" t="str">
        <x:f>IF(OR(H239="",I239=""),"",H239&amp;"|"&amp;TEXT(I239,"000"))</x:f>
      </x:c>
      <x:c r="L239" s="21"/>
      <x:c r="M239" s="21"/>
      <x:c r="N239" s="21"/>
      <x:c r="O239" s="43"/>
      <x:c r="P239" s="43"/>
      <x:c r="Q239" s="25"/>
      <x:c r="R239" s="25"/>
      <x:c r="S239" s="39" t="str">
        <x:f>IF(A239="","",SUMIF('07_DUNG_CHO'!$B$6:$B$505,A239,'07_DUNG_CHO'!$E$6:$E$505))</x:f>
      </x:c>
      <x:c r="T239" s="39" t="str">
        <x:f>IF(A239="","",IF(N239="SETUP",0,MAX(0,(P239-O239)*1440-Q239-S239)))</x:f>
      </x:c>
      <x:c r="U239" s="25"/>
      <x:c r="V239" s="25"/>
      <x:c r="W239" s="25"/>
      <x:c r="X239" s="25"/>
      <x:c r="Y239" s="25"/>
      <x:c r="Z239" s="25"/>
      <x:c r="AA239" s="39" t="str">
        <x:f>IF(A239="","",U239-SUM(V239,X239:Z239))</x:f>
      </x:c>
      <x:c r="AB239" s="39" t="str">
        <x:f>IF(A239="","",IF(N239="SETUP",IFERROR(INDEX('04_KE_HOACH_CD'!$K$6:$K$305,MATCH(K239,'04_KE_HOACH_CD'!$G$6:$G$305,0)),0),IF(OR(N239="PRODUCTION",N239="REWORK"),IFERROR(INDEX('04_KE_HOACH_CD'!$L$6:$L$305,MATCH(K239,'04_KE_HOACH_CD'!$G$6:$G$305,0))*V239,0),0)))</x:f>
      </x:c>
      <x:c r="AC239" s="39" t="str">
        <x:f>IF(A239="","",MAX(0,(P239-O239)*1440-Q239))</x:f>
      </x:c>
      <x:c r="AD239" s="37" t="str">
        <x:f>IF(A239="","",IFERROR(AB239/AC239,0))</x:f>
      </x:c>
      <x:c r="AE239" s="33" t="str">
        <x:f>IF(A239="","",AC239/60*SUMIF(DM_NHAN_SU!$A$6:$A$105,L239,DM_NHAN_SU!$E$6:$E$105))</x:f>
      </x:c>
      <x:c r="AF239" s="33" t="str">
        <x:f>IF(A239="","",AC239/60*SUMIF(DM_MAY!$A$6:$A$105,M239,DM_MAY!$F$6:$F$105))</x:f>
      </x:c>
      <x:c r="AG239" s="33" t="str">
        <x:f>IF(A239="","",AE239+AF239)</x:f>
      </x:c>
      <x:c r="AH239" s="21"/>
      <x:c r="AI239" s="29" t="str">
        <x:f>IF(A239="","",IF(OR(B239="",D239="",E239="",I239="",L239="",N239="",O239="",P239=""),"Thiếu dữ liệu",IF(AND(OR(N239="PRODUCTION",N239="REWORK",N239="SETUP"),M239=""),"Thiếu máy",IF(P239&lt;O239,"Sai thời gian",IF(AA239&lt;&gt;0,"Sai cân đối SL","Hợp lệ")))))</x:f>
      </x:c>
      <x:c r="AJ239" s="21"/>
    </x:row>
    <x:row r="240">
      <x:c r="A240" s="21"/>
      <x:c r="B240" s="35"/>
      <x:c r="C240" s="21"/>
      <x:c r="D240" s="21"/>
      <x:c r="E240" s="21"/>
      <x:c r="F240" s="21"/>
      <x:c r="G240" s="21"/>
      <x:c r="H240" s="29" t="str">
        <x:f>IF(OR(D240="",E240=""),"",D240&amp;"|"&amp;E240&amp;"|"&amp;IF(F240="","00",F240)&amp;"|"&amp;IF(G240="","01",G240))</x:f>
      </x:c>
      <x:c r="I240" s="21"/>
      <x:c r="J240" s="29" t="str">
        <x:f>IF(K240="","",IFERROR(INDEX('04_KE_HOACH_CD'!$I$6:$I$305,MATCH(K240,'04_KE_HOACH_CD'!$G$6:$G$305,0)),""))</x:f>
      </x:c>
      <x:c r="K240" s="29" t="str">
        <x:f>IF(OR(H240="",I240=""),"",H240&amp;"|"&amp;TEXT(I240,"000"))</x:f>
      </x:c>
      <x:c r="L240" s="21"/>
      <x:c r="M240" s="21"/>
      <x:c r="N240" s="21"/>
      <x:c r="O240" s="43"/>
      <x:c r="P240" s="43"/>
      <x:c r="Q240" s="25"/>
      <x:c r="R240" s="25"/>
      <x:c r="S240" s="39" t="str">
        <x:f>IF(A240="","",SUMIF('07_DUNG_CHO'!$B$6:$B$505,A240,'07_DUNG_CHO'!$E$6:$E$505))</x:f>
      </x:c>
      <x:c r="T240" s="39" t="str">
        <x:f>IF(A240="","",IF(N240="SETUP",0,MAX(0,(P240-O240)*1440-Q240-S240)))</x:f>
      </x:c>
      <x:c r="U240" s="25"/>
      <x:c r="V240" s="25"/>
      <x:c r="W240" s="25"/>
      <x:c r="X240" s="25"/>
      <x:c r="Y240" s="25"/>
      <x:c r="Z240" s="25"/>
      <x:c r="AA240" s="39" t="str">
        <x:f>IF(A240="","",U240-SUM(V240,X240:Z240))</x:f>
      </x:c>
      <x:c r="AB240" s="39" t="str">
        <x:f>IF(A240="","",IF(N240="SETUP",IFERROR(INDEX('04_KE_HOACH_CD'!$K$6:$K$305,MATCH(K240,'04_KE_HOACH_CD'!$G$6:$G$305,0)),0),IF(OR(N240="PRODUCTION",N240="REWORK"),IFERROR(INDEX('04_KE_HOACH_CD'!$L$6:$L$305,MATCH(K240,'04_KE_HOACH_CD'!$G$6:$G$305,0))*V240,0),0)))</x:f>
      </x:c>
      <x:c r="AC240" s="39" t="str">
        <x:f>IF(A240="","",MAX(0,(P240-O240)*1440-Q240))</x:f>
      </x:c>
      <x:c r="AD240" s="37" t="str">
        <x:f>IF(A240="","",IFERROR(AB240/AC240,0))</x:f>
      </x:c>
      <x:c r="AE240" s="33" t="str">
        <x:f>IF(A240="","",AC240/60*SUMIF(DM_NHAN_SU!$A$6:$A$105,L240,DM_NHAN_SU!$E$6:$E$105))</x:f>
      </x:c>
      <x:c r="AF240" s="33" t="str">
        <x:f>IF(A240="","",AC240/60*SUMIF(DM_MAY!$A$6:$A$105,M240,DM_MAY!$F$6:$F$105))</x:f>
      </x:c>
      <x:c r="AG240" s="33" t="str">
        <x:f>IF(A240="","",AE240+AF240)</x:f>
      </x:c>
      <x:c r="AH240" s="21"/>
      <x:c r="AI240" s="29" t="str">
        <x:f>IF(A240="","",IF(OR(B240="",D240="",E240="",I240="",L240="",N240="",O240="",P240=""),"Thiếu dữ liệu",IF(AND(OR(N240="PRODUCTION",N240="REWORK",N240="SETUP"),M240=""),"Thiếu máy",IF(P240&lt;O240,"Sai thời gian",IF(AA240&lt;&gt;0,"Sai cân đối SL","Hợp lệ")))))</x:f>
      </x:c>
      <x:c r="AJ240" s="21"/>
    </x:row>
    <x:row r="241">
      <x:c r="A241" s="21"/>
      <x:c r="B241" s="35"/>
      <x:c r="C241" s="21"/>
      <x:c r="D241" s="21"/>
      <x:c r="E241" s="21"/>
      <x:c r="F241" s="21"/>
      <x:c r="G241" s="21"/>
      <x:c r="H241" s="29" t="str">
        <x:f>IF(OR(D241="",E241=""),"",D241&amp;"|"&amp;E241&amp;"|"&amp;IF(F241="","00",F241)&amp;"|"&amp;IF(G241="","01",G241))</x:f>
      </x:c>
      <x:c r="I241" s="21"/>
      <x:c r="J241" s="29" t="str">
        <x:f>IF(K241="","",IFERROR(INDEX('04_KE_HOACH_CD'!$I$6:$I$305,MATCH(K241,'04_KE_HOACH_CD'!$G$6:$G$305,0)),""))</x:f>
      </x:c>
      <x:c r="K241" s="29" t="str">
        <x:f>IF(OR(H241="",I241=""),"",H241&amp;"|"&amp;TEXT(I241,"000"))</x:f>
      </x:c>
      <x:c r="L241" s="21"/>
      <x:c r="M241" s="21"/>
      <x:c r="N241" s="21"/>
      <x:c r="O241" s="43"/>
      <x:c r="P241" s="43"/>
      <x:c r="Q241" s="25"/>
      <x:c r="R241" s="25"/>
      <x:c r="S241" s="39" t="str">
        <x:f>IF(A241="","",SUMIF('07_DUNG_CHO'!$B$6:$B$505,A241,'07_DUNG_CHO'!$E$6:$E$505))</x:f>
      </x:c>
      <x:c r="T241" s="39" t="str">
        <x:f>IF(A241="","",IF(N241="SETUP",0,MAX(0,(P241-O241)*1440-Q241-S241)))</x:f>
      </x:c>
      <x:c r="U241" s="25"/>
      <x:c r="V241" s="25"/>
      <x:c r="W241" s="25"/>
      <x:c r="X241" s="25"/>
      <x:c r="Y241" s="25"/>
      <x:c r="Z241" s="25"/>
      <x:c r="AA241" s="39" t="str">
        <x:f>IF(A241="","",U241-SUM(V241,X241:Z241))</x:f>
      </x:c>
      <x:c r="AB241" s="39" t="str">
        <x:f>IF(A241="","",IF(N241="SETUP",IFERROR(INDEX('04_KE_HOACH_CD'!$K$6:$K$305,MATCH(K241,'04_KE_HOACH_CD'!$G$6:$G$305,0)),0),IF(OR(N241="PRODUCTION",N241="REWORK"),IFERROR(INDEX('04_KE_HOACH_CD'!$L$6:$L$305,MATCH(K241,'04_KE_HOACH_CD'!$G$6:$G$305,0))*V241,0),0)))</x:f>
      </x:c>
      <x:c r="AC241" s="39" t="str">
        <x:f>IF(A241="","",MAX(0,(P241-O241)*1440-Q241))</x:f>
      </x:c>
      <x:c r="AD241" s="37" t="str">
        <x:f>IF(A241="","",IFERROR(AB241/AC241,0))</x:f>
      </x:c>
      <x:c r="AE241" s="33" t="str">
        <x:f>IF(A241="","",AC241/60*SUMIF(DM_NHAN_SU!$A$6:$A$105,L241,DM_NHAN_SU!$E$6:$E$105))</x:f>
      </x:c>
      <x:c r="AF241" s="33" t="str">
        <x:f>IF(A241="","",AC241/60*SUMIF(DM_MAY!$A$6:$A$105,M241,DM_MAY!$F$6:$F$105))</x:f>
      </x:c>
      <x:c r="AG241" s="33" t="str">
        <x:f>IF(A241="","",AE241+AF241)</x:f>
      </x:c>
      <x:c r="AH241" s="21"/>
      <x:c r="AI241" s="29" t="str">
        <x:f>IF(A241="","",IF(OR(B241="",D241="",E241="",I241="",L241="",N241="",O241="",P241=""),"Thiếu dữ liệu",IF(AND(OR(N241="PRODUCTION",N241="REWORK",N241="SETUP"),M241=""),"Thiếu máy",IF(P241&lt;O241,"Sai thời gian",IF(AA241&lt;&gt;0,"Sai cân đối SL","Hợp lệ")))))</x:f>
      </x:c>
      <x:c r="AJ241" s="21"/>
    </x:row>
    <x:row r="242">
      <x:c r="A242" s="21"/>
      <x:c r="B242" s="35"/>
      <x:c r="C242" s="21"/>
      <x:c r="D242" s="21"/>
      <x:c r="E242" s="21"/>
      <x:c r="F242" s="21"/>
      <x:c r="G242" s="21"/>
      <x:c r="H242" s="29" t="str">
        <x:f>IF(OR(D242="",E242=""),"",D242&amp;"|"&amp;E242&amp;"|"&amp;IF(F242="","00",F242)&amp;"|"&amp;IF(G242="","01",G242))</x:f>
      </x:c>
      <x:c r="I242" s="21"/>
      <x:c r="J242" s="29" t="str">
        <x:f>IF(K242="","",IFERROR(INDEX('04_KE_HOACH_CD'!$I$6:$I$305,MATCH(K242,'04_KE_HOACH_CD'!$G$6:$G$305,0)),""))</x:f>
      </x:c>
      <x:c r="K242" s="29" t="str">
        <x:f>IF(OR(H242="",I242=""),"",H242&amp;"|"&amp;TEXT(I242,"000"))</x:f>
      </x:c>
      <x:c r="L242" s="21"/>
      <x:c r="M242" s="21"/>
      <x:c r="N242" s="21"/>
      <x:c r="O242" s="43"/>
      <x:c r="P242" s="43"/>
      <x:c r="Q242" s="25"/>
      <x:c r="R242" s="25"/>
      <x:c r="S242" s="39" t="str">
        <x:f>IF(A242="","",SUMIF('07_DUNG_CHO'!$B$6:$B$505,A242,'07_DUNG_CHO'!$E$6:$E$505))</x:f>
      </x:c>
      <x:c r="T242" s="39" t="str">
        <x:f>IF(A242="","",IF(N242="SETUP",0,MAX(0,(P242-O242)*1440-Q242-S242)))</x:f>
      </x:c>
      <x:c r="U242" s="25"/>
      <x:c r="V242" s="25"/>
      <x:c r="W242" s="25"/>
      <x:c r="X242" s="25"/>
      <x:c r="Y242" s="25"/>
      <x:c r="Z242" s="25"/>
      <x:c r="AA242" s="39" t="str">
        <x:f>IF(A242="","",U242-SUM(V242,X242:Z242))</x:f>
      </x:c>
      <x:c r="AB242" s="39" t="str">
        <x:f>IF(A242="","",IF(N242="SETUP",IFERROR(INDEX('04_KE_HOACH_CD'!$K$6:$K$305,MATCH(K242,'04_KE_HOACH_CD'!$G$6:$G$305,0)),0),IF(OR(N242="PRODUCTION",N242="REWORK"),IFERROR(INDEX('04_KE_HOACH_CD'!$L$6:$L$305,MATCH(K242,'04_KE_HOACH_CD'!$G$6:$G$305,0))*V242,0),0)))</x:f>
      </x:c>
      <x:c r="AC242" s="39" t="str">
        <x:f>IF(A242="","",MAX(0,(P242-O242)*1440-Q242))</x:f>
      </x:c>
      <x:c r="AD242" s="37" t="str">
        <x:f>IF(A242="","",IFERROR(AB242/AC242,0))</x:f>
      </x:c>
      <x:c r="AE242" s="33" t="str">
        <x:f>IF(A242="","",AC242/60*SUMIF(DM_NHAN_SU!$A$6:$A$105,L242,DM_NHAN_SU!$E$6:$E$105))</x:f>
      </x:c>
      <x:c r="AF242" s="33" t="str">
        <x:f>IF(A242="","",AC242/60*SUMIF(DM_MAY!$A$6:$A$105,M242,DM_MAY!$F$6:$F$105))</x:f>
      </x:c>
      <x:c r="AG242" s="33" t="str">
        <x:f>IF(A242="","",AE242+AF242)</x:f>
      </x:c>
      <x:c r="AH242" s="21"/>
      <x:c r="AI242" s="29" t="str">
        <x:f>IF(A242="","",IF(OR(B242="",D242="",E242="",I242="",L242="",N242="",O242="",P242=""),"Thiếu dữ liệu",IF(AND(OR(N242="PRODUCTION",N242="REWORK",N242="SETUP"),M242=""),"Thiếu máy",IF(P242&lt;O242,"Sai thời gian",IF(AA242&lt;&gt;0,"Sai cân đối SL","Hợp lệ")))))</x:f>
      </x:c>
      <x:c r="AJ242" s="21"/>
    </x:row>
    <x:row r="243">
      <x:c r="A243" s="21"/>
      <x:c r="B243" s="35"/>
      <x:c r="C243" s="21"/>
      <x:c r="D243" s="21"/>
      <x:c r="E243" s="21"/>
      <x:c r="F243" s="21"/>
      <x:c r="G243" s="21"/>
      <x:c r="H243" s="29" t="str">
        <x:f>IF(OR(D243="",E243=""),"",D243&amp;"|"&amp;E243&amp;"|"&amp;IF(F243="","00",F243)&amp;"|"&amp;IF(G243="","01",G243))</x:f>
      </x:c>
      <x:c r="I243" s="21"/>
      <x:c r="J243" s="29" t="str">
        <x:f>IF(K243="","",IFERROR(INDEX('04_KE_HOACH_CD'!$I$6:$I$305,MATCH(K243,'04_KE_HOACH_CD'!$G$6:$G$305,0)),""))</x:f>
      </x:c>
      <x:c r="K243" s="29" t="str">
        <x:f>IF(OR(H243="",I243=""),"",H243&amp;"|"&amp;TEXT(I243,"000"))</x:f>
      </x:c>
      <x:c r="L243" s="21"/>
      <x:c r="M243" s="21"/>
      <x:c r="N243" s="21"/>
      <x:c r="O243" s="43"/>
      <x:c r="P243" s="43"/>
      <x:c r="Q243" s="25"/>
      <x:c r="R243" s="25"/>
      <x:c r="S243" s="39" t="str">
        <x:f>IF(A243="","",SUMIF('07_DUNG_CHO'!$B$6:$B$505,A243,'07_DUNG_CHO'!$E$6:$E$505))</x:f>
      </x:c>
      <x:c r="T243" s="39" t="str">
        <x:f>IF(A243="","",IF(N243="SETUP",0,MAX(0,(P243-O243)*1440-Q243-S243)))</x:f>
      </x:c>
      <x:c r="U243" s="25"/>
      <x:c r="V243" s="25"/>
      <x:c r="W243" s="25"/>
      <x:c r="X243" s="25"/>
      <x:c r="Y243" s="25"/>
      <x:c r="Z243" s="25"/>
      <x:c r="AA243" s="39" t="str">
        <x:f>IF(A243="","",U243-SUM(V243,X243:Z243))</x:f>
      </x:c>
      <x:c r="AB243" s="39" t="str">
        <x:f>IF(A243="","",IF(N243="SETUP",IFERROR(INDEX('04_KE_HOACH_CD'!$K$6:$K$305,MATCH(K243,'04_KE_HOACH_CD'!$G$6:$G$305,0)),0),IF(OR(N243="PRODUCTION",N243="REWORK"),IFERROR(INDEX('04_KE_HOACH_CD'!$L$6:$L$305,MATCH(K243,'04_KE_HOACH_CD'!$G$6:$G$305,0))*V243,0),0)))</x:f>
      </x:c>
      <x:c r="AC243" s="39" t="str">
        <x:f>IF(A243="","",MAX(0,(P243-O243)*1440-Q243))</x:f>
      </x:c>
      <x:c r="AD243" s="37" t="str">
        <x:f>IF(A243="","",IFERROR(AB243/AC243,0))</x:f>
      </x:c>
      <x:c r="AE243" s="33" t="str">
        <x:f>IF(A243="","",AC243/60*SUMIF(DM_NHAN_SU!$A$6:$A$105,L243,DM_NHAN_SU!$E$6:$E$105))</x:f>
      </x:c>
      <x:c r="AF243" s="33" t="str">
        <x:f>IF(A243="","",AC243/60*SUMIF(DM_MAY!$A$6:$A$105,M243,DM_MAY!$F$6:$F$105))</x:f>
      </x:c>
      <x:c r="AG243" s="33" t="str">
        <x:f>IF(A243="","",AE243+AF243)</x:f>
      </x:c>
      <x:c r="AH243" s="21"/>
      <x:c r="AI243" s="29" t="str">
        <x:f>IF(A243="","",IF(OR(B243="",D243="",E243="",I243="",L243="",N243="",O243="",P243=""),"Thiếu dữ liệu",IF(AND(OR(N243="PRODUCTION",N243="REWORK",N243="SETUP"),M243=""),"Thiếu máy",IF(P243&lt;O243,"Sai thời gian",IF(AA243&lt;&gt;0,"Sai cân đối SL","Hợp lệ")))))</x:f>
      </x:c>
      <x:c r="AJ243" s="21"/>
    </x:row>
    <x:row r="244">
      <x:c r="A244" s="21"/>
      <x:c r="B244" s="35"/>
      <x:c r="C244" s="21"/>
      <x:c r="D244" s="21"/>
      <x:c r="E244" s="21"/>
      <x:c r="F244" s="21"/>
      <x:c r="G244" s="21"/>
      <x:c r="H244" s="29" t="str">
        <x:f>IF(OR(D244="",E244=""),"",D244&amp;"|"&amp;E244&amp;"|"&amp;IF(F244="","00",F244)&amp;"|"&amp;IF(G244="","01",G244))</x:f>
      </x:c>
      <x:c r="I244" s="21"/>
      <x:c r="J244" s="29" t="str">
        <x:f>IF(K244="","",IFERROR(INDEX('04_KE_HOACH_CD'!$I$6:$I$305,MATCH(K244,'04_KE_HOACH_CD'!$G$6:$G$305,0)),""))</x:f>
      </x:c>
      <x:c r="K244" s="29" t="str">
        <x:f>IF(OR(H244="",I244=""),"",H244&amp;"|"&amp;TEXT(I244,"000"))</x:f>
      </x:c>
      <x:c r="L244" s="21"/>
      <x:c r="M244" s="21"/>
      <x:c r="N244" s="21"/>
      <x:c r="O244" s="43"/>
      <x:c r="P244" s="43"/>
      <x:c r="Q244" s="25"/>
      <x:c r="R244" s="25"/>
      <x:c r="S244" s="39" t="str">
        <x:f>IF(A244="","",SUMIF('07_DUNG_CHO'!$B$6:$B$505,A244,'07_DUNG_CHO'!$E$6:$E$505))</x:f>
      </x:c>
      <x:c r="T244" s="39" t="str">
        <x:f>IF(A244="","",IF(N244="SETUP",0,MAX(0,(P244-O244)*1440-Q244-S244)))</x:f>
      </x:c>
      <x:c r="U244" s="25"/>
      <x:c r="V244" s="25"/>
      <x:c r="W244" s="25"/>
      <x:c r="X244" s="25"/>
      <x:c r="Y244" s="25"/>
      <x:c r="Z244" s="25"/>
      <x:c r="AA244" s="39" t="str">
        <x:f>IF(A244="","",U244-SUM(V244,X244:Z244))</x:f>
      </x:c>
      <x:c r="AB244" s="39" t="str">
        <x:f>IF(A244="","",IF(N244="SETUP",IFERROR(INDEX('04_KE_HOACH_CD'!$K$6:$K$305,MATCH(K244,'04_KE_HOACH_CD'!$G$6:$G$305,0)),0),IF(OR(N244="PRODUCTION",N244="REWORK"),IFERROR(INDEX('04_KE_HOACH_CD'!$L$6:$L$305,MATCH(K244,'04_KE_HOACH_CD'!$G$6:$G$305,0))*V244,0),0)))</x:f>
      </x:c>
      <x:c r="AC244" s="39" t="str">
        <x:f>IF(A244="","",MAX(0,(P244-O244)*1440-Q244))</x:f>
      </x:c>
      <x:c r="AD244" s="37" t="str">
        <x:f>IF(A244="","",IFERROR(AB244/AC244,0))</x:f>
      </x:c>
      <x:c r="AE244" s="33" t="str">
        <x:f>IF(A244="","",AC244/60*SUMIF(DM_NHAN_SU!$A$6:$A$105,L244,DM_NHAN_SU!$E$6:$E$105))</x:f>
      </x:c>
      <x:c r="AF244" s="33" t="str">
        <x:f>IF(A244="","",AC244/60*SUMIF(DM_MAY!$A$6:$A$105,M244,DM_MAY!$F$6:$F$105))</x:f>
      </x:c>
      <x:c r="AG244" s="33" t="str">
        <x:f>IF(A244="","",AE244+AF244)</x:f>
      </x:c>
      <x:c r="AH244" s="21"/>
      <x:c r="AI244" s="29" t="str">
        <x:f>IF(A244="","",IF(OR(B244="",D244="",E244="",I244="",L244="",N244="",O244="",P244=""),"Thiếu dữ liệu",IF(AND(OR(N244="PRODUCTION",N244="REWORK",N244="SETUP"),M244=""),"Thiếu máy",IF(P244&lt;O244,"Sai thời gian",IF(AA244&lt;&gt;0,"Sai cân đối SL","Hợp lệ")))))</x:f>
      </x:c>
      <x:c r="AJ244" s="21"/>
    </x:row>
    <x:row r="245">
      <x:c r="A245" s="21"/>
      <x:c r="B245" s="35"/>
      <x:c r="C245" s="21"/>
      <x:c r="D245" s="21"/>
      <x:c r="E245" s="21"/>
      <x:c r="F245" s="21"/>
      <x:c r="G245" s="21"/>
      <x:c r="H245" s="29" t="str">
        <x:f>IF(OR(D245="",E245=""),"",D245&amp;"|"&amp;E245&amp;"|"&amp;IF(F245="","00",F245)&amp;"|"&amp;IF(G245="","01",G245))</x:f>
      </x:c>
      <x:c r="I245" s="21"/>
      <x:c r="J245" s="29" t="str">
        <x:f>IF(K245="","",IFERROR(INDEX('04_KE_HOACH_CD'!$I$6:$I$305,MATCH(K245,'04_KE_HOACH_CD'!$G$6:$G$305,0)),""))</x:f>
      </x:c>
      <x:c r="K245" s="29" t="str">
        <x:f>IF(OR(H245="",I245=""),"",H245&amp;"|"&amp;TEXT(I245,"000"))</x:f>
      </x:c>
      <x:c r="L245" s="21"/>
      <x:c r="M245" s="21"/>
      <x:c r="N245" s="21"/>
      <x:c r="O245" s="43"/>
      <x:c r="P245" s="43"/>
      <x:c r="Q245" s="25"/>
      <x:c r="R245" s="25"/>
      <x:c r="S245" s="39" t="str">
        <x:f>IF(A245="","",SUMIF('07_DUNG_CHO'!$B$6:$B$505,A245,'07_DUNG_CHO'!$E$6:$E$505))</x:f>
      </x:c>
      <x:c r="T245" s="39" t="str">
        <x:f>IF(A245="","",IF(N245="SETUP",0,MAX(0,(P245-O245)*1440-Q245-S245)))</x:f>
      </x:c>
      <x:c r="U245" s="25"/>
      <x:c r="V245" s="25"/>
      <x:c r="W245" s="25"/>
      <x:c r="X245" s="25"/>
      <x:c r="Y245" s="25"/>
      <x:c r="Z245" s="25"/>
      <x:c r="AA245" s="39" t="str">
        <x:f>IF(A245="","",U245-SUM(V245,X245:Z245))</x:f>
      </x:c>
      <x:c r="AB245" s="39" t="str">
        <x:f>IF(A245="","",IF(N245="SETUP",IFERROR(INDEX('04_KE_HOACH_CD'!$K$6:$K$305,MATCH(K245,'04_KE_HOACH_CD'!$G$6:$G$305,0)),0),IF(OR(N245="PRODUCTION",N245="REWORK"),IFERROR(INDEX('04_KE_HOACH_CD'!$L$6:$L$305,MATCH(K245,'04_KE_HOACH_CD'!$G$6:$G$305,0))*V245,0),0)))</x:f>
      </x:c>
      <x:c r="AC245" s="39" t="str">
        <x:f>IF(A245="","",MAX(0,(P245-O245)*1440-Q245))</x:f>
      </x:c>
      <x:c r="AD245" s="37" t="str">
        <x:f>IF(A245="","",IFERROR(AB245/AC245,0))</x:f>
      </x:c>
      <x:c r="AE245" s="33" t="str">
        <x:f>IF(A245="","",AC245/60*SUMIF(DM_NHAN_SU!$A$6:$A$105,L245,DM_NHAN_SU!$E$6:$E$105))</x:f>
      </x:c>
      <x:c r="AF245" s="33" t="str">
        <x:f>IF(A245="","",AC245/60*SUMIF(DM_MAY!$A$6:$A$105,M245,DM_MAY!$F$6:$F$105))</x:f>
      </x:c>
      <x:c r="AG245" s="33" t="str">
        <x:f>IF(A245="","",AE245+AF245)</x:f>
      </x:c>
      <x:c r="AH245" s="21"/>
      <x:c r="AI245" s="29" t="str">
        <x:f>IF(A245="","",IF(OR(B245="",D245="",E245="",I245="",L245="",N245="",O245="",P245=""),"Thiếu dữ liệu",IF(AND(OR(N245="PRODUCTION",N245="REWORK",N245="SETUP"),M245=""),"Thiếu máy",IF(P245&lt;O245,"Sai thời gian",IF(AA245&lt;&gt;0,"Sai cân đối SL","Hợp lệ")))))</x:f>
      </x:c>
      <x:c r="AJ245" s="21"/>
    </x:row>
    <x:row r="246">
      <x:c r="A246" s="21"/>
      <x:c r="B246" s="35"/>
      <x:c r="C246" s="21"/>
      <x:c r="D246" s="21"/>
      <x:c r="E246" s="21"/>
      <x:c r="F246" s="21"/>
      <x:c r="G246" s="21"/>
      <x:c r="H246" s="29" t="str">
        <x:f>IF(OR(D246="",E246=""),"",D246&amp;"|"&amp;E246&amp;"|"&amp;IF(F246="","00",F246)&amp;"|"&amp;IF(G246="","01",G246))</x:f>
      </x:c>
      <x:c r="I246" s="21"/>
      <x:c r="J246" s="29" t="str">
        <x:f>IF(K246="","",IFERROR(INDEX('04_KE_HOACH_CD'!$I$6:$I$305,MATCH(K246,'04_KE_HOACH_CD'!$G$6:$G$305,0)),""))</x:f>
      </x:c>
      <x:c r="K246" s="29" t="str">
        <x:f>IF(OR(H246="",I246=""),"",H246&amp;"|"&amp;TEXT(I246,"000"))</x:f>
      </x:c>
      <x:c r="L246" s="21"/>
      <x:c r="M246" s="21"/>
      <x:c r="N246" s="21"/>
      <x:c r="O246" s="43"/>
      <x:c r="P246" s="43"/>
      <x:c r="Q246" s="25"/>
      <x:c r="R246" s="25"/>
      <x:c r="S246" s="39" t="str">
        <x:f>IF(A246="","",SUMIF('07_DUNG_CHO'!$B$6:$B$505,A246,'07_DUNG_CHO'!$E$6:$E$505))</x:f>
      </x:c>
      <x:c r="T246" s="39" t="str">
        <x:f>IF(A246="","",IF(N246="SETUP",0,MAX(0,(P246-O246)*1440-Q246-S246)))</x:f>
      </x:c>
      <x:c r="U246" s="25"/>
      <x:c r="V246" s="25"/>
      <x:c r="W246" s="25"/>
      <x:c r="X246" s="25"/>
      <x:c r="Y246" s="25"/>
      <x:c r="Z246" s="25"/>
      <x:c r="AA246" s="39" t="str">
        <x:f>IF(A246="","",U246-SUM(V246,X246:Z246))</x:f>
      </x:c>
      <x:c r="AB246" s="39" t="str">
        <x:f>IF(A246="","",IF(N246="SETUP",IFERROR(INDEX('04_KE_HOACH_CD'!$K$6:$K$305,MATCH(K246,'04_KE_HOACH_CD'!$G$6:$G$305,0)),0),IF(OR(N246="PRODUCTION",N246="REWORK"),IFERROR(INDEX('04_KE_HOACH_CD'!$L$6:$L$305,MATCH(K246,'04_KE_HOACH_CD'!$G$6:$G$305,0))*V246,0),0)))</x:f>
      </x:c>
      <x:c r="AC246" s="39" t="str">
        <x:f>IF(A246="","",MAX(0,(P246-O246)*1440-Q246))</x:f>
      </x:c>
      <x:c r="AD246" s="37" t="str">
        <x:f>IF(A246="","",IFERROR(AB246/AC246,0))</x:f>
      </x:c>
      <x:c r="AE246" s="33" t="str">
        <x:f>IF(A246="","",AC246/60*SUMIF(DM_NHAN_SU!$A$6:$A$105,L246,DM_NHAN_SU!$E$6:$E$105))</x:f>
      </x:c>
      <x:c r="AF246" s="33" t="str">
        <x:f>IF(A246="","",AC246/60*SUMIF(DM_MAY!$A$6:$A$105,M246,DM_MAY!$F$6:$F$105))</x:f>
      </x:c>
      <x:c r="AG246" s="33" t="str">
        <x:f>IF(A246="","",AE246+AF246)</x:f>
      </x:c>
      <x:c r="AH246" s="21"/>
      <x:c r="AI246" s="29" t="str">
        <x:f>IF(A246="","",IF(OR(B246="",D246="",E246="",I246="",L246="",N246="",O246="",P246=""),"Thiếu dữ liệu",IF(AND(OR(N246="PRODUCTION",N246="REWORK",N246="SETUP"),M246=""),"Thiếu máy",IF(P246&lt;O246,"Sai thời gian",IF(AA246&lt;&gt;0,"Sai cân đối SL","Hợp lệ")))))</x:f>
      </x:c>
      <x:c r="AJ246" s="21"/>
    </x:row>
    <x:row r="247">
      <x:c r="A247" s="21"/>
      <x:c r="B247" s="35"/>
      <x:c r="C247" s="21"/>
      <x:c r="D247" s="21"/>
      <x:c r="E247" s="21"/>
      <x:c r="F247" s="21"/>
      <x:c r="G247" s="21"/>
      <x:c r="H247" s="29" t="str">
        <x:f>IF(OR(D247="",E247=""),"",D247&amp;"|"&amp;E247&amp;"|"&amp;IF(F247="","00",F247)&amp;"|"&amp;IF(G247="","01",G247))</x:f>
      </x:c>
      <x:c r="I247" s="21"/>
      <x:c r="J247" s="29" t="str">
        <x:f>IF(K247="","",IFERROR(INDEX('04_KE_HOACH_CD'!$I$6:$I$305,MATCH(K247,'04_KE_HOACH_CD'!$G$6:$G$305,0)),""))</x:f>
      </x:c>
      <x:c r="K247" s="29" t="str">
        <x:f>IF(OR(H247="",I247=""),"",H247&amp;"|"&amp;TEXT(I247,"000"))</x:f>
      </x:c>
      <x:c r="L247" s="21"/>
      <x:c r="M247" s="21"/>
      <x:c r="N247" s="21"/>
      <x:c r="O247" s="43"/>
      <x:c r="P247" s="43"/>
      <x:c r="Q247" s="25"/>
      <x:c r="R247" s="25"/>
      <x:c r="S247" s="39" t="str">
        <x:f>IF(A247="","",SUMIF('07_DUNG_CHO'!$B$6:$B$505,A247,'07_DUNG_CHO'!$E$6:$E$505))</x:f>
      </x:c>
      <x:c r="T247" s="39" t="str">
        <x:f>IF(A247="","",IF(N247="SETUP",0,MAX(0,(P247-O247)*1440-Q247-S247)))</x:f>
      </x:c>
      <x:c r="U247" s="25"/>
      <x:c r="V247" s="25"/>
      <x:c r="W247" s="25"/>
      <x:c r="X247" s="25"/>
      <x:c r="Y247" s="25"/>
      <x:c r="Z247" s="25"/>
      <x:c r="AA247" s="39" t="str">
        <x:f>IF(A247="","",U247-SUM(V247,X247:Z247))</x:f>
      </x:c>
      <x:c r="AB247" s="39" t="str">
        <x:f>IF(A247="","",IF(N247="SETUP",IFERROR(INDEX('04_KE_HOACH_CD'!$K$6:$K$305,MATCH(K247,'04_KE_HOACH_CD'!$G$6:$G$305,0)),0),IF(OR(N247="PRODUCTION",N247="REWORK"),IFERROR(INDEX('04_KE_HOACH_CD'!$L$6:$L$305,MATCH(K247,'04_KE_HOACH_CD'!$G$6:$G$305,0))*V247,0),0)))</x:f>
      </x:c>
      <x:c r="AC247" s="39" t="str">
        <x:f>IF(A247="","",MAX(0,(P247-O247)*1440-Q247))</x:f>
      </x:c>
      <x:c r="AD247" s="37" t="str">
        <x:f>IF(A247="","",IFERROR(AB247/AC247,0))</x:f>
      </x:c>
      <x:c r="AE247" s="33" t="str">
        <x:f>IF(A247="","",AC247/60*SUMIF(DM_NHAN_SU!$A$6:$A$105,L247,DM_NHAN_SU!$E$6:$E$105))</x:f>
      </x:c>
      <x:c r="AF247" s="33" t="str">
        <x:f>IF(A247="","",AC247/60*SUMIF(DM_MAY!$A$6:$A$105,M247,DM_MAY!$F$6:$F$105))</x:f>
      </x:c>
      <x:c r="AG247" s="33" t="str">
        <x:f>IF(A247="","",AE247+AF247)</x:f>
      </x:c>
      <x:c r="AH247" s="21"/>
      <x:c r="AI247" s="29" t="str">
        <x:f>IF(A247="","",IF(OR(B247="",D247="",E247="",I247="",L247="",N247="",O247="",P247=""),"Thiếu dữ liệu",IF(AND(OR(N247="PRODUCTION",N247="REWORK",N247="SETUP"),M247=""),"Thiếu máy",IF(P247&lt;O247,"Sai thời gian",IF(AA247&lt;&gt;0,"Sai cân đối SL","Hợp lệ")))))</x:f>
      </x:c>
      <x:c r="AJ247" s="21"/>
    </x:row>
    <x:row r="248">
      <x:c r="A248" s="21"/>
      <x:c r="B248" s="35"/>
      <x:c r="C248" s="21"/>
      <x:c r="D248" s="21"/>
      <x:c r="E248" s="21"/>
      <x:c r="F248" s="21"/>
      <x:c r="G248" s="21"/>
      <x:c r="H248" s="29" t="str">
        <x:f>IF(OR(D248="",E248=""),"",D248&amp;"|"&amp;E248&amp;"|"&amp;IF(F248="","00",F248)&amp;"|"&amp;IF(G248="","01",G248))</x:f>
      </x:c>
      <x:c r="I248" s="21"/>
      <x:c r="J248" s="29" t="str">
        <x:f>IF(K248="","",IFERROR(INDEX('04_KE_HOACH_CD'!$I$6:$I$305,MATCH(K248,'04_KE_HOACH_CD'!$G$6:$G$305,0)),""))</x:f>
      </x:c>
      <x:c r="K248" s="29" t="str">
        <x:f>IF(OR(H248="",I248=""),"",H248&amp;"|"&amp;TEXT(I248,"000"))</x:f>
      </x:c>
      <x:c r="L248" s="21"/>
      <x:c r="M248" s="21"/>
      <x:c r="N248" s="21"/>
      <x:c r="O248" s="43"/>
      <x:c r="P248" s="43"/>
      <x:c r="Q248" s="25"/>
      <x:c r="R248" s="25"/>
      <x:c r="S248" s="39" t="str">
        <x:f>IF(A248="","",SUMIF('07_DUNG_CHO'!$B$6:$B$505,A248,'07_DUNG_CHO'!$E$6:$E$505))</x:f>
      </x:c>
      <x:c r="T248" s="39" t="str">
        <x:f>IF(A248="","",IF(N248="SETUP",0,MAX(0,(P248-O248)*1440-Q248-S248)))</x:f>
      </x:c>
      <x:c r="U248" s="25"/>
      <x:c r="V248" s="25"/>
      <x:c r="W248" s="25"/>
      <x:c r="X248" s="25"/>
      <x:c r="Y248" s="25"/>
      <x:c r="Z248" s="25"/>
      <x:c r="AA248" s="39" t="str">
        <x:f>IF(A248="","",U248-SUM(V248,X248:Z248))</x:f>
      </x:c>
      <x:c r="AB248" s="39" t="str">
        <x:f>IF(A248="","",IF(N248="SETUP",IFERROR(INDEX('04_KE_HOACH_CD'!$K$6:$K$305,MATCH(K248,'04_KE_HOACH_CD'!$G$6:$G$305,0)),0),IF(OR(N248="PRODUCTION",N248="REWORK"),IFERROR(INDEX('04_KE_HOACH_CD'!$L$6:$L$305,MATCH(K248,'04_KE_HOACH_CD'!$G$6:$G$305,0))*V248,0),0)))</x:f>
      </x:c>
      <x:c r="AC248" s="39" t="str">
        <x:f>IF(A248="","",MAX(0,(P248-O248)*1440-Q248))</x:f>
      </x:c>
      <x:c r="AD248" s="37" t="str">
        <x:f>IF(A248="","",IFERROR(AB248/AC248,0))</x:f>
      </x:c>
      <x:c r="AE248" s="33" t="str">
        <x:f>IF(A248="","",AC248/60*SUMIF(DM_NHAN_SU!$A$6:$A$105,L248,DM_NHAN_SU!$E$6:$E$105))</x:f>
      </x:c>
      <x:c r="AF248" s="33" t="str">
        <x:f>IF(A248="","",AC248/60*SUMIF(DM_MAY!$A$6:$A$105,M248,DM_MAY!$F$6:$F$105))</x:f>
      </x:c>
      <x:c r="AG248" s="33" t="str">
        <x:f>IF(A248="","",AE248+AF248)</x:f>
      </x:c>
      <x:c r="AH248" s="21"/>
      <x:c r="AI248" s="29" t="str">
        <x:f>IF(A248="","",IF(OR(B248="",D248="",E248="",I248="",L248="",N248="",O248="",P248=""),"Thiếu dữ liệu",IF(AND(OR(N248="PRODUCTION",N248="REWORK",N248="SETUP"),M248=""),"Thiếu máy",IF(P248&lt;O248,"Sai thời gian",IF(AA248&lt;&gt;0,"Sai cân đối SL","Hợp lệ")))))</x:f>
      </x:c>
      <x:c r="AJ248" s="21"/>
    </x:row>
    <x:row r="249">
      <x:c r="A249" s="21"/>
      <x:c r="B249" s="35"/>
      <x:c r="C249" s="21"/>
      <x:c r="D249" s="21"/>
      <x:c r="E249" s="21"/>
      <x:c r="F249" s="21"/>
      <x:c r="G249" s="21"/>
      <x:c r="H249" s="29" t="str">
        <x:f>IF(OR(D249="",E249=""),"",D249&amp;"|"&amp;E249&amp;"|"&amp;IF(F249="","00",F249)&amp;"|"&amp;IF(G249="","01",G249))</x:f>
      </x:c>
      <x:c r="I249" s="21"/>
      <x:c r="J249" s="29" t="str">
        <x:f>IF(K249="","",IFERROR(INDEX('04_KE_HOACH_CD'!$I$6:$I$305,MATCH(K249,'04_KE_HOACH_CD'!$G$6:$G$305,0)),""))</x:f>
      </x:c>
      <x:c r="K249" s="29" t="str">
        <x:f>IF(OR(H249="",I249=""),"",H249&amp;"|"&amp;TEXT(I249,"000"))</x:f>
      </x:c>
      <x:c r="L249" s="21"/>
      <x:c r="M249" s="21"/>
      <x:c r="N249" s="21"/>
      <x:c r="O249" s="43"/>
      <x:c r="P249" s="43"/>
      <x:c r="Q249" s="25"/>
      <x:c r="R249" s="25"/>
      <x:c r="S249" s="39" t="str">
        <x:f>IF(A249="","",SUMIF('07_DUNG_CHO'!$B$6:$B$505,A249,'07_DUNG_CHO'!$E$6:$E$505))</x:f>
      </x:c>
      <x:c r="T249" s="39" t="str">
        <x:f>IF(A249="","",IF(N249="SETUP",0,MAX(0,(P249-O249)*1440-Q249-S249)))</x:f>
      </x:c>
      <x:c r="U249" s="25"/>
      <x:c r="V249" s="25"/>
      <x:c r="W249" s="25"/>
      <x:c r="X249" s="25"/>
      <x:c r="Y249" s="25"/>
      <x:c r="Z249" s="25"/>
      <x:c r="AA249" s="39" t="str">
        <x:f>IF(A249="","",U249-SUM(V249,X249:Z249))</x:f>
      </x:c>
      <x:c r="AB249" s="39" t="str">
        <x:f>IF(A249="","",IF(N249="SETUP",IFERROR(INDEX('04_KE_HOACH_CD'!$K$6:$K$305,MATCH(K249,'04_KE_HOACH_CD'!$G$6:$G$305,0)),0),IF(OR(N249="PRODUCTION",N249="REWORK"),IFERROR(INDEX('04_KE_HOACH_CD'!$L$6:$L$305,MATCH(K249,'04_KE_HOACH_CD'!$G$6:$G$305,0))*V249,0),0)))</x:f>
      </x:c>
      <x:c r="AC249" s="39" t="str">
        <x:f>IF(A249="","",MAX(0,(P249-O249)*1440-Q249))</x:f>
      </x:c>
      <x:c r="AD249" s="37" t="str">
        <x:f>IF(A249="","",IFERROR(AB249/AC249,0))</x:f>
      </x:c>
      <x:c r="AE249" s="33" t="str">
        <x:f>IF(A249="","",AC249/60*SUMIF(DM_NHAN_SU!$A$6:$A$105,L249,DM_NHAN_SU!$E$6:$E$105))</x:f>
      </x:c>
      <x:c r="AF249" s="33" t="str">
        <x:f>IF(A249="","",AC249/60*SUMIF(DM_MAY!$A$6:$A$105,M249,DM_MAY!$F$6:$F$105))</x:f>
      </x:c>
      <x:c r="AG249" s="33" t="str">
        <x:f>IF(A249="","",AE249+AF249)</x:f>
      </x:c>
      <x:c r="AH249" s="21"/>
      <x:c r="AI249" s="29" t="str">
        <x:f>IF(A249="","",IF(OR(B249="",D249="",E249="",I249="",L249="",N249="",O249="",P249=""),"Thiếu dữ liệu",IF(AND(OR(N249="PRODUCTION",N249="REWORK",N249="SETUP"),M249=""),"Thiếu máy",IF(P249&lt;O249,"Sai thời gian",IF(AA249&lt;&gt;0,"Sai cân đối SL","Hợp lệ")))))</x:f>
      </x:c>
      <x:c r="AJ249" s="21"/>
    </x:row>
    <x:row r="250">
      <x:c r="A250" s="21"/>
      <x:c r="B250" s="35"/>
      <x:c r="C250" s="21"/>
      <x:c r="D250" s="21"/>
      <x:c r="E250" s="21"/>
      <x:c r="F250" s="21"/>
      <x:c r="G250" s="21"/>
      <x:c r="H250" s="29" t="str">
        <x:f>IF(OR(D250="",E250=""),"",D250&amp;"|"&amp;E250&amp;"|"&amp;IF(F250="","00",F250)&amp;"|"&amp;IF(G250="","01",G250))</x:f>
      </x:c>
      <x:c r="I250" s="21"/>
      <x:c r="J250" s="29" t="str">
        <x:f>IF(K250="","",IFERROR(INDEX('04_KE_HOACH_CD'!$I$6:$I$305,MATCH(K250,'04_KE_HOACH_CD'!$G$6:$G$305,0)),""))</x:f>
      </x:c>
      <x:c r="K250" s="29" t="str">
        <x:f>IF(OR(H250="",I250=""),"",H250&amp;"|"&amp;TEXT(I250,"000"))</x:f>
      </x:c>
      <x:c r="L250" s="21"/>
      <x:c r="M250" s="21"/>
      <x:c r="N250" s="21"/>
      <x:c r="O250" s="43"/>
      <x:c r="P250" s="43"/>
      <x:c r="Q250" s="25"/>
      <x:c r="R250" s="25"/>
      <x:c r="S250" s="39" t="str">
        <x:f>IF(A250="","",SUMIF('07_DUNG_CHO'!$B$6:$B$505,A250,'07_DUNG_CHO'!$E$6:$E$505))</x:f>
      </x:c>
      <x:c r="T250" s="39" t="str">
        <x:f>IF(A250="","",IF(N250="SETUP",0,MAX(0,(P250-O250)*1440-Q250-S250)))</x:f>
      </x:c>
      <x:c r="U250" s="25"/>
      <x:c r="V250" s="25"/>
      <x:c r="W250" s="25"/>
      <x:c r="X250" s="25"/>
      <x:c r="Y250" s="25"/>
      <x:c r="Z250" s="25"/>
      <x:c r="AA250" s="39" t="str">
        <x:f>IF(A250="","",U250-SUM(V250,X250:Z250))</x:f>
      </x:c>
      <x:c r="AB250" s="39" t="str">
        <x:f>IF(A250="","",IF(N250="SETUP",IFERROR(INDEX('04_KE_HOACH_CD'!$K$6:$K$305,MATCH(K250,'04_KE_HOACH_CD'!$G$6:$G$305,0)),0),IF(OR(N250="PRODUCTION",N250="REWORK"),IFERROR(INDEX('04_KE_HOACH_CD'!$L$6:$L$305,MATCH(K250,'04_KE_HOACH_CD'!$G$6:$G$305,0))*V250,0),0)))</x:f>
      </x:c>
      <x:c r="AC250" s="39" t="str">
        <x:f>IF(A250="","",MAX(0,(P250-O250)*1440-Q250))</x:f>
      </x:c>
      <x:c r="AD250" s="37" t="str">
        <x:f>IF(A250="","",IFERROR(AB250/AC250,0))</x:f>
      </x:c>
      <x:c r="AE250" s="33" t="str">
        <x:f>IF(A250="","",AC250/60*SUMIF(DM_NHAN_SU!$A$6:$A$105,L250,DM_NHAN_SU!$E$6:$E$105))</x:f>
      </x:c>
      <x:c r="AF250" s="33" t="str">
        <x:f>IF(A250="","",AC250/60*SUMIF(DM_MAY!$A$6:$A$105,M250,DM_MAY!$F$6:$F$105))</x:f>
      </x:c>
      <x:c r="AG250" s="33" t="str">
        <x:f>IF(A250="","",AE250+AF250)</x:f>
      </x:c>
      <x:c r="AH250" s="21"/>
      <x:c r="AI250" s="29" t="str">
        <x:f>IF(A250="","",IF(OR(B250="",D250="",E250="",I250="",L250="",N250="",O250="",P250=""),"Thiếu dữ liệu",IF(AND(OR(N250="PRODUCTION",N250="REWORK",N250="SETUP"),M250=""),"Thiếu máy",IF(P250&lt;O250,"Sai thời gian",IF(AA250&lt;&gt;0,"Sai cân đối SL","Hợp lệ")))))</x:f>
      </x:c>
      <x:c r="AJ250" s="21"/>
    </x:row>
    <x:row r="251">
      <x:c r="A251" s="21"/>
      <x:c r="B251" s="35"/>
      <x:c r="C251" s="21"/>
      <x:c r="D251" s="21"/>
      <x:c r="E251" s="21"/>
      <x:c r="F251" s="21"/>
      <x:c r="G251" s="21"/>
      <x:c r="H251" s="29" t="str">
        <x:f>IF(OR(D251="",E251=""),"",D251&amp;"|"&amp;E251&amp;"|"&amp;IF(F251="","00",F251)&amp;"|"&amp;IF(G251="","01",G251))</x:f>
      </x:c>
      <x:c r="I251" s="21"/>
      <x:c r="J251" s="29" t="str">
        <x:f>IF(K251="","",IFERROR(INDEX('04_KE_HOACH_CD'!$I$6:$I$305,MATCH(K251,'04_KE_HOACH_CD'!$G$6:$G$305,0)),""))</x:f>
      </x:c>
      <x:c r="K251" s="29" t="str">
        <x:f>IF(OR(H251="",I251=""),"",H251&amp;"|"&amp;TEXT(I251,"000"))</x:f>
      </x:c>
      <x:c r="L251" s="21"/>
      <x:c r="M251" s="21"/>
      <x:c r="N251" s="21"/>
      <x:c r="O251" s="43"/>
      <x:c r="P251" s="43"/>
      <x:c r="Q251" s="25"/>
      <x:c r="R251" s="25"/>
      <x:c r="S251" s="39" t="str">
        <x:f>IF(A251="","",SUMIF('07_DUNG_CHO'!$B$6:$B$505,A251,'07_DUNG_CHO'!$E$6:$E$505))</x:f>
      </x:c>
      <x:c r="T251" s="39" t="str">
        <x:f>IF(A251="","",IF(N251="SETUP",0,MAX(0,(P251-O251)*1440-Q251-S251)))</x:f>
      </x:c>
      <x:c r="U251" s="25"/>
      <x:c r="V251" s="25"/>
      <x:c r="W251" s="25"/>
      <x:c r="X251" s="25"/>
      <x:c r="Y251" s="25"/>
      <x:c r="Z251" s="25"/>
      <x:c r="AA251" s="39" t="str">
        <x:f>IF(A251="","",U251-SUM(V251,X251:Z251))</x:f>
      </x:c>
      <x:c r="AB251" s="39" t="str">
        <x:f>IF(A251="","",IF(N251="SETUP",IFERROR(INDEX('04_KE_HOACH_CD'!$K$6:$K$305,MATCH(K251,'04_KE_HOACH_CD'!$G$6:$G$305,0)),0),IF(OR(N251="PRODUCTION",N251="REWORK"),IFERROR(INDEX('04_KE_HOACH_CD'!$L$6:$L$305,MATCH(K251,'04_KE_HOACH_CD'!$G$6:$G$305,0))*V251,0),0)))</x:f>
      </x:c>
      <x:c r="AC251" s="39" t="str">
        <x:f>IF(A251="","",MAX(0,(P251-O251)*1440-Q251))</x:f>
      </x:c>
      <x:c r="AD251" s="37" t="str">
        <x:f>IF(A251="","",IFERROR(AB251/AC251,0))</x:f>
      </x:c>
      <x:c r="AE251" s="33" t="str">
        <x:f>IF(A251="","",AC251/60*SUMIF(DM_NHAN_SU!$A$6:$A$105,L251,DM_NHAN_SU!$E$6:$E$105))</x:f>
      </x:c>
      <x:c r="AF251" s="33" t="str">
        <x:f>IF(A251="","",AC251/60*SUMIF(DM_MAY!$A$6:$A$105,M251,DM_MAY!$F$6:$F$105))</x:f>
      </x:c>
      <x:c r="AG251" s="33" t="str">
        <x:f>IF(A251="","",AE251+AF251)</x:f>
      </x:c>
      <x:c r="AH251" s="21"/>
      <x:c r="AI251" s="29" t="str">
        <x:f>IF(A251="","",IF(OR(B251="",D251="",E251="",I251="",L251="",N251="",O251="",P251=""),"Thiếu dữ liệu",IF(AND(OR(N251="PRODUCTION",N251="REWORK",N251="SETUP"),M251=""),"Thiếu máy",IF(P251&lt;O251,"Sai thời gian",IF(AA251&lt;&gt;0,"Sai cân đối SL","Hợp lệ")))))</x:f>
      </x:c>
      <x:c r="AJ251" s="21"/>
    </x:row>
    <x:row r="252">
      <x:c r="A252" s="21"/>
      <x:c r="B252" s="35"/>
      <x:c r="C252" s="21"/>
      <x:c r="D252" s="21"/>
      <x:c r="E252" s="21"/>
      <x:c r="F252" s="21"/>
      <x:c r="G252" s="21"/>
      <x:c r="H252" s="29" t="str">
        <x:f>IF(OR(D252="",E252=""),"",D252&amp;"|"&amp;E252&amp;"|"&amp;IF(F252="","00",F252)&amp;"|"&amp;IF(G252="","01",G252))</x:f>
      </x:c>
      <x:c r="I252" s="21"/>
      <x:c r="J252" s="29" t="str">
        <x:f>IF(K252="","",IFERROR(INDEX('04_KE_HOACH_CD'!$I$6:$I$305,MATCH(K252,'04_KE_HOACH_CD'!$G$6:$G$305,0)),""))</x:f>
      </x:c>
      <x:c r="K252" s="29" t="str">
        <x:f>IF(OR(H252="",I252=""),"",H252&amp;"|"&amp;TEXT(I252,"000"))</x:f>
      </x:c>
      <x:c r="L252" s="21"/>
      <x:c r="M252" s="21"/>
      <x:c r="N252" s="21"/>
      <x:c r="O252" s="43"/>
      <x:c r="P252" s="43"/>
      <x:c r="Q252" s="25"/>
      <x:c r="R252" s="25"/>
      <x:c r="S252" s="39" t="str">
        <x:f>IF(A252="","",SUMIF('07_DUNG_CHO'!$B$6:$B$505,A252,'07_DUNG_CHO'!$E$6:$E$505))</x:f>
      </x:c>
      <x:c r="T252" s="39" t="str">
        <x:f>IF(A252="","",IF(N252="SETUP",0,MAX(0,(P252-O252)*1440-Q252-S252)))</x:f>
      </x:c>
      <x:c r="U252" s="25"/>
      <x:c r="V252" s="25"/>
      <x:c r="W252" s="25"/>
      <x:c r="X252" s="25"/>
      <x:c r="Y252" s="25"/>
      <x:c r="Z252" s="25"/>
      <x:c r="AA252" s="39" t="str">
        <x:f>IF(A252="","",U252-SUM(V252,X252:Z252))</x:f>
      </x:c>
      <x:c r="AB252" s="39" t="str">
        <x:f>IF(A252="","",IF(N252="SETUP",IFERROR(INDEX('04_KE_HOACH_CD'!$K$6:$K$305,MATCH(K252,'04_KE_HOACH_CD'!$G$6:$G$305,0)),0),IF(OR(N252="PRODUCTION",N252="REWORK"),IFERROR(INDEX('04_KE_HOACH_CD'!$L$6:$L$305,MATCH(K252,'04_KE_HOACH_CD'!$G$6:$G$305,0))*V252,0),0)))</x:f>
      </x:c>
      <x:c r="AC252" s="39" t="str">
        <x:f>IF(A252="","",MAX(0,(P252-O252)*1440-Q252))</x:f>
      </x:c>
      <x:c r="AD252" s="37" t="str">
        <x:f>IF(A252="","",IFERROR(AB252/AC252,0))</x:f>
      </x:c>
      <x:c r="AE252" s="33" t="str">
        <x:f>IF(A252="","",AC252/60*SUMIF(DM_NHAN_SU!$A$6:$A$105,L252,DM_NHAN_SU!$E$6:$E$105))</x:f>
      </x:c>
      <x:c r="AF252" s="33" t="str">
        <x:f>IF(A252="","",AC252/60*SUMIF(DM_MAY!$A$6:$A$105,M252,DM_MAY!$F$6:$F$105))</x:f>
      </x:c>
      <x:c r="AG252" s="33" t="str">
        <x:f>IF(A252="","",AE252+AF252)</x:f>
      </x:c>
      <x:c r="AH252" s="21"/>
      <x:c r="AI252" s="29" t="str">
        <x:f>IF(A252="","",IF(OR(B252="",D252="",E252="",I252="",L252="",N252="",O252="",P252=""),"Thiếu dữ liệu",IF(AND(OR(N252="PRODUCTION",N252="REWORK",N252="SETUP"),M252=""),"Thiếu máy",IF(P252&lt;O252,"Sai thời gian",IF(AA252&lt;&gt;0,"Sai cân đối SL","Hợp lệ")))))</x:f>
      </x:c>
      <x:c r="AJ252" s="21"/>
    </x:row>
    <x:row r="253">
      <x:c r="A253" s="21"/>
      <x:c r="B253" s="35"/>
      <x:c r="C253" s="21"/>
      <x:c r="D253" s="21"/>
      <x:c r="E253" s="21"/>
      <x:c r="F253" s="21"/>
      <x:c r="G253" s="21"/>
      <x:c r="H253" s="29" t="str">
        <x:f>IF(OR(D253="",E253=""),"",D253&amp;"|"&amp;E253&amp;"|"&amp;IF(F253="","00",F253)&amp;"|"&amp;IF(G253="","01",G253))</x:f>
      </x:c>
      <x:c r="I253" s="21"/>
      <x:c r="J253" s="29" t="str">
        <x:f>IF(K253="","",IFERROR(INDEX('04_KE_HOACH_CD'!$I$6:$I$305,MATCH(K253,'04_KE_HOACH_CD'!$G$6:$G$305,0)),""))</x:f>
      </x:c>
      <x:c r="K253" s="29" t="str">
        <x:f>IF(OR(H253="",I253=""),"",H253&amp;"|"&amp;TEXT(I253,"000"))</x:f>
      </x:c>
      <x:c r="L253" s="21"/>
      <x:c r="M253" s="21"/>
      <x:c r="N253" s="21"/>
      <x:c r="O253" s="43"/>
      <x:c r="P253" s="43"/>
      <x:c r="Q253" s="25"/>
      <x:c r="R253" s="25"/>
      <x:c r="S253" s="39" t="str">
        <x:f>IF(A253="","",SUMIF('07_DUNG_CHO'!$B$6:$B$505,A253,'07_DUNG_CHO'!$E$6:$E$505))</x:f>
      </x:c>
      <x:c r="T253" s="39" t="str">
        <x:f>IF(A253="","",IF(N253="SETUP",0,MAX(0,(P253-O253)*1440-Q253-S253)))</x:f>
      </x:c>
      <x:c r="U253" s="25"/>
      <x:c r="V253" s="25"/>
      <x:c r="W253" s="25"/>
      <x:c r="X253" s="25"/>
      <x:c r="Y253" s="25"/>
      <x:c r="Z253" s="25"/>
      <x:c r="AA253" s="39" t="str">
        <x:f>IF(A253="","",U253-SUM(V253,X253:Z253))</x:f>
      </x:c>
      <x:c r="AB253" s="39" t="str">
        <x:f>IF(A253="","",IF(N253="SETUP",IFERROR(INDEX('04_KE_HOACH_CD'!$K$6:$K$305,MATCH(K253,'04_KE_HOACH_CD'!$G$6:$G$305,0)),0),IF(OR(N253="PRODUCTION",N253="REWORK"),IFERROR(INDEX('04_KE_HOACH_CD'!$L$6:$L$305,MATCH(K253,'04_KE_HOACH_CD'!$G$6:$G$305,0))*V253,0),0)))</x:f>
      </x:c>
      <x:c r="AC253" s="39" t="str">
        <x:f>IF(A253="","",MAX(0,(P253-O253)*1440-Q253))</x:f>
      </x:c>
      <x:c r="AD253" s="37" t="str">
        <x:f>IF(A253="","",IFERROR(AB253/AC253,0))</x:f>
      </x:c>
      <x:c r="AE253" s="33" t="str">
        <x:f>IF(A253="","",AC253/60*SUMIF(DM_NHAN_SU!$A$6:$A$105,L253,DM_NHAN_SU!$E$6:$E$105))</x:f>
      </x:c>
      <x:c r="AF253" s="33" t="str">
        <x:f>IF(A253="","",AC253/60*SUMIF(DM_MAY!$A$6:$A$105,M253,DM_MAY!$F$6:$F$105))</x:f>
      </x:c>
      <x:c r="AG253" s="33" t="str">
        <x:f>IF(A253="","",AE253+AF253)</x:f>
      </x:c>
      <x:c r="AH253" s="21"/>
      <x:c r="AI253" s="29" t="str">
        <x:f>IF(A253="","",IF(OR(B253="",D253="",E253="",I253="",L253="",N253="",O253="",P253=""),"Thiếu dữ liệu",IF(AND(OR(N253="PRODUCTION",N253="REWORK",N253="SETUP"),M253=""),"Thiếu máy",IF(P253&lt;O253,"Sai thời gian",IF(AA253&lt;&gt;0,"Sai cân đối SL","Hợp lệ")))))</x:f>
      </x:c>
      <x:c r="AJ253" s="21"/>
    </x:row>
    <x:row r="254">
      <x:c r="A254" s="21"/>
      <x:c r="B254" s="35"/>
      <x:c r="C254" s="21"/>
      <x:c r="D254" s="21"/>
      <x:c r="E254" s="21"/>
      <x:c r="F254" s="21"/>
      <x:c r="G254" s="21"/>
      <x:c r="H254" s="29" t="str">
        <x:f>IF(OR(D254="",E254=""),"",D254&amp;"|"&amp;E254&amp;"|"&amp;IF(F254="","00",F254)&amp;"|"&amp;IF(G254="","01",G254))</x:f>
      </x:c>
      <x:c r="I254" s="21"/>
      <x:c r="J254" s="29" t="str">
        <x:f>IF(K254="","",IFERROR(INDEX('04_KE_HOACH_CD'!$I$6:$I$305,MATCH(K254,'04_KE_HOACH_CD'!$G$6:$G$305,0)),""))</x:f>
      </x:c>
      <x:c r="K254" s="29" t="str">
        <x:f>IF(OR(H254="",I254=""),"",H254&amp;"|"&amp;TEXT(I254,"000"))</x:f>
      </x:c>
      <x:c r="L254" s="21"/>
      <x:c r="M254" s="21"/>
      <x:c r="N254" s="21"/>
      <x:c r="O254" s="43"/>
      <x:c r="P254" s="43"/>
      <x:c r="Q254" s="25"/>
      <x:c r="R254" s="25"/>
      <x:c r="S254" s="39" t="str">
        <x:f>IF(A254="","",SUMIF('07_DUNG_CHO'!$B$6:$B$505,A254,'07_DUNG_CHO'!$E$6:$E$505))</x:f>
      </x:c>
      <x:c r="T254" s="39" t="str">
        <x:f>IF(A254="","",IF(N254="SETUP",0,MAX(0,(P254-O254)*1440-Q254-S254)))</x:f>
      </x:c>
      <x:c r="U254" s="25"/>
      <x:c r="V254" s="25"/>
      <x:c r="W254" s="25"/>
      <x:c r="X254" s="25"/>
      <x:c r="Y254" s="25"/>
      <x:c r="Z254" s="25"/>
      <x:c r="AA254" s="39" t="str">
        <x:f>IF(A254="","",U254-SUM(V254,X254:Z254))</x:f>
      </x:c>
      <x:c r="AB254" s="39" t="str">
        <x:f>IF(A254="","",IF(N254="SETUP",IFERROR(INDEX('04_KE_HOACH_CD'!$K$6:$K$305,MATCH(K254,'04_KE_HOACH_CD'!$G$6:$G$305,0)),0),IF(OR(N254="PRODUCTION",N254="REWORK"),IFERROR(INDEX('04_KE_HOACH_CD'!$L$6:$L$305,MATCH(K254,'04_KE_HOACH_CD'!$G$6:$G$305,0))*V254,0),0)))</x:f>
      </x:c>
      <x:c r="AC254" s="39" t="str">
        <x:f>IF(A254="","",MAX(0,(P254-O254)*1440-Q254))</x:f>
      </x:c>
      <x:c r="AD254" s="37" t="str">
        <x:f>IF(A254="","",IFERROR(AB254/AC254,0))</x:f>
      </x:c>
      <x:c r="AE254" s="33" t="str">
        <x:f>IF(A254="","",AC254/60*SUMIF(DM_NHAN_SU!$A$6:$A$105,L254,DM_NHAN_SU!$E$6:$E$105))</x:f>
      </x:c>
      <x:c r="AF254" s="33" t="str">
        <x:f>IF(A254="","",AC254/60*SUMIF(DM_MAY!$A$6:$A$105,M254,DM_MAY!$F$6:$F$105))</x:f>
      </x:c>
      <x:c r="AG254" s="33" t="str">
        <x:f>IF(A254="","",AE254+AF254)</x:f>
      </x:c>
      <x:c r="AH254" s="21"/>
      <x:c r="AI254" s="29" t="str">
        <x:f>IF(A254="","",IF(OR(B254="",D254="",E254="",I254="",L254="",N254="",O254="",P254=""),"Thiếu dữ liệu",IF(AND(OR(N254="PRODUCTION",N254="REWORK",N254="SETUP"),M254=""),"Thiếu máy",IF(P254&lt;O254,"Sai thời gian",IF(AA254&lt;&gt;0,"Sai cân đối SL","Hợp lệ")))))</x:f>
      </x:c>
      <x:c r="AJ254" s="21"/>
    </x:row>
    <x:row r="255">
      <x:c r="A255" s="21"/>
      <x:c r="B255" s="35"/>
      <x:c r="C255" s="21"/>
      <x:c r="D255" s="21"/>
      <x:c r="E255" s="21"/>
      <x:c r="F255" s="21"/>
      <x:c r="G255" s="21"/>
      <x:c r="H255" s="29" t="str">
        <x:f>IF(OR(D255="",E255=""),"",D255&amp;"|"&amp;E255&amp;"|"&amp;IF(F255="","00",F255)&amp;"|"&amp;IF(G255="","01",G255))</x:f>
      </x:c>
      <x:c r="I255" s="21"/>
      <x:c r="J255" s="29" t="str">
        <x:f>IF(K255="","",IFERROR(INDEX('04_KE_HOACH_CD'!$I$6:$I$305,MATCH(K255,'04_KE_HOACH_CD'!$G$6:$G$305,0)),""))</x:f>
      </x:c>
      <x:c r="K255" s="29" t="str">
        <x:f>IF(OR(H255="",I255=""),"",H255&amp;"|"&amp;TEXT(I255,"000"))</x:f>
      </x:c>
      <x:c r="L255" s="21"/>
      <x:c r="M255" s="21"/>
      <x:c r="N255" s="21"/>
      <x:c r="O255" s="43"/>
      <x:c r="P255" s="43"/>
      <x:c r="Q255" s="25"/>
      <x:c r="R255" s="25"/>
      <x:c r="S255" s="39" t="str">
        <x:f>IF(A255="","",SUMIF('07_DUNG_CHO'!$B$6:$B$505,A255,'07_DUNG_CHO'!$E$6:$E$505))</x:f>
      </x:c>
      <x:c r="T255" s="39" t="str">
        <x:f>IF(A255="","",IF(N255="SETUP",0,MAX(0,(P255-O255)*1440-Q255-S255)))</x:f>
      </x:c>
      <x:c r="U255" s="25"/>
      <x:c r="V255" s="25"/>
      <x:c r="W255" s="25"/>
      <x:c r="X255" s="25"/>
      <x:c r="Y255" s="25"/>
      <x:c r="Z255" s="25"/>
      <x:c r="AA255" s="39" t="str">
        <x:f>IF(A255="","",U255-SUM(V255,X255:Z255))</x:f>
      </x:c>
      <x:c r="AB255" s="39" t="str">
        <x:f>IF(A255="","",IF(N255="SETUP",IFERROR(INDEX('04_KE_HOACH_CD'!$K$6:$K$305,MATCH(K255,'04_KE_HOACH_CD'!$G$6:$G$305,0)),0),IF(OR(N255="PRODUCTION",N255="REWORK"),IFERROR(INDEX('04_KE_HOACH_CD'!$L$6:$L$305,MATCH(K255,'04_KE_HOACH_CD'!$G$6:$G$305,0))*V255,0),0)))</x:f>
      </x:c>
      <x:c r="AC255" s="39" t="str">
        <x:f>IF(A255="","",MAX(0,(P255-O255)*1440-Q255))</x:f>
      </x:c>
      <x:c r="AD255" s="37" t="str">
        <x:f>IF(A255="","",IFERROR(AB255/AC255,0))</x:f>
      </x:c>
      <x:c r="AE255" s="33" t="str">
        <x:f>IF(A255="","",AC255/60*SUMIF(DM_NHAN_SU!$A$6:$A$105,L255,DM_NHAN_SU!$E$6:$E$105))</x:f>
      </x:c>
      <x:c r="AF255" s="33" t="str">
        <x:f>IF(A255="","",AC255/60*SUMIF(DM_MAY!$A$6:$A$105,M255,DM_MAY!$F$6:$F$105))</x:f>
      </x:c>
      <x:c r="AG255" s="33" t="str">
        <x:f>IF(A255="","",AE255+AF255)</x:f>
      </x:c>
      <x:c r="AH255" s="21"/>
      <x:c r="AI255" s="29" t="str">
        <x:f>IF(A255="","",IF(OR(B255="",D255="",E255="",I255="",L255="",N255="",O255="",P255=""),"Thiếu dữ liệu",IF(AND(OR(N255="PRODUCTION",N255="REWORK",N255="SETUP"),M255=""),"Thiếu máy",IF(P255&lt;O255,"Sai thời gian",IF(AA255&lt;&gt;0,"Sai cân đối SL","Hợp lệ")))))</x:f>
      </x:c>
      <x:c r="AJ255" s="21"/>
    </x:row>
    <x:row r="256">
      <x:c r="A256" s="21"/>
      <x:c r="B256" s="35"/>
      <x:c r="C256" s="21"/>
      <x:c r="D256" s="21"/>
      <x:c r="E256" s="21"/>
      <x:c r="F256" s="21"/>
      <x:c r="G256" s="21"/>
      <x:c r="H256" s="29" t="str">
        <x:f>IF(OR(D256="",E256=""),"",D256&amp;"|"&amp;E256&amp;"|"&amp;IF(F256="","00",F256)&amp;"|"&amp;IF(G256="","01",G256))</x:f>
      </x:c>
      <x:c r="I256" s="21"/>
      <x:c r="J256" s="29" t="str">
        <x:f>IF(K256="","",IFERROR(INDEX('04_KE_HOACH_CD'!$I$6:$I$305,MATCH(K256,'04_KE_HOACH_CD'!$G$6:$G$305,0)),""))</x:f>
      </x:c>
      <x:c r="K256" s="29" t="str">
        <x:f>IF(OR(H256="",I256=""),"",H256&amp;"|"&amp;TEXT(I256,"000"))</x:f>
      </x:c>
      <x:c r="L256" s="21"/>
      <x:c r="M256" s="21"/>
      <x:c r="N256" s="21"/>
      <x:c r="O256" s="43"/>
      <x:c r="P256" s="43"/>
      <x:c r="Q256" s="25"/>
      <x:c r="R256" s="25"/>
      <x:c r="S256" s="39" t="str">
        <x:f>IF(A256="","",SUMIF('07_DUNG_CHO'!$B$6:$B$505,A256,'07_DUNG_CHO'!$E$6:$E$505))</x:f>
      </x:c>
      <x:c r="T256" s="39" t="str">
        <x:f>IF(A256="","",IF(N256="SETUP",0,MAX(0,(P256-O256)*1440-Q256-S256)))</x:f>
      </x:c>
      <x:c r="U256" s="25"/>
      <x:c r="V256" s="25"/>
      <x:c r="W256" s="25"/>
      <x:c r="X256" s="25"/>
      <x:c r="Y256" s="25"/>
      <x:c r="Z256" s="25"/>
      <x:c r="AA256" s="39" t="str">
        <x:f>IF(A256="","",U256-SUM(V256,X256:Z256))</x:f>
      </x:c>
      <x:c r="AB256" s="39" t="str">
        <x:f>IF(A256="","",IF(N256="SETUP",IFERROR(INDEX('04_KE_HOACH_CD'!$K$6:$K$305,MATCH(K256,'04_KE_HOACH_CD'!$G$6:$G$305,0)),0),IF(OR(N256="PRODUCTION",N256="REWORK"),IFERROR(INDEX('04_KE_HOACH_CD'!$L$6:$L$305,MATCH(K256,'04_KE_HOACH_CD'!$G$6:$G$305,0))*V256,0),0)))</x:f>
      </x:c>
      <x:c r="AC256" s="39" t="str">
        <x:f>IF(A256="","",MAX(0,(P256-O256)*1440-Q256))</x:f>
      </x:c>
      <x:c r="AD256" s="37" t="str">
        <x:f>IF(A256="","",IFERROR(AB256/AC256,0))</x:f>
      </x:c>
      <x:c r="AE256" s="33" t="str">
        <x:f>IF(A256="","",AC256/60*SUMIF(DM_NHAN_SU!$A$6:$A$105,L256,DM_NHAN_SU!$E$6:$E$105))</x:f>
      </x:c>
      <x:c r="AF256" s="33" t="str">
        <x:f>IF(A256="","",AC256/60*SUMIF(DM_MAY!$A$6:$A$105,M256,DM_MAY!$F$6:$F$105))</x:f>
      </x:c>
      <x:c r="AG256" s="33" t="str">
        <x:f>IF(A256="","",AE256+AF256)</x:f>
      </x:c>
      <x:c r="AH256" s="21"/>
      <x:c r="AI256" s="29" t="str">
        <x:f>IF(A256="","",IF(OR(B256="",D256="",E256="",I256="",L256="",N256="",O256="",P256=""),"Thiếu dữ liệu",IF(AND(OR(N256="PRODUCTION",N256="REWORK",N256="SETUP"),M256=""),"Thiếu máy",IF(P256&lt;O256,"Sai thời gian",IF(AA256&lt;&gt;0,"Sai cân đối SL","Hợp lệ")))))</x:f>
      </x:c>
      <x:c r="AJ256" s="21"/>
    </x:row>
    <x:row r="257">
      <x:c r="A257" s="21"/>
      <x:c r="B257" s="35"/>
      <x:c r="C257" s="21"/>
      <x:c r="D257" s="21"/>
      <x:c r="E257" s="21"/>
      <x:c r="F257" s="21"/>
      <x:c r="G257" s="21"/>
      <x:c r="H257" s="29" t="str">
        <x:f>IF(OR(D257="",E257=""),"",D257&amp;"|"&amp;E257&amp;"|"&amp;IF(F257="","00",F257)&amp;"|"&amp;IF(G257="","01",G257))</x:f>
      </x:c>
      <x:c r="I257" s="21"/>
      <x:c r="J257" s="29" t="str">
        <x:f>IF(K257="","",IFERROR(INDEX('04_KE_HOACH_CD'!$I$6:$I$305,MATCH(K257,'04_KE_HOACH_CD'!$G$6:$G$305,0)),""))</x:f>
      </x:c>
      <x:c r="K257" s="29" t="str">
        <x:f>IF(OR(H257="",I257=""),"",H257&amp;"|"&amp;TEXT(I257,"000"))</x:f>
      </x:c>
      <x:c r="L257" s="21"/>
      <x:c r="M257" s="21"/>
      <x:c r="N257" s="21"/>
      <x:c r="O257" s="43"/>
      <x:c r="P257" s="43"/>
      <x:c r="Q257" s="25"/>
      <x:c r="R257" s="25"/>
      <x:c r="S257" s="39" t="str">
        <x:f>IF(A257="","",SUMIF('07_DUNG_CHO'!$B$6:$B$505,A257,'07_DUNG_CHO'!$E$6:$E$505))</x:f>
      </x:c>
      <x:c r="T257" s="39" t="str">
        <x:f>IF(A257="","",IF(N257="SETUP",0,MAX(0,(P257-O257)*1440-Q257-S257)))</x:f>
      </x:c>
      <x:c r="U257" s="25"/>
      <x:c r="V257" s="25"/>
      <x:c r="W257" s="25"/>
      <x:c r="X257" s="25"/>
      <x:c r="Y257" s="25"/>
      <x:c r="Z257" s="25"/>
      <x:c r="AA257" s="39" t="str">
        <x:f>IF(A257="","",U257-SUM(V257,X257:Z257))</x:f>
      </x:c>
      <x:c r="AB257" s="39" t="str">
        <x:f>IF(A257="","",IF(N257="SETUP",IFERROR(INDEX('04_KE_HOACH_CD'!$K$6:$K$305,MATCH(K257,'04_KE_HOACH_CD'!$G$6:$G$305,0)),0),IF(OR(N257="PRODUCTION",N257="REWORK"),IFERROR(INDEX('04_KE_HOACH_CD'!$L$6:$L$305,MATCH(K257,'04_KE_HOACH_CD'!$G$6:$G$305,0))*V257,0),0)))</x:f>
      </x:c>
      <x:c r="AC257" s="39" t="str">
        <x:f>IF(A257="","",MAX(0,(P257-O257)*1440-Q257))</x:f>
      </x:c>
      <x:c r="AD257" s="37" t="str">
        <x:f>IF(A257="","",IFERROR(AB257/AC257,0))</x:f>
      </x:c>
      <x:c r="AE257" s="33" t="str">
        <x:f>IF(A257="","",AC257/60*SUMIF(DM_NHAN_SU!$A$6:$A$105,L257,DM_NHAN_SU!$E$6:$E$105))</x:f>
      </x:c>
      <x:c r="AF257" s="33" t="str">
        <x:f>IF(A257="","",AC257/60*SUMIF(DM_MAY!$A$6:$A$105,M257,DM_MAY!$F$6:$F$105))</x:f>
      </x:c>
      <x:c r="AG257" s="33" t="str">
        <x:f>IF(A257="","",AE257+AF257)</x:f>
      </x:c>
      <x:c r="AH257" s="21"/>
      <x:c r="AI257" s="29" t="str">
        <x:f>IF(A257="","",IF(OR(B257="",D257="",E257="",I257="",L257="",N257="",O257="",P257=""),"Thiếu dữ liệu",IF(AND(OR(N257="PRODUCTION",N257="REWORK",N257="SETUP"),M257=""),"Thiếu máy",IF(P257&lt;O257,"Sai thời gian",IF(AA257&lt;&gt;0,"Sai cân đối SL","Hợp lệ")))))</x:f>
      </x:c>
      <x:c r="AJ257" s="21"/>
    </x:row>
    <x:row r="258">
      <x:c r="A258" s="21"/>
      <x:c r="B258" s="35"/>
      <x:c r="C258" s="21"/>
      <x:c r="D258" s="21"/>
      <x:c r="E258" s="21"/>
      <x:c r="F258" s="21"/>
      <x:c r="G258" s="21"/>
      <x:c r="H258" s="29" t="str">
        <x:f>IF(OR(D258="",E258=""),"",D258&amp;"|"&amp;E258&amp;"|"&amp;IF(F258="","00",F258)&amp;"|"&amp;IF(G258="","01",G258))</x:f>
      </x:c>
      <x:c r="I258" s="21"/>
      <x:c r="J258" s="29" t="str">
        <x:f>IF(K258="","",IFERROR(INDEX('04_KE_HOACH_CD'!$I$6:$I$305,MATCH(K258,'04_KE_HOACH_CD'!$G$6:$G$305,0)),""))</x:f>
      </x:c>
      <x:c r="K258" s="29" t="str">
        <x:f>IF(OR(H258="",I258=""),"",H258&amp;"|"&amp;TEXT(I258,"000"))</x:f>
      </x:c>
      <x:c r="L258" s="21"/>
      <x:c r="M258" s="21"/>
      <x:c r="N258" s="21"/>
      <x:c r="O258" s="43"/>
      <x:c r="P258" s="43"/>
      <x:c r="Q258" s="25"/>
      <x:c r="R258" s="25"/>
      <x:c r="S258" s="39" t="str">
        <x:f>IF(A258="","",SUMIF('07_DUNG_CHO'!$B$6:$B$505,A258,'07_DUNG_CHO'!$E$6:$E$505))</x:f>
      </x:c>
      <x:c r="T258" s="39" t="str">
        <x:f>IF(A258="","",IF(N258="SETUP",0,MAX(0,(P258-O258)*1440-Q258-S258)))</x:f>
      </x:c>
      <x:c r="U258" s="25"/>
      <x:c r="V258" s="25"/>
      <x:c r="W258" s="25"/>
      <x:c r="X258" s="25"/>
      <x:c r="Y258" s="25"/>
      <x:c r="Z258" s="25"/>
      <x:c r="AA258" s="39" t="str">
        <x:f>IF(A258="","",U258-SUM(V258,X258:Z258))</x:f>
      </x:c>
      <x:c r="AB258" s="39" t="str">
        <x:f>IF(A258="","",IF(N258="SETUP",IFERROR(INDEX('04_KE_HOACH_CD'!$K$6:$K$305,MATCH(K258,'04_KE_HOACH_CD'!$G$6:$G$305,0)),0),IF(OR(N258="PRODUCTION",N258="REWORK"),IFERROR(INDEX('04_KE_HOACH_CD'!$L$6:$L$305,MATCH(K258,'04_KE_HOACH_CD'!$G$6:$G$305,0))*V258,0),0)))</x:f>
      </x:c>
      <x:c r="AC258" s="39" t="str">
        <x:f>IF(A258="","",MAX(0,(P258-O258)*1440-Q258))</x:f>
      </x:c>
      <x:c r="AD258" s="37" t="str">
        <x:f>IF(A258="","",IFERROR(AB258/AC258,0))</x:f>
      </x:c>
      <x:c r="AE258" s="33" t="str">
        <x:f>IF(A258="","",AC258/60*SUMIF(DM_NHAN_SU!$A$6:$A$105,L258,DM_NHAN_SU!$E$6:$E$105))</x:f>
      </x:c>
      <x:c r="AF258" s="33" t="str">
        <x:f>IF(A258="","",AC258/60*SUMIF(DM_MAY!$A$6:$A$105,M258,DM_MAY!$F$6:$F$105))</x:f>
      </x:c>
      <x:c r="AG258" s="33" t="str">
        <x:f>IF(A258="","",AE258+AF258)</x:f>
      </x:c>
      <x:c r="AH258" s="21"/>
      <x:c r="AI258" s="29" t="str">
        <x:f>IF(A258="","",IF(OR(B258="",D258="",E258="",I258="",L258="",N258="",O258="",P258=""),"Thiếu dữ liệu",IF(AND(OR(N258="PRODUCTION",N258="REWORK",N258="SETUP"),M258=""),"Thiếu máy",IF(P258&lt;O258,"Sai thời gian",IF(AA258&lt;&gt;0,"Sai cân đối SL","Hợp lệ")))))</x:f>
      </x:c>
      <x:c r="AJ258" s="21"/>
    </x:row>
    <x:row r="259">
      <x:c r="A259" s="21"/>
      <x:c r="B259" s="35"/>
      <x:c r="C259" s="21"/>
      <x:c r="D259" s="21"/>
      <x:c r="E259" s="21"/>
      <x:c r="F259" s="21"/>
      <x:c r="G259" s="21"/>
      <x:c r="H259" s="29" t="str">
        <x:f>IF(OR(D259="",E259=""),"",D259&amp;"|"&amp;E259&amp;"|"&amp;IF(F259="","00",F259)&amp;"|"&amp;IF(G259="","01",G259))</x:f>
      </x:c>
      <x:c r="I259" s="21"/>
      <x:c r="J259" s="29" t="str">
        <x:f>IF(K259="","",IFERROR(INDEX('04_KE_HOACH_CD'!$I$6:$I$305,MATCH(K259,'04_KE_HOACH_CD'!$G$6:$G$305,0)),""))</x:f>
      </x:c>
      <x:c r="K259" s="29" t="str">
        <x:f>IF(OR(H259="",I259=""),"",H259&amp;"|"&amp;TEXT(I259,"000"))</x:f>
      </x:c>
      <x:c r="L259" s="21"/>
      <x:c r="M259" s="21"/>
      <x:c r="N259" s="21"/>
      <x:c r="O259" s="43"/>
      <x:c r="P259" s="43"/>
      <x:c r="Q259" s="25"/>
      <x:c r="R259" s="25"/>
      <x:c r="S259" s="39" t="str">
        <x:f>IF(A259="","",SUMIF('07_DUNG_CHO'!$B$6:$B$505,A259,'07_DUNG_CHO'!$E$6:$E$505))</x:f>
      </x:c>
      <x:c r="T259" s="39" t="str">
        <x:f>IF(A259="","",IF(N259="SETUP",0,MAX(0,(P259-O259)*1440-Q259-S259)))</x:f>
      </x:c>
      <x:c r="U259" s="25"/>
      <x:c r="V259" s="25"/>
      <x:c r="W259" s="25"/>
      <x:c r="X259" s="25"/>
      <x:c r="Y259" s="25"/>
      <x:c r="Z259" s="25"/>
      <x:c r="AA259" s="39" t="str">
        <x:f>IF(A259="","",U259-SUM(V259,X259:Z259))</x:f>
      </x:c>
      <x:c r="AB259" s="39" t="str">
        <x:f>IF(A259="","",IF(N259="SETUP",IFERROR(INDEX('04_KE_HOACH_CD'!$K$6:$K$305,MATCH(K259,'04_KE_HOACH_CD'!$G$6:$G$305,0)),0),IF(OR(N259="PRODUCTION",N259="REWORK"),IFERROR(INDEX('04_KE_HOACH_CD'!$L$6:$L$305,MATCH(K259,'04_KE_HOACH_CD'!$G$6:$G$305,0))*V259,0),0)))</x:f>
      </x:c>
      <x:c r="AC259" s="39" t="str">
        <x:f>IF(A259="","",MAX(0,(P259-O259)*1440-Q259))</x:f>
      </x:c>
      <x:c r="AD259" s="37" t="str">
        <x:f>IF(A259="","",IFERROR(AB259/AC259,0))</x:f>
      </x:c>
      <x:c r="AE259" s="33" t="str">
        <x:f>IF(A259="","",AC259/60*SUMIF(DM_NHAN_SU!$A$6:$A$105,L259,DM_NHAN_SU!$E$6:$E$105))</x:f>
      </x:c>
      <x:c r="AF259" s="33" t="str">
        <x:f>IF(A259="","",AC259/60*SUMIF(DM_MAY!$A$6:$A$105,M259,DM_MAY!$F$6:$F$105))</x:f>
      </x:c>
      <x:c r="AG259" s="33" t="str">
        <x:f>IF(A259="","",AE259+AF259)</x:f>
      </x:c>
      <x:c r="AH259" s="21"/>
      <x:c r="AI259" s="29" t="str">
        <x:f>IF(A259="","",IF(OR(B259="",D259="",E259="",I259="",L259="",N259="",O259="",P259=""),"Thiếu dữ liệu",IF(AND(OR(N259="PRODUCTION",N259="REWORK",N259="SETUP"),M259=""),"Thiếu máy",IF(P259&lt;O259,"Sai thời gian",IF(AA259&lt;&gt;0,"Sai cân đối SL","Hợp lệ")))))</x:f>
      </x:c>
      <x:c r="AJ259" s="21"/>
    </x:row>
    <x:row r="260">
      <x:c r="A260" s="21"/>
      <x:c r="B260" s="35"/>
      <x:c r="C260" s="21"/>
      <x:c r="D260" s="21"/>
      <x:c r="E260" s="21"/>
      <x:c r="F260" s="21"/>
      <x:c r="G260" s="21"/>
      <x:c r="H260" s="29" t="str">
        <x:f>IF(OR(D260="",E260=""),"",D260&amp;"|"&amp;E260&amp;"|"&amp;IF(F260="","00",F260)&amp;"|"&amp;IF(G260="","01",G260))</x:f>
      </x:c>
      <x:c r="I260" s="21"/>
      <x:c r="J260" s="29" t="str">
        <x:f>IF(K260="","",IFERROR(INDEX('04_KE_HOACH_CD'!$I$6:$I$305,MATCH(K260,'04_KE_HOACH_CD'!$G$6:$G$305,0)),""))</x:f>
      </x:c>
      <x:c r="K260" s="29" t="str">
        <x:f>IF(OR(H260="",I260=""),"",H260&amp;"|"&amp;TEXT(I260,"000"))</x:f>
      </x:c>
      <x:c r="L260" s="21"/>
      <x:c r="M260" s="21"/>
      <x:c r="N260" s="21"/>
      <x:c r="O260" s="43"/>
      <x:c r="P260" s="43"/>
      <x:c r="Q260" s="25"/>
      <x:c r="R260" s="25"/>
      <x:c r="S260" s="39" t="str">
        <x:f>IF(A260="","",SUMIF('07_DUNG_CHO'!$B$6:$B$505,A260,'07_DUNG_CHO'!$E$6:$E$505))</x:f>
      </x:c>
      <x:c r="T260" s="39" t="str">
        <x:f>IF(A260="","",IF(N260="SETUP",0,MAX(0,(P260-O260)*1440-Q260-S260)))</x:f>
      </x:c>
      <x:c r="U260" s="25"/>
      <x:c r="V260" s="25"/>
      <x:c r="W260" s="25"/>
      <x:c r="X260" s="25"/>
      <x:c r="Y260" s="25"/>
      <x:c r="Z260" s="25"/>
      <x:c r="AA260" s="39" t="str">
        <x:f>IF(A260="","",U260-SUM(V260,X260:Z260))</x:f>
      </x:c>
      <x:c r="AB260" s="39" t="str">
        <x:f>IF(A260="","",IF(N260="SETUP",IFERROR(INDEX('04_KE_HOACH_CD'!$K$6:$K$305,MATCH(K260,'04_KE_HOACH_CD'!$G$6:$G$305,0)),0),IF(OR(N260="PRODUCTION",N260="REWORK"),IFERROR(INDEX('04_KE_HOACH_CD'!$L$6:$L$305,MATCH(K260,'04_KE_HOACH_CD'!$G$6:$G$305,0))*V260,0),0)))</x:f>
      </x:c>
      <x:c r="AC260" s="39" t="str">
        <x:f>IF(A260="","",MAX(0,(P260-O260)*1440-Q260))</x:f>
      </x:c>
      <x:c r="AD260" s="37" t="str">
        <x:f>IF(A260="","",IFERROR(AB260/AC260,0))</x:f>
      </x:c>
      <x:c r="AE260" s="33" t="str">
        <x:f>IF(A260="","",AC260/60*SUMIF(DM_NHAN_SU!$A$6:$A$105,L260,DM_NHAN_SU!$E$6:$E$105))</x:f>
      </x:c>
      <x:c r="AF260" s="33" t="str">
        <x:f>IF(A260="","",AC260/60*SUMIF(DM_MAY!$A$6:$A$105,M260,DM_MAY!$F$6:$F$105))</x:f>
      </x:c>
      <x:c r="AG260" s="33" t="str">
        <x:f>IF(A260="","",AE260+AF260)</x:f>
      </x:c>
      <x:c r="AH260" s="21"/>
      <x:c r="AI260" s="29" t="str">
        <x:f>IF(A260="","",IF(OR(B260="",D260="",E260="",I260="",L260="",N260="",O260="",P260=""),"Thiếu dữ liệu",IF(AND(OR(N260="PRODUCTION",N260="REWORK",N260="SETUP"),M260=""),"Thiếu máy",IF(P260&lt;O260,"Sai thời gian",IF(AA260&lt;&gt;0,"Sai cân đối SL","Hợp lệ")))))</x:f>
      </x:c>
      <x:c r="AJ260" s="21"/>
    </x:row>
    <x:row r="261">
      <x:c r="A261" s="21"/>
      <x:c r="B261" s="35"/>
      <x:c r="C261" s="21"/>
      <x:c r="D261" s="21"/>
      <x:c r="E261" s="21"/>
      <x:c r="F261" s="21"/>
      <x:c r="G261" s="21"/>
      <x:c r="H261" s="29" t="str">
        <x:f>IF(OR(D261="",E261=""),"",D261&amp;"|"&amp;E261&amp;"|"&amp;IF(F261="","00",F261)&amp;"|"&amp;IF(G261="","01",G261))</x:f>
      </x:c>
      <x:c r="I261" s="21"/>
      <x:c r="J261" s="29" t="str">
        <x:f>IF(K261="","",IFERROR(INDEX('04_KE_HOACH_CD'!$I$6:$I$305,MATCH(K261,'04_KE_HOACH_CD'!$G$6:$G$305,0)),""))</x:f>
      </x:c>
      <x:c r="K261" s="29" t="str">
        <x:f>IF(OR(H261="",I261=""),"",H261&amp;"|"&amp;TEXT(I261,"000"))</x:f>
      </x:c>
      <x:c r="L261" s="21"/>
      <x:c r="M261" s="21"/>
      <x:c r="N261" s="21"/>
      <x:c r="O261" s="43"/>
      <x:c r="P261" s="43"/>
      <x:c r="Q261" s="25"/>
      <x:c r="R261" s="25"/>
      <x:c r="S261" s="39" t="str">
        <x:f>IF(A261="","",SUMIF('07_DUNG_CHO'!$B$6:$B$505,A261,'07_DUNG_CHO'!$E$6:$E$505))</x:f>
      </x:c>
      <x:c r="T261" s="39" t="str">
        <x:f>IF(A261="","",IF(N261="SETUP",0,MAX(0,(P261-O261)*1440-Q261-S261)))</x:f>
      </x:c>
      <x:c r="U261" s="25"/>
      <x:c r="V261" s="25"/>
      <x:c r="W261" s="25"/>
      <x:c r="X261" s="25"/>
      <x:c r="Y261" s="25"/>
      <x:c r="Z261" s="25"/>
      <x:c r="AA261" s="39" t="str">
        <x:f>IF(A261="","",U261-SUM(V261,X261:Z261))</x:f>
      </x:c>
      <x:c r="AB261" s="39" t="str">
        <x:f>IF(A261="","",IF(N261="SETUP",IFERROR(INDEX('04_KE_HOACH_CD'!$K$6:$K$305,MATCH(K261,'04_KE_HOACH_CD'!$G$6:$G$305,0)),0),IF(OR(N261="PRODUCTION",N261="REWORK"),IFERROR(INDEX('04_KE_HOACH_CD'!$L$6:$L$305,MATCH(K261,'04_KE_HOACH_CD'!$G$6:$G$305,0))*V261,0),0)))</x:f>
      </x:c>
      <x:c r="AC261" s="39" t="str">
        <x:f>IF(A261="","",MAX(0,(P261-O261)*1440-Q261))</x:f>
      </x:c>
      <x:c r="AD261" s="37" t="str">
        <x:f>IF(A261="","",IFERROR(AB261/AC261,0))</x:f>
      </x:c>
      <x:c r="AE261" s="33" t="str">
        <x:f>IF(A261="","",AC261/60*SUMIF(DM_NHAN_SU!$A$6:$A$105,L261,DM_NHAN_SU!$E$6:$E$105))</x:f>
      </x:c>
      <x:c r="AF261" s="33" t="str">
        <x:f>IF(A261="","",AC261/60*SUMIF(DM_MAY!$A$6:$A$105,M261,DM_MAY!$F$6:$F$105))</x:f>
      </x:c>
      <x:c r="AG261" s="33" t="str">
        <x:f>IF(A261="","",AE261+AF261)</x:f>
      </x:c>
      <x:c r="AH261" s="21"/>
      <x:c r="AI261" s="29" t="str">
        <x:f>IF(A261="","",IF(OR(B261="",D261="",E261="",I261="",L261="",N261="",O261="",P261=""),"Thiếu dữ liệu",IF(AND(OR(N261="PRODUCTION",N261="REWORK",N261="SETUP"),M261=""),"Thiếu máy",IF(P261&lt;O261,"Sai thời gian",IF(AA261&lt;&gt;0,"Sai cân đối SL","Hợp lệ")))))</x:f>
      </x:c>
      <x:c r="AJ261" s="21"/>
    </x:row>
    <x:row r="262">
      <x:c r="A262" s="21"/>
      <x:c r="B262" s="35"/>
      <x:c r="C262" s="21"/>
      <x:c r="D262" s="21"/>
      <x:c r="E262" s="21"/>
      <x:c r="F262" s="21"/>
      <x:c r="G262" s="21"/>
      <x:c r="H262" s="29" t="str">
        <x:f>IF(OR(D262="",E262=""),"",D262&amp;"|"&amp;E262&amp;"|"&amp;IF(F262="","00",F262)&amp;"|"&amp;IF(G262="","01",G262))</x:f>
      </x:c>
      <x:c r="I262" s="21"/>
      <x:c r="J262" s="29" t="str">
        <x:f>IF(K262="","",IFERROR(INDEX('04_KE_HOACH_CD'!$I$6:$I$305,MATCH(K262,'04_KE_HOACH_CD'!$G$6:$G$305,0)),""))</x:f>
      </x:c>
      <x:c r="K262" s="29" t="str">
        <x:f>IF(OR(H262="",I262=""),"",H262&amp;"|"&amp;TEXT(I262,"000"))</x:f>
      </x:c>
      <x:c r="L262" s="21"/>
      <x:c r="M262" s="21"/>
      <x:c r="N262" s="21"/>
      <x:c r="O262" s="43"/>
      <x:c r="P262" s="43"/>
      <x:c r="Q262" s="25"/>
      <x:c r="R262" s="25"/>
      <x:c r="S262" s="39" t="str">
        <x:f>IF(A262="","",SUMIF('07_DUNG_CHO'!$B$6:$B$505,A262,'07_DUNG_CHO'!$E$6:$E$505))</x:f>
      </x:c>
      <x:c r="T262" s="39" t="str">
        <x:f>IF(A262="","",IF(N262="SETUP",0,MAX(0,(P262-O262)*1440-Q262-S262)))</x:f>
      </x:c>
      <x:c r="U262" s="25"/>
      <x:c r="V262" s="25"/>
      <x:c r="W262" s="25"/>
      <x:c r="X262" s="25"/>
      <x:c r="Y262" s="25"/>
      <x:c r="Z262" s="25"/>
      <x:c r="AA262" s="39" t="str">
        <x:f>IF(A262="","",U262-SUM(V262,X262:Z262))</x:f>
      </x:c>
      <x:c r="AB262" s="39" t="str">
        <x:f>IF(A262="","",IF(N262="SETUP",IFERROR(INDEX('04_KE_HOACH_CD'!$K$6:$K$305,MATCH(K262,'04_KE_HOACH_CD'!$G$6:$G$305,0)),0),IF(OR(N262="PRODUCTION",N262="REWORK"),IFERROR(INDEX('04_KE_HOACH_CD'!$L$6:$L$305,MATCH(K262,'04_KE_HOACH_CD'!$G$6:$G$305,0))*V262,0),0)))</x:f>
      </x:c>
      <x:c r="AC262" s="39" t="str">
        <x:f>IF(A262="","",MAX(0,(P262-O262)*1440-Q262))</x:f>
      </x:c>
      <x:c r="AD262" s="37" t="str">
        <x:f>IF(A262="","",IFERROR(AB262/AC262,0))</x:f>
      </x:c>
      <x:c r="AE262" s="33" t="str">
        <x:f>IF(A262="","",AC262/60*SUMIF(DM_NHAN_SU!$A$6:$A$105,L262,DM_NHAN_SU!$E$6:$E$105))</x:f>
      </x:c>
      <x:c r="AF262" s="33" t="str">
        <x:f>IF(A262="","",AC262/60*SUMIF(DM_MAY!$A$6:$A$105,M262,DM_MAY!$F$6:$F$105))</x:f>
      </x:c>
      <x:c r="AG262" s="33" t="str">
        <x:f>IF(A262="","",AE262+AF262)</x:f>
      </x:c>
      <x:c r="AH262" s="21"/>
      <x:c r="AI262" s="29" t="str">
        <x:f>IF(A262="","",IF(OR(B262="",D262="",E262="",I262="",L262="",N262="",O262="",P262=""),"Thiếu dữ liệu",IF(AND(OR(N262="PRODUCTION",N262="REWORK",N262="SETUP"),M262=""),"Thiếu máy",IF(P262&lt;O262,"Sai thời gian",IF(AA262&lt;&gt;0,"Sai cân đối SL","Hợp lệ")))))</x:f>
      </x:c>
      <x:c r="AJ262" s="21"/>
    </x:row>
    <x:row r="263">
      <x:c r="A263" s="21"/>
      <x:c r="B263" s="35"/>
      <x:c r="C263" s="21"/>
      <x:c r="D263" s="21"/>
      <x:c r="E263" s="21"/>
      <x:c r="F263" s="21"/>
      <x:c r="G263" s="21"/>
      <x:c r="H263" s="29" t="str">
        <x:f>IF(OR(D263="",E263=""),"",D263&amp;"|"&amp;E263&amp;"|"&amp;IF(F263="","00",F263)&amp;"|"&amp;IF(G263="","01",G263))</x:f>
      </x:c>
      <x:c r="I263" s="21"/>
      <x:c r="J263" s="29" t="str">
        <x:f>IF(K263="","",IFERROR(INDEX('04_KE_HOACH_CD'!$I$6:$I$305,MATCH(K263,'04_KE_HOACH_CD'!$G$6:$G$305,0)),""))</x:f>
      </x:c>
      <x:c r="K263" s="29" t="str">
        <x:f>IF(OR(H263="",I263=""),"",H263&amp;"|"&amp;TEXT(I263,"000"))</x:f>
      </x:c>
      <x:c r="L263" s="21"/>
      <x:c r="M263" s="21"/>
      <x:c r="N263" s="21"/>
      <x:c r="O263" s="43"/>
      <x:c r="P263" s="43"/>
      <x:c r="Q263" s="25"/>
      <x:c r="R263" s="25"/>
      <x:c r="S263" s="39" t="str">
        <x:f>IF(A263="","",SUMIF('07_DUNG_CHO'!$B$6:$B$505,A263,'07_DUNG_CHO'!$E$6:$E$505))</x:f>
      </x:c>
      <x:c r="T263" s="39" t="str">
        <x:f>IF(A263="","",IF(N263="SETUP",0,MAX(0,(P263-O263)*1440-Q263-S263)))</x:f>
      </x:c>
      <x:c r="U263" s="25"/>
      <x:c r="V263" s="25"/>
      <x:c r="W263" s="25"/>
      <x:c r="X263" s="25"/>
      <x:c r="Y263" s="25"/>
      <x:c r="Z263" s="25"/>
      <x:c r="AA263" s="39" t="str">
        <x:f>IF(A263="","",U263-SUM(V263,X263:Z263))</x:f>
      </x:c>
      <x:c r="AB263" s="39" t="str">
        <x:f>IF(A263="","",IF(N263="SETUP",IFERROR(INDEX('04_KE_HOACH_CD'!$K$6:$K$305,MATCH(K263,'04_KE_HOACH_CD'!$G$6:$G$305,0)),0),IF(OR(N263="PRODUCTION",N263="REWORK"),IFERROR(INDEX('04_KE_HOACH_CD'!$L$6:$L$305,MATCH(K263,'04_KE_HOACH_CD'!$G$6:$G$305,0))*V263,0),0)))</x:f>
      </x:c>
      <x:c r="AC263" s="39" t="str">
        <x:f>IF(A263="","",MAX(0,(P263-O263)*1440-Q263))</x:f>
      </x:c>
      <x:c r="AD263" s="37" t="str">
        <x:f>IF(A263="","",IFERROR(AB263/AC263,0))</x:f>
      </x:c>
      <x:c r="AE263" s="33" t="str">
        <x:f>IF(A263="","",AC263/60*SUMIF(DM_NHAN_SU!$A$6:$A$105,L263,DM_NHAN_SU!$E$6:$E$105))</x:f>
      </x:c>
      <x:c r="AF263" s="33" t="str">
        <x:f>IF(A263="","",AC263/60*SUMIF(DM_MAY!$A$6:$A$105,M263,DM_MAY!$F$6:$F$105))</x:f>
      </x:c>
      <x:c r="AG263" s="33" t="str">
        <x:f>IF(A263="","",AE263+AF263)</x:f>
      </x:c>
      <x:c r="AH263" s="21"/>
      <x:c r="AI263" s="29" t="str">
        <x:f>IF(A263="","",IF(OR(B263="",D263="",E263="",I263="",L263="",N263="",O263="",P263=""),"Thiếu dữ liệu",IF(AND(OR(N263="PRODUCTION",N263="REWORK",N263="SETUP"),M263=""),"Thiếu máy",IF(P263&lt;O263,"Sai thời gian",IF(AA263&lt;&gt;0,"Sai cân đối SL","Hợp lệ")))))</x:f>
      </x:c>
      <x:c r="AJ263" s="21"/>
    </x:row>
    <x:row r="264">
      <x:c r="A264" s="21"/>
      <x:c r="B264" s="35"/>
      <x:c r="C264" s="21"/>
      <x:c r="D264" s="21"/>
      <x:c r="E264" s="21"/>
      <x:c r="F264" s="21"/>
      <x:c r="G264" s="21"/>
      <x:c r="H264" s="29" t="str">
        <x:f>IF(OR(D264="",E264=""),"",D264&amp;"|"&amp;E264&amp;"|"&amp;IF(F264="","00",F264)&amp;"|"&amp;IF(G264="","01",G264))</x:f>
      </x:c>
      <x:c r="I264" s="21"/>
      <x:c r="J264" s="29" t="str">
        <x:f>IF(K264="","",IFERROR(INDEX('04_KE_HOACH_CD'!$I$6:$I$305,MATCH(K264,'04_KE_HOACH_CD'!$G$6:$G$305,0)),""))</x:f>
      </x:c>
      <x:c r="K264" s="29" t="str">
        <x:f>IF(OR(H264="",I264=""),"",H264&amp;"|"&amp;TEXT(I264,"000"))</x:f>
      </x:c>
      <x:c r="L264" s="21"/>
      <x:c r="M264" s="21"/>
      <x:c r="N264" s="21"/>
      <x:c r="O264" s="43"/>
      <x:c r="P264" s="43"/>
      <x:c r="Q264" s="25"/>
      <x:c r="R264" s="25"/>
      <x:c r="S264" s="39" t="str">
        <x:f>IF(A264="","",SUMIF('07_DUNG_CHO'!$B$6:$B$505,A264,'07_DUNG_CHO'!$E$6:$E$505))</x:f>
      </x:c>
      <x:c r="T264" s="39" t="str">
        <x:f>IF(A264="","",IF(N264="SETUP",0,MAX(0,(P264-O264)*1440-Q264-S264)))</x:f>
      </x:c>
      <x:c r="U264" s="25"/>
      <x:c r="V264" s="25"/>
      <x:c r="W264" s="25"/>
      <x:c r="X264" s="25"/>
      <x:c r="Y264" s="25"/>
      <x:c r="Z264" s="25"/>
      <x:c r="AA264" s="39" t="str">
        <x:f>IF(A264="","",U264-SUM(V264,X264:Z264))</x:f>
      </x:c>
      <x:c r="AB264" s="39" t="str">
        <x:f>IF(A264="","",IF(N264="SETUP",IFERROR(INDEX('04_KE_HOACH_CD'!$K$6:$K$305,MATCH(K264,'04_KE_HOACH_CD'!$G$6:$G$305,0)),0),IF(OR(N264="PRODUCTION",N264="REWORK"),IFERROR(INDEX('04_KE_HOACH_CD'!$L$6:$L$305,MATCH(K264,'04_KE_HOACH_CD'!$G$6:$G$305,0))*V264,0),0)))</x:f>
      </x:c>
      <x:c r="AC264" s="39" t="str">
        <x:f>IF(A264="","",MAX(0,(P264-O264)*1440-Q264))</x:f>
      </x:c>
      <x:c r="AD264" s="37" t="str">
        <x:f>IF(A264="","",IFERROR(AB264/AC264,0))</x:f>
      </x:c>
      <x:c r="AE264" s="33" t="str">
        <x:f>IF(A264="","",AC264/60*SUMIF(DM_NHAN_SU!$A$6:$A$105,L264,DM_NHAN_SU!$E$6:$E$105))</x:f>
      </x:c>
      <x:c r="AF264" s="33" t="str">
        <x:f>IF(A264="","",AC264/60*SUMIF(DM_MAY!$A$6:$A$105,M264,DM_MAY!$F$6:$F$105))</x:f>
      </x:c>
      <x:c r="AG264" s="33" t="str">
        <x:f>IF(A264="","",AE264+AF264)</x:f>
      </x:c>
      <x:c r="AH264" s="21"/>
      <x:c r="AI264" s="29" t="str">
        <x:f>IF(A264="","",IF(OR(B264="",D264="",E264="",I264="",L264="",N264="",O264="",P264=""),"Thiếu dữ liệu",IF(AND(OR(N264="PRODUCTION",N264="REWORK",N264="SETUP"),M264=""),"Thiếu máy",IF(P264&lt;O264,"Sai thời gian",IF(AA264&lt;&gt;0,"Sai cân đối SL","Hợp lệ")))))</x:f>
      </x:c>
      <x:c r="AJ264" s="21"/>
    </x:row>
    <x:row r="265">
      <x:c r="A265" s="21"/>
      <x:c r="B265" s="35"/>
      <x:c r="C265" s="21"/>
      <x:c r="D265" s="21"/>
      <x:c r="E265" s="21"/>
      <x:c r="F265" s="21"/>
      <x:c r="G265" s="21"/>
      <x:c r="H265" s="29" t="str">
        <x:f>IF(OR(D265="",E265=""),"",D265&amp;"|"&amp;E265&amp;"|"&amp;IF(F265="","00",F265)&amp;"|"&amp;IF(G265="","01",G265))</x:f>
      </x:c>
      <x:c r="I265" s="21"/>
      <x:c r="J265" s="29" t="str">
        <x:f>IF(K265="","",IFERROR(INDEX('04_KE_HOACH_CD'!$I$6:$I$305,MATCH(K265,'04_KE_HOACH_CD'!$G$6:$G$305,0)),""))</x:f>
      </x:c>
      <x:c r="K265" s="29" t="str">
        <x:f>IF(OR(H265="",I265=""),"",H265&amp;"|"&amp;TEXT(I265,"000"))</x:f>
      </x:c>
      <x:c r="L265" s="21"/>
      <x:c r="M265" s="21"/>
      <x:c r="N265" s="21"/>
      <x:c r="O265" s="43"/>
      <x:c r="P265" s="43"/>
      <x:c r="Q265" s="25"/>
      <x:c r="R265" s="25"/>
      <x:c r="S265" s="39" t="str">
        <x:f>IF(A265="","",SUMIF('07_DUNG_CHO'!$B$6:$B$505,A265,'07_DUNG_CHO'!$E$6:$E$505))</x:f>
      </x:c>
      <x:c r="T265" s="39" t="str">
        <x:f>IF(A265="","",IF(N265="SETUP",0,MAX(0,(P265-O265)*1440-Q265-S265)))</x:f>
      </x:c>
      <x:c r="U265" s="25"/>
      <x:c r="V265" s="25"/>
      <x:c r="W265" s="25"/>
      <x:c r="X265" s="25"/>
      <x:c r="Y265" s="25"/>
      <x:c r="Z265" s="25"/>
      <x:c r="AA265" s="39" t="str">
        <x:f>IF(A265="","",U265-SUM(V265,X265:Z265))</x:f>
      </x:c>
      <x:c r="AB265" s="39" t="str">
        <x:f>IF(A265="","",IF(N265="SETUP",IFERROR(INDEX('04_KE_HOACH_CD'!$K$6:$K$305,MATCH(K265,'04_KE_HOACH_CD'!$G$6:$G$305,0)),0),IF(OR(N265="PRODUCTION",N265="REWORK"),IFERROR(INDEX('04_KE_HOACH_CD'!$L$6:$L$305,MATCH(K265,'04_KE_HOACH_CD'!$G$6:$G$305,0))*V265,0),0)))</x:f>
      </x:c>
      <x:c r="AC265" s="39" t="str">
        <x:f>IF(A265="","",MAX(0,(P265-O265)*1440-Q265))</x:f>
      </x:c>
      <x:c r="AD265" s="37" t="str">
        <x:f>IF(A265="","",IFERROR(AB265/AC265,0))</x:f>
      </x:c>
      <x:c r="AE265" s="33" t="str">
        <x:f>IF(A265="","",AC265/60*SUMIF(DM_NHAN_SU!$A$6:$A$105,L265,DM_NHAN_SU!$E$6:$E$105))</x:f>
      </x:c>
      <x:c r="AF265" s="33" t="str">
        <x:f>IF(A265="","",AC265/60*SUMIF(DM_MAY!$A$6:$A$105,M265,DM_MAY!$F$6:$F$105))</x:f>
      </x:c>
      <x:c r="AG265" s="33" t="str">
        <x:f>IF(A265="","",AE265+AF265)</x:f>
      </x:c>
      <x:c r="AH265" s="21"/>
      <x:c r="AI265" s="29" t="str">
        <x:f>IF(A265="","",IF(OR(B265="",D265="",E265="",I265="",L265="",N265="",O265="",P265=""),"Thiếu dữ liệu",IF(AND(OR(N265="PRODUCTION",N265="REWORK",N265="SETUP"),M265=""),"Thiếu máy",IF(P265&lt;O265,"Sai thời gian",IF(AA265&lt;&gt;0,"Sai cân đối SL","Hợp lệ")))))</x:f>
      </x:c>
      <x:c r="AJ265" s="21"/>
    </x:row>
    <x:row r="266">
      <x:c r="A266" s="21"/>
      <x:c r="B266" s="35"/>
      <x:c r="C266" s="21"/>
      <x:c r="D266" s="21"/>
      <x:c r="E266" s="21"/>
      <x:c r="F266" s="21"/>
      <x:c r="G266" s="21"/>
      <x:c r="H266" s="29" t="str">
        <x:f>IF(OR(D266="",E266=""),"",D266&amp;"|"&amp;E266&amp;"|"&amp;IF(F266="","00",F266)&amp;"|"&amp;IF(G266="","01",G266))</x:f>
      </x:c>
      <x:c r="I266" s="21"/>
      <x:c r="J266" s="29" t="str">
        <x:f>IF(K266="","",IFERROR(INDEX('04_KE_HOACH_CD'!$I$6:$I$305,MATCH(K266,'04_KE_HOACH_CD'!$G$6:$G$305,0)),""))</x:f>
      </x:c>
      <x:c r="K266" s="29" t="str">
        <x:f>IF(OR(H266="",I266=""),"",H266&amp;"|"&amp;TEXT(I266,"000"))</x:f>
      </x:c>
      <x:c r="L266" s="21"/>
      <x:c r="M266" s="21"/>
      <x:c r="N266" s="21"/>
      <x:c r="O266" s="43"/>
      <x:c r="P266" s="43"/>
      <x:c r="Q266" s="25"/>
      <x:c r="R266" s="25"/>
      <x:c r="S266" s="39" t="str">
        <x:f>IF(A266="","",SUMIF('07_DUNG_CHO'!$B$6:$B$505,A266,'07_DUNG_CHO'!$E$6:$E$505))</x:f>
      </x:c>
      <x:c r="T266" s="39" t="str">
        <x:f>IF(A266="","",IF(N266="SETUP",0,MAX(0,(P266-O266)*1440-Q266-S266)))</x:f>
      </x:c>
      <x:c r="U266" s="25"/>
      <x:c r="V266" s="25"/>
      <x:c r="W266" s="25"/>
      <x:c r="X266" s="25"/>
      <x:c r="Y266" s="25"/>
      <x:c r="Z266" s="25"/>
      <x:c r="AA266" s="39" t="str">
        <x:f>IF(A266="","",U266-SUM(V266,X266:Z266))</x:f>
      </x:c>
      <x:c r="AB266" s="39" t="str">
        <x:f>IF(A266="","",IF(N266="SETUP",IFERROR(INDEX('04_KE_HOACH_CD'!$K$6:$K$305,MATCH(K266,'04_KE_HOACH_CD'!$G$6:$G$305,0)),0),IF(OR(N266="PRODUCTION",N266="REWORK"),IFERROR(INDEX('04_KE_HOACH_CD'!$L$6:$L$305,MATCH(K266,'04_KE_HOACH_CD'!$G$6:$G$305,0))*V266,0),0)))</x:f>
      </x:c>
      <x:c r="AC266" s="39" t="str">
        <x:f>IF(A266="","",MAX(0,(P266-O266)*1440-Q266))</x:f>
      </x:c>
      <x:c r="AD266" s="37" t="str">
        <x:f>IF(A266="","",IFERROR(AB266/AC266,0))</x:f>
      </x:c>
      <x:c r="AE266" s="33" t="str">
        <x:f>IF(A266="","",AC266/60*SUMIF(DM_NHAN_SU!$A$6:$A$105,L266,DM_NHAN_SU!$E$6:$E$105))</x:f>
      </x:c>
      <x:c r="AF266" s="33" t="str">
        <x:f>IF(A266="","",AC266/60*SUMIF(DM_MAY!$A$6:$A$105,M266,DM_MAY!$F$6:$F$105))</x:f>
      </x:c>
      <x:c r="AG266" s="33" t="str">
        <x:f>IF(A266="","",AE266+AF266)</x:f>
      </x:c>
      <x:c r="AH266" s="21"/>
      <x:c r="AI266" s="29" t="str">
        <x:f>IF(A266="","",IF(OR(B266="",D266="",E266="",I266="",L266="",N266="",O266="",P266=""),"Thiếu dữ liệu",IF(AND(OR(N266="PRODUCTION",N266="REWORK",N266="SETUP"),M266=""),"Thiếu máy",IF(P266&lt;O266,"Sai thời gian",IF(AA266&lt;&gt;0,"Sai cân đối SL","Hợp lệ")))))</x:f>
      </x:c>
      <x:c r="AJ266" s="21"/>
    </x:row>
    <x:row r="267">
      <x:c r="A267" s="21"/>
      <x:c r="B267" s="35"/>
      <x:c r="C267" s="21"/>
      <x:c r="D267" s="21"/>
      <x:c r="E267" s="21"/>
      <x:c r="F267" s="21"/>
      <x:c r="G267" s="21"/>
      <x:c r="H267" s="29" t="str">
        <x:f>IF(OR(D267="",E267=""),"",D267&amp;"|"&amp;E267&amp;"|"&amp;IF(F267="","00",F267)&amp;"|"&amp;IF(G267="","01",G267))</x:f>
      </x:c>
      <x:c r="I267" s="21"/>
      <x:c r="J267" s="29" t="str">
        <x:f>IF(K267="","",IFERROR(INDEX('04_KE_HOACH_CD'!$I$6:$I$305,MATCH(K267,'04_KE_HOACH_CD'!$G$6:$G$305,0)),""))</x:f>
      </x:c>
      <x:c r="K267" s="29" t="str">
        <x:f>IF(OR(H267="",I267=""),"",H267&amp;"|"&amp;TEXT(I267,"000"))</x:f>
      </x:c>
      <x:c r="L267" s="21"/>
      <x:c r="M267" s="21"/>
      <x:c r="N267" s="21"/>
      <x:c r="O267" s="43"/>
      <x:c r="P267" s="43"/>
      <x:c r="Q267" s="25"/>
      <x:c r="R267" s="25"/>
      <x:c r="S267" s="39" t="str">
        <x:f>IF(A267="","",SUMIF('07_DUNG_CHO'!$B$6:$B$505,A267,'07_DUNG_CHO'!$E$6:$E$505))</x:f>
      </x:c>
      <x:c r="T267" s="39" t="str">
        <x:f>IF(A267="","",IF(N267="SETUP",0,MAX(0,(P267-O267)*1440-Q267-S267)))</x:f>
      </x:c>
      <x:c r="U267" s="25"/>
      <x:c r="V267" s="25"/>
      <x:c r="W267" s="25"/>
      <x:c r="X267" s="25"/>
      <x:c r="Y267" s="25"/>
      <x:c r="Z267" s="25"/>
      <x:c r="AA267" s="39" t="str">
        <x:f>IF(A267="","",U267-SUM(V267,X267:Z267))</x:f>
      </x:c>
      <x:c r="AB267" s="39" t="str">
        <x:f>IF(A267="","",IF(N267="SETUP",IFERROR(INDEX('04_KE_HOACH_CD'!$K$6:$K$305,MATCH(K267,'04_KE_HOACH_CD'!$G$6:$G$305,0)),0),IF(OR(N267="PRODUCTION",N267="REWORK"),IFERROR(INDEX('04_KE_HOACH_CD'!$L$6:$L$305,MATCH(K267,'04_KE_HOACH_CD'!$G$6:$G$305,0))*V267,0),0)))</x:f>
      </x:c>
      <x:c r="AC267" s="39" t="str">
        <x:f>IF(A267="","",MAX(0,(P267-O267)*1440-Q267))</x:f>
      </x:c>
      <x:c r="AD267" s="37" t="str">
        <x:f>IF(A267="","",IFERROR(AB267/AC267,0))</x:f>
      </x:c>
      <x:c r="AE267" s="33" t="str">
        <x:f>IF(A267="","",AC267/60*SUMIF(DM_NHAN_SU!$A$6:$A$105,L267,DM_NHAN_SU!$E$6:$E$105))</x:f>
      </x:c>
      <x:c r="AF267" s="33" t="str">
        <x:f>IF(A267="","",AC267/60*SUMIF(DM_MAY!$A$6:$A$105,M267,DM_MAY!$F$6:$F$105))</x:f>
      </x:c>
      <x:c r="AG267" s="33" t="str">
        <x:f>IF(A267="","",AE267+AF267)</x:f>
      </x:c>
      <x:c r="AH267" s="21"/>
      <x:c r="AI267" s="29" t="str">
        <x:f>IF(A267="","",IF(OR(B267="",D267="",E267="",I267="",L267="",N267="",O267="",P267=""),"Thiếu dữ liệu",IF(AND(OR(N267="PRODUCTION",N267="REWORK",N267="SETUP"),M267=""),"Thiếu máy",IF(P267&lt;O267,"Sai thời gian",IF(AA267&lt;&gt;0,"Sai cân đối SL","Hợp lệ")))))</x:f>
      </x:c>
      <x:c r="AJ267" s="21"/>
    </x:row>
    <x:row r="268">
      <x:c r="A268" s="21"/>
      <x:c r="B268" s="35"/>
      <x:c r="C268" s="21"/>
      <x:c r="D268" s="21"/>
      <x:c r="E268" s="21"/>
      <x:c r="F268" s="21"/>
      <x:c r="G268" s="21"/>
      <x:c r="H268" s="29" t="str">
        <x:f>IF(OR(D268="",E268=""),"",D268&amp;"|"&amp;E268&amp;"|"&amp;IF(F268="","00",F268)&amp;"|"&amp;IF(G268="","01",G268))</x:f>
      </x:c>
      <x:c r="I268" s="21"/>
      <x:c r="J268" s="29" t="str">
        <x:f>IF(K268="","",IFERROR(INDEX('04_KE_HOACH_CD'!$I$6:$I$305,MATCH(K268,'04_KE_HOACH_CD'!$G$6:$G$305,0)),""))</x:f>
      </x:c>
      <x:c r="K268" s="29" t="str">
        <x:f>IF(OR(H268="",I268=""),"",H268&amp;"|"&amp;TEXT(I268,"000"))</x:f>
      </x:c>
      <x:c r="L268" s="21"/>
      <x:c r="M268" s="21"/>
      <x:c r="N268" s="21"/>
      <x:c r="O268" s="43"/>
      <x:c r="P268" s="43"/>
      <x:c r="Q268" s="25"/>
      <x:c r="R268" s="25"/>
      <x:c r="S268" s="39" t="str">
        <x:f>IF(A268="","",SUMIF('07_DUNG_CHO'!$B$6:$B$505,A268,'07_DUNG_CHO'!$E$6:$E$505))</x:f>
      </x:c>
      <x:c r="T268" s="39" t="str">
        <x:f>IF(A268="","",IF(N268="SETUP",0,MAX(0,(P268-O268)*1440-Q268-S268)))</x:f>
      </x:c>
      <x:c r="U268" s="25"/>
      <x:c r="V268" s="25"/>
      <x:c r="W268" s="25"/>
      <x:c r="X268" s="25"/>
      <x:c r="Y268" s="25"/>
      <x:c r="Z268" s="25"/>
      <x:c r="AA268" s="39" t="str">
        <x:f>IF(A268="","",U268-SUM(V268,X268:Z268))</x:f>
      </x:c>
      <x:c r="AB268" s="39" t="str">
        <x:f>IF(A268="","",IF(N268="SETUP",IFERROR(INDEX('04_KE_HOACH_CD'!$K$6:$K$305,MATCH(K268,'04_KE_HOACH_CD'!$G$6:$G$305,0)),0),IF(OR(N268="PRODUCTION",N268="REWORK"),IFERROR(INDEX('04_KE_HOACH_CD'!$L$6:$L$305,MATCH(K268,'04_KE_HOACH_CD'!$G$6:$G$305,0))*V268,0),0)))</x:f>
      </x:c>
      <x:c r="AC268" s="39" t="str">
        <x:f>IF(A268="","",MAX(0,(P268-O268)*1440-Q268))</x:f>
      </x:c>
      <x:c r="AD268" s="37" t="str">
        <x:f>IF(A268="","",IFERROR(AB268/AC268,0))</x:f>
      </x:c>
      <x:c r="AE268" s="33" t="str">
        <x:f>IF(A268="","",AC268/60*SUMIF(DM_NHAN_SU!$A$6:$A$105,L268,DM_NHAN_SU!$E$6:$E$105))</x:f>
      </x:c>
      <x:c r="AF268" s="33" t="str">
        <x:f>IF(A268="","",AC268/60*SUMIF(DM_MAY!$A$6:$A$105,M268,DM_MAY!$F$6:$F$105))</x:f>
      </x:c>
      <x:c r="AG268" s="33" t="str">
        <x:f>IF(A268="","",AE268+AF268)</x:f>
      </x:c>
      <x:c r="AH268" s="21"/>
      <x:c r="AI268" s="29" t="str">
        <x:f>IF(A268="","",IF(OR(B268="",D268="",E268="",I268="",L268="",N268="",O268="",P268=""),"Thiếu dữ liệu",IF(AND(OR(N268="PRODUCTION",N268="REWORK",N268="SETUP"),M268=""),"Thiếu máy",IF(P268&lt;O268,"Sai thời gian",IF(AA268&lt;&gt;0,"Sai cân đối SL","Hợp lệ")))))</x:f>
      </x:c>
      <x:c r="AJ268" s="21"/>
    </x:row>
    <x:row r="269">
      <x:c r="A269" s="21"/>
      <x:c r="B269" s="35"/>
      <x:c r="C269" s="21"/>
      <x:c r="D269" s="21"/>
      <x:c r="E269" s="21"/>
      <x:c r="F269" s="21"/>
      <x:c r="G269" s="21"/>
      <x:c r="H269" s="29" t="str">
        <x:f>IF(OR(D269="",E269=""),"",D269&amp;"|"&amp;E269&amp;"|"&amp;IF(F269="","00",F269)&amp;"|"&amp;IF(G269="","01",G269))</x:f>
      </x:c>
      <x:c r="I269" s="21"/>
      <x:c r="J269" s="29" t="str">
        <x:f>IF(K269="","",IFERROR(INDEX('04_KE_HOACH_CD'!$I$6:$I$305,MATCH(K269,'04_KE_HOACH_CD'!$G$6:$G$305,0)),""))</x:f>
      </x:c>
      <x:c r="K269" s="29" t="str">
        <x:f>IF(OR(H269="",I269=""),"",H269&amp;"|"&amp;TEXT(I269,"000"))</x:f>
      </x:c>
      <x:c r="L269" s="21"/>
      <x:c r="M269" s="21"/>
      <x:c r="N269" s="21"/>
      <x:c r="O269" s="43"/>
      <x:c r="P269" s="43"/>
      <x:c r="Q269" s="25"/>
      <x:c r="R269" s="25"/>
      <x:c r="S269" s="39" t="str">
        <x:f>IF(A269="","",SUMIF('07_DUNG_CHO'!$B$6:$B$505,A269,'07_DUNG_CHO'!$E$6:$E$505))</x:f>
      </x:c>
      <x:c r="T269" s="39" t="str">
        <x:f>IF(A269="","",IF(N269="SETUP",0,MAX(0,(P269-O269)*1440-Q269-S269)))</x:f>
      </x:c>
      <x:c r="U269" s="25"/>
      <x:c r="V269" s="25"/>
      <x:c r="W269" s="25"/>
      <x:c r="X269" s="25"/>
      <x:c r="Y269" s="25"/>
      <x:c r="Z269" s="25"/>
      <x:c r="AA269" s="39" t="str">
        <x:f>IF(A269="","",U269-SUM(V269,X269:Z269))</x:f>
      </x:c>
      <x:c r="AB269" s="39" t="str">
        <x:f>IF(A269="","",IF(N269="SETUP",IFERROR(INDEX('04_KE_HOACH_CD'!$K$6:$K$305,MATCH(K269,'04_KE_HOACH_CD'!$G$6:$G$305,0)),0),IF(OR(N269="PRODUCTION",N269="REWORK"),IFERROR(INDEX('04_KE_HOACH_CD'!$L$6:$L$305,MATCH(K269,'04_KE_HOACH_CD'!$G$6:$G$305,0))*V269,0),0)))</x:f>
      </x:c>
      <x:c r="AC269" s="39" t="str">
        <x:f>IF(A269="","",MAX(0,(P269-O269)*1440-Q269))</x:f>
      </x:c>
      <x:c r="AD269" s="37" t="str">
        <x:f>IF(A269="","",IFERROR(AB269/AC269,0))</x:f>
      </x:c>
      <x:c r="AE269" s="33" t="str">
        <x:f>IF(A269="","",AC269/60*SUMIF(DM_NHAN_SU!$A$6:$A$105,L269,DM_NHAN_SU!$E$6:$E$105))</x:f>
      </x:c>
      <x:c r="AF269" s="33" t="str">
        <x:f>IF(A269="","",AC269/60*SUMIF(DM_MAY!$A$6:$A$105,M269,DM_MAY!$F$6:$F$105))</x:f>
      </x:c>
      <x:c r="AG269" s="33" t="str">
        <x:f>IF(A269="","",AE269+AF269)</x:f>
      </x:c>
      <x:c r="AH269" s="21"/>
      <x:c r="AI269" s="29" t="str">
        <x:f>IF(A269="","",IF(OR(B269="",D269="",E269="",I269="",L269="",N269="",O269="",P269=""),"Thiếu dữ liệu",IF(AND(OR(N269="PRODUCTION",N269="REWORK",N269="SETUP"),M269=""),"Thiếu máy",IF(P269&lt;O269,"Sai thời gian",IF(AA269&lt;&gt;0,"Sai cân đối SL","Hợp lệ")))))</x:f>
      </x:c>
      <x:c r="AJ269" s="21"/>
    </x:row>
    <x:row r="270">
      <x:c r="A270" s="21"/>
      <x:c r="B270" s="35"/>
      <x:c r="C270" s="21"/>
      <x:c r="D270" s="21"/>
      <x:c r="E270" s="21"/>
      <x:c r="F270" s="21"/>
      <x:c r="G270" s="21"/>
      <x:c r="H270" s="29" t="str">
        <x:f>IF(OR(D270="",E270=""),"",D270&amp;"|"&amp;E270&amp;"|"&amp;IF(F270="","00",F270)&amp;"|"&amp;IF(G270="","01",G270))</x:f>
      </x:c>
      <x:c r="I270" s="21"/>
      <x:c r="J270" s="29" t="str">
        <x:f>IF(K270="","",IFERROR(INDEX('04_KE_HOACH_CD'!$I$6:$I$305,MATCH(K270,'04_KE_HOACH_CD'!$G$6:$G$305,0)),""))</x:f>
      </x:c>
      <x:c r="K270" s="29" t="str">
        <x:f>IF(OR(H270="",I270=""),"",H270&amp;"|"&amp;TEXT(I270,"000"))</x:f>
      </x:c>
      <x:c r="L270" s="21"/>
      <x:c r="M270" s="21"/>
      <x:c r="N270" s="21"/>
      <x:c r="O270" s="43"/>
      <x:c r="P270" s="43"/>
      <x:c r="Q270" s="25"/>
      <x:c r="R270" s="25"/>
      <x:c r="S270" s="39" t="str">
        <x:f>IF(A270="","",SUMIF('07_DUNG_CHO'!$B$6:$B$505,A270,'07_DUNG_CHO'!$E$6:$E$505))</x:f>
      </x:c>
      <x:c r="T270" s="39" t="str">
        <x:f>IF(A270="","",IF(N270="SETUP",0,MAX(0,(P270-O270)*1440-Q270-S270)))</x:f>
      </x:c>
      <x:c r="U270" s="25"/>
      <x:c r="V270" s="25"/>
      <x:c r="W270" s="25"/>
      <x:c r="X270" s="25"/>
      <x:c r="Y270" s="25"/>
      <x:c r="Z270" s="25"/>
      <x:c r="AA270" s="39" t="str">
        <x:f>IF(A270="","",U270-SUM(V270,X270:Z270))</x:f>
      </x:c>
      <x:c r="AB270" s="39" t="str">
        <x:f>IF(A270="","",IF(N270="SETUP",IFERROR(INDEX('04_KE_HOACH_CD'!$K$6:$K$305,MATCH(K270,'04_KE_HOACH_CD'!$G$6:$G$305,0)),0),IF(OR(N270="PRODUCTION",N270="REWORK"),IFERROR(INDEX('04_KE_HOACH_CD'!$L$6:$L$305,MATCH(K270,'04_KE_HOACH_CD'!$G$6:$G$305,0))*V270,0),0)))</x:f>
      </x:c>
      <x:c r="AC270" s="39" t="str">
        <x:f>IF(A270="","",MAX(0,(P270-O270)*1440-Q270))</x:f>
      </x:c>
      <x:c r="AD270" s="37" t="str">
        <x:f>IF(A270="","",IFERROR(AB270/AC270,0))</x:f>
      </x:c>
      <x:c r="AE270" s="33" t="str">
        <x:f>IF(A270="","",AC270/60*SUMIF(DM_NHAN_SU!$A$6:$A$105,L270,DM_NHAN_SU!$E$6:$E$105))</x:f>
      </x:c>
      <x:c r="AF270" s="33" t="str">
        <x:f>IF(A270="","",AC270/60*SUMIF(DM_MAY!$A$6:$A$105,M270,DM_MAY!$F$6:$F$105))</x:f>
      </x:c>
      <x:c r="AG270" s="33" t="str">
        <x:f>IF(A270="","",AE270+AF270)</x:f>
      </x:c>
      <x:c r="AH270" s="21"/>
      <x:c r="AI270" s="29" t="str">
        <x:f>IF(A270="","",IF(OR(B270="",D270="",E270="",I270="",L270="",N270="",O270="",P270=""),"Thiếu dữ liệu",IF(AND(OR(N270="PRODUCTION",N270="REWORK",N270="SETUP"),M270=""),"Thiếu máy",IF(P270&lt;O270,"Sai thời gian",IF(AA270&lt;&gt;0,"Sai cân đối SL","Hợp lệ")))))</x:f>
      </x:c>
      <x:c r="AJ270" s="21"/>
    </x:row>
    <x:row r="271">
      <x:c r="A271" s="21"/>
      <x:c r="B271" s="35"/>
      <x:c r="C271" s="21"/>
      <x:c r="D271" s="21"/>
      <x:c r="E271" s="21"/>
      <x:c r="F271" s="21"/>
      <x:c r="G271" s="21"/>
      <x:c r="H271" s="29" t="str">
        <x:f>IF(OR(D271="",E271=""),"",D271&amp;"|"&amp;E271&amp;"|"&amp;IF(F271="","00",F271)&amp;"|"&amp;IF(G271="","01",G271))</x:f>
      </x:c>
      <x:c r="I271" s="21"/>
      <x:c r="J271" s="29" t="str">
        <x:f>IF(K271="","",IFERROR(INDEX('04_KE_HOACH_CD'!$I$6:$I$305,MATCH(K271,'04_KE_HOACH_CD'!$G$6:$G$305,0)),""))</x:f>
      </x:c>
      <x:c r="K271" s="29" t="str">
        <x:f>IF(OR(H271="",I271=""),"",H271&amp;"|"&amp;TEXT(I271,"000"))</x:f>
      </x:c>
      <x:c r="L271" s="21"/>
      <x:c r="M271" s="21"/>
      <x:c r="N271" s="21"/>
      <x:c r="O271" s="43"/>
      <x:c r="P271" s="43"/>
      <x:c r="Q271" s="25"/>
      <x:c r="R271" s="25"/>
      <x:c r="S271" s="39" t="str">
        <x:f>IF(A271="","",SUMIF('07_DUNG_CHO'!$B$6:$B$505,A271,'07_DUNG_CHO'!$E$6:$E$505))</x:f>
      </x:c>
      <x:c r="T271" s="39" t="str">
        <x:f>IF(A271="","",IF(N271="SETUP",0,MAX(0,(P271-O271)*1440-Q271-S271)))</x:f>
      </x:c>
      <x:c r="U271" s="25"/>
      <x:c r="V271" s="25"/>
      <x:c r="W271" s="25"/>
      <x:c r="X271" s="25"/>
      <x:c r="Y271" s="25"/>
      <x:c r="Z271" s="25"/>
      <x:c r="AA271" s="39" t="str">
        <x:f>IF(A271="","",U271-SUM(V271,X271:Z271))</x:f>
      </x:c>
      <x:c r="AB271" s="39" t="str">
        <x:f>IF(A271="","",IF(N271="SETUP",IFERROR(INDEX('04_KE_HOACH_CD'!$K$6:$K$305,MATCH(K271,'04_KE_HOACH_CD'!$G$6:$G$305,0)),0),IF(OR(N271="PRODUCTION",N271="REWORK"),IFERROR(INDEX('04_KE_HOACH_CD'!$L$6:$L$305,MATCH(K271,'04_KE_HOACH_CD'!$G$6:$G$305,0))*V271,0),0)))</x:f>
      </x:c>
      <x:c r="AC271" s="39" t="str">
        <x:f>IF(A271="","",MAX(0,(P271-O271)*1440-Q271))</x:f>
      </x:c>
      <x:c r="AD271" s="37" t="str">
        <x:f>IF(A271="","",IFERROR(AB271/AC271,0))</x:f>
      </x:c>
      <x:c r="AE271" s="33" t="str">
        <x:f>IF(A271="","",AC271/60*SUMIF(DM_NHAN_SU!$A$6:$A$105,L271,DM_NHAN_SU!$E$6:$E$105))</x:f>
      </x:c>
      <x:c r="AF271" s="33" t="str">
        <x:f>IF(A271="","",AC271/60*SUMIF(DM_MAY!$A$6:$A$105,M271,DM_MAY!$F$6:$F$105))</x:f>
      </x:c>
      <x:c r="AG271" s="33" t="str">
        <x:f>IF(A271="","",AE271+AF271)</x:f>
      </x:c>
      <x:c r="AH271" s="21"/>
      <x:c r="AI271" s="29" t="str">
        <x:f>IF(A271="","",IF(OR(B271="",D271="",E271="",I271="",L271="",N271="",O271="",P271=""),"Thiếu dữ liệu",IF(AND(OR(N271="PRODUCTION",N271="REWORK",N271="SETUP"),M271=""),"Thiếu máy",IF(P271&lt;O271,"Sai thời gian",IF(AA271&lt;&gt;0,"Sai cân đối SL","Hợp lệ")))))</x:f>
      </x:c>
      <x:c r="AJ271" s="21"/>
    </x:row>
    <x:row r="272">
      <x:c r="A272" s="21"/>
      <x:c r="B272" s="35"/>
      <x:c r="C272" s="21"/>
      <x:c r="D272" s="21"/>
      <x:c r="E272" s="21"/>
      <x:c r="F272" s="21"/>
      <x:c r="G272" s="21"/>
      <x:c r="H272" s="29" t="str">
        <x:f>IF(OR(D272="",E272=""),"",D272&amp;"|"&amp;E272&amp;"|"&amp;IF(F272="","00",F272)&amp;"|"&amp;IF(G272="","01",G272))</x:f>
      </x:c>
      <x:c r="I272" s="21"/>
      <x:c r="J272" s="29" t="str">
        <x:f>IF(K272="","",IFERROR(INDEX('04_KE_HOACH_CD'!$I$6:$I$305,MATCH(K272,'04_KE_HOACH_CD'!$G$6:$G$305,0)),""))</x:f>
      </x:c>
      <x:c r="K272" s="29" t="str">
        <x:f>IF(OR(H272="",I272=""),"",H272&amp;"|"&amp;TEXT(I272,"000"))</x:f>
      </x:c>
      <x:c r="L272" s="21"/>
      <x:c r="M272" s="21"/>
      <x:c r="N272" s="21"/>
      <x:c r="O272" s="43"/>
      <x:c r="P272" s="43"/>
      <x:c r="Q272" s="25"/>
      <x:c r="R272" s="25"/>
      <x:c r="S272" s="39" t="str">
        <x:f>IF(A272="","",SUMIF('07_DUNG_CHO'!$B$6:$B$505,A272,'07_DUNG_CHO'!$E$6:$E$505))</x:f>
      </x:c>
      <x:c r="T272" s="39" t="str">
        <x:f>IF(A272="","",IF(N272="SETUP",0,MAX(0,(P272-O272)*1440-Q272-S272)))</x:f>
      </x:c>
      <x:c r="U272" s="25"/>
      <x:c r="V272" s="25"/>
      <x:c r="W272" s="25"/>
      <x:c r="X272" s="25"/>
      <x:c r="Y272" s="25"/>
      <x:c r="Z272" s="25"/>
      <x:c r="AA272" s="39" t="str">
        <x:f>IF(A272="","",U272-SUM(V272,X272:Z272))</x:f>
      </x:c>
      <x:c r="AB272" s="39" t="str">
        <x:f>IF(A272="","",IF(N272="SETUP",IFERROR(INDEX('04_KE_HOACH_CD'!$K$6:$K$305,MATCH(K272,'04_KE_HOACH_CD'!$G$6:$G$305,0)),0),IF(OR(N272="PRODUCTION",N272="REWORK"),IFERROR(INDEX('04_KE_HOACH_CD'!$L$6:$L$305,MATCH(K272,'04_KE_HOACH_CD'!$G$6:$G$305,0))*V272,0),0)))</x:f>
      </x:c>
      <x:c r="AC272" s="39" t="str">
        <x:f>IF(A272="","",MAX(0,(P272-O272)*1440-Q272))</x:f>
      </x:c>
      <x:c r="AD272" s="37" t="str">
        <x:f>IF(A272="","",IFERROR(AB272/AC272,0))</x:f>
      </x:c>
      <x:c r="AE272" s="33" t="str">
        <x:f>IF(A272="","",AC272/60*SUMIF(DM_NHAN_SU!$A$6:$A$105,L272,DM_NHAN_SU!$E$6:$E$105))</x:f>
      </x:c>
      <x:c r="AF272" s="33" t="str">
        <x:f>IF(A272="","",AC272/60*SUMIF(DM_MAY!$A$6:$A$105,M272,DM_MAY!$F$6:$F$105))</x:f>
      </x:c>
      <x:c r="AG272" s="33" t="str">
        <x:f>IF(A272="","",AE272+AF272)</x:f>
      </x:c>
      <x:c r="AH272" s="21"/>
      <x:c r="AI272" s="29" t="str">
        <x:f>IF(A272="","",IF(OR(B272="",D272="",E272="",I272="",L272="",N272="",O272="",P272=""),"Thiếu dữ liệu",IF(AND(OR(N272="PRODUCTION",N272="REWORK",N272="SETUP"),M272=""),"Thiếu máy",IF(P272&lt;O272,"Sai thời gian",IF(AA272&lt;&gt;0,"Sai cân đối SL","Hợp lệ")))))</x:f>
      </x:c>
      <x:c r="AJ272" s="21"/>
    </x:row>
    <x:row r="273">
      <x:c r="A273" s="21"/>
      <x:c r="B273" s="35"/>
      <x:c r="C273" s="21"/>
      <x:c r="D273" s="21"/>
      <x:c r="E273" s="21"/>
      <x:c r="F273" s="21"/>
      <x:c r="G273" s="21"/>
      <x:c r="H273" s="29" t="str">
        <x:f>IF(OR(D273="",E273=""),"",D273&amp;"|"&amp;E273&amp;"|"&amp;IF(F273="","00",F273)&amp;"|"&amp;IF(G273="","01",G273))</x:f>
      </x:c>
      <x:c r="I273" s="21"/>
      <x:c r="J273" s="29" t="str">
        <x:f>IF(K273="","",IFERROR(INDEX('04_KE_HOACH_CD'!$I$6:$I$305,MATCH(K273,'04_KE_HOACH_CD'!$G$6:$G$305,0)),""))</x:f>
      </x:c>
      <x:c r="K273" s="29" t="str">
        <x:f>IF(OR(H273="",I273=""),"",H273&amp;"|"&amp;TEXT(I273,"000"))</x:f>
      </x:c>
      <x:c r="L273" s="21"/>
      <x:c r="M273" s="21"/>
      <x:c r="N273" s="21"/>
      <x:c r="O273" s="43"/>
      <x:c r="P273" s="43"/>
      <x:c r="Q273" s="25"/>
      <x:c r="R273" s="25"/>
      <x:c r="S273" s="39" t="str">
        <x:f>IF(A273="","",SUMIF('07_DUNG_CHO'!$B$6:$B$505,A273,'07_DUNG_CHO'!$E$6:$E$505))</x:f>
      </x:c>
      <x:c r="T273" s="39" t="str">
        <x:f>IF(A273="","",IF(N273="SETUP",0,MAX(0,(P273-O273)*1440-Q273-S273)))</x:f>
      </x:c>
      <x:c r="U273" s="25"/>
      <x:c r="V273" s="25"/>
      <x:c r="W273" s="25"/>
      <x:c r="X273" s="25"/>
      <x:c r="Y273" s="25"/>
      <x:c r="Z273" s="25"/>
      <x:c r="AA273" s="39" t="str">
        <x:f>IF(A273="","",U273-SUM(V273,X273:Z273))</x:f>
      </x:c>
      <x:c r="AB273" s="39" t="str">
        <x:f>IF(A273="","",IF(N273="SETUP",IFERROR(INDEX('04_KE_HOACH_CD'!$K$6:$K$305,MATCH(K273,'04_KE_HOACH_CD'!$G$6:$G$305,0)),0),IF(OR(N273="PRODUCTION",N273="REWORK"),IFERROR(INDEX('04_KE_HOACH_CD'!$L$6:$L$305,MATCH(K273,'04_KE_HOACH_CD'!$G$6:$G$305,0))*V273,0),0)))</x:f>
      </x:c>
      <x:c r="AC273" s="39" t="str">
        <x:f>IF(A273="","",MAX(0,(P273-O273)*1440-Q273))</x:f>
      </x:c>
      <x:c r="AD273" s="37" t="str">
        <x:f>IF(A273="","",IFERROR(AB273/AC273,0))</x:f>
      </x:c>
      <x:c r="AE273" s="33" t="str">
        <x:f>IF(A273="","",AC273/60*SUMIF(DM_NHAN_SU!$A$6:$A$105,L273,DM_NHAN_SU!$E$6:$E$105))</x:f>
      </x:c>
      <x:c r="AF273" s="33" t="str">
        <x:f>IF(A273="","",AC273/60*SUMIF(DM_MAY!$A$6:$A$105,M273,DM_MAY!$F$6:$F$105))</x:f>
      </x:c>
      <x:c r="AG273" s="33" t="str">
        <x:f>IF(A273="","",AE273+AF273)</x:f>
      </x:c>
      <x:c r="AH273" s="21"/>
      <x:c r="AI273" s="29" t="str">
        <x:f>IF(A273="","",IF(OR(B273="",D273="",E273="",I273="",L273="",N273="",O273="",P273=""),"Thiếu dữ liệu",IF(AND(OR(N273="PRODUCTION",N273="REWORK",N273="SETUP"),M273=""),"Thiếu máy",IF(P273&lt;O273,"Sai thời gian",IF(AA273&lt;&gt;0,"Sai cân đối SL","Hợp lệ")))))</x:f>
      </x:c>
      <x:c r="AJ273" s="21"/>
    </x:row>
    <x:row r="274">
      <x:c r="A274" s="21"/>
      <x:c r="B274" s="35"/>
      <x:c r="C274" s="21"/>
      <x:c r="D274" s="21"/>
      <x:c r="E274" s="21"/>
      <x:c r="F274" s="21"/>
      <x:c r="G274" s="21"/>
      <x:c r="H274" s="29" t="str">
        <x:f>IF(OR(D274="",E274=""),"",D274&amp;"|"&amp;E274&amp;"|"&amp;IF(F274="","00",F274)&amp;"|"&amp;IF(G274="","01",G274))</x:f>
      </x:c>
      <x:c r="I274" s="21"/>
      <x:c r="J274" s="29" t="str">
        <x:f>IF(K274="","",IFERROR(INDEX('04_KE_HOACH_CD'!$I$6:$I$305,MATCH(K274,'04_KE_HOACH_CD'!$G$6:$G$305,0)),""))</x:f>
      </x:c>
      <x:c r="K274" s="29" t="str">
        <x:f>IF(OR(H274="",I274=""),"",H274&amp;"|"&amp;TEXT(I274,"000"))</x:f>
      </x:c>
      <x:c r="L274" s="21"/>
      <x:c r="M274" s="21"/>
      <x:c r="N274" s="21"/>
      <x:c r="O274" s="43"/>
      <x:c r="P274" s="43"/>
      <x:c r="Q274" s="25"/>
      <x:c r="R274" s="25"/>
      <x:c r="S274" s="39" t="str">
        <x:f>IF(A274="","",SUMIF('07_DUNG_CHO'!$B$6:$B$505,A274,'07_DUNG_CHO'!$E$6:$E$505))</x:f>
      </x:c>
      <x:c r="T274" s="39" t="str">
        <x:f>IF(A274="","",IF(N274="SETUP",0,MAX(0,(P274-O274)*1440-Q274-S274)))</x:f>
      </x:c>
      <x:c r="U274" s="25"/>
      <x:c r="V274" s="25"/>
      <x:c r="W274" s="25"/>
      <x:c r="X274" s="25"/>
      <x:c r="Y274" s="25"/>
      <x:c r="Z274" s="25"/>
      <x:c r="AA274" s="39" t="str">
        <x:f>IF(A274="","",U274-SUM(V274,X274:Z274))</x:f>
      </x:c>
      <x:c r="AB274" s="39" t="str">
        <x:f>IF(A274="","",IF(N274="SETUP",IFERROR(INDEX('04_KE_HOACH_CD'!$K$6:$K$305,MATCH(K274,'04_KE_HOACH_CD'!$G$6:$G$305,0)),0),IF(OR(N274="PRODUCTION",N274="REWORK"),IFERROR(INDEX('04_KE_HOACH_CD'!$L$6:$L$305,MATCH(K274,'04_KE_HOACH_CD'!$G$6:$G$305,0))*V274,0),0)))</x:f>
      </x:c>
      <x:c r="AC274" s="39" t="str">
        <x:f>IF(A274="","",MAX(0,(P274-O274)*1440-Q274))</x:f>
      </x:c>
      <x:c r="AD274" s="37" t="str">
        <x:f>IF(A274="","",IFERROR(AB274/AC274,0))</x:f>
      </x:c>
      <x:c r="AE274" s="33" t="str">
        <x:f>IF(A274="","",AC274/60*SUMIF(DM_NHAN_SU!$A$6:$A$105,L274,DM_NHAN_SU!$E$6:$E$105))</x:f>
      </x:c>
      <x:c r="AF274" s="33" t="str">
        <x:f>IF(A274="","",AC274/60*SUMIF(DM_MAY!$A$6:$A$105,M274,DM_MAY!$F$6:$F$105))</x:f>
      </x:c>
      <x:c r="AG274" s="33" t="str">
        <x:f>IF(A274="","",AE274+AF274)</x:f>
      </x:c>
      <x:c r="AH274" s="21"/>
      <x:c r="AI274" s="29" t="str">
        <x:f>IF(A274="","",IF(OR(B274="",D274="",E274="",I274="",L274="",N274="",O274="",P274=""),"Thiếu dữ liệu",IF(AND(OR(N274="PRODUCTION",N274="REWORK",N274="SETUP"),M274=""),"Thiếu máy",IF(P274&lt;O274,"Sai thời gian",IF(AA274&lt;&gt;0,"Sai cân đối SL","Hợp lệ")))))</x:f>
      </x:c>
      <x:c r="AJ274" s="21"/>
    </x:row>
    <x:row r="275">
      <x:c r="A275" s="21"/>
      <x:c r="B275" s="35"/>
      <x:c r="C275" s="21"/>
      <x:c r="D275" s="21"/>
      <x:c r="E275" s="21"/>
      <x:c r="F275" s="21"/>
      <x:c r="G275" s="21"/>
      <x:c r="H275" s="29" t="str">
        <x:f>IF(OR(D275="",E275=""),"",D275&amp;"|"&amp;E275&amp;"|"&amp;IF(F275="","00",F275)&amp;"|"&amp;IF(G275="","01",G275))</x:f>
      </x:c>
      <x:c r="I275" s="21"/>
      <x:c r="J275" s="29" t="str">
        <x:f>IF(K275="","",IFERROR(INDEX('04_KE_HOACH_CD'!$I$6:$I$305,MATCH(K275,'04_KE_HOACH_CD'!$G$6:$G$305,0)),""))</x:f>
      </x:c>
      <x:c r="K275" s="29" t="str">
        <x:f>IF(OR(H275="",I275=""),"",H275&amp;"|"&amp;TEXT(I275,"000"))</x:f>
      </x:c>
      <x:c r="L275" s="21"/>
      <x:c r="M275" s="21"/>
      <x:c r="N275" s="21"/>
      <x:c r="O275" s="43"/>
      <x:c r="P275" s="43"/>
      <x:c r="Q275" s="25"/>
      <x:c r="R275" s="25"/>
      <x:c r="S275" s="39" t="str">
        <x:f>IF(A275="","",SUMIF('07_DUNG_CHO'!$B$6:$B$505,A275,'07_DUNG_CHO'!$E$6:$E$505))</x:f>
      </x:c>
      <x:c r="T275" s="39" t="str">
        <x:f>IF(A275="","",IF(N275="SETUP",0,MAX(0,(P275-O275)*1440-Q275-S275)))</x:f>
      </x:c>
      <x:c r="U275" s="25"/>
      <x:c r="V275" s="25"/>
      <x:c r="W275" s="25"/>
      <x:c r="X275" s="25"/>
      <x:c r="Y275" s="25"/>
      <x:c r="Z275" s="25"/>
      <x:c r="AA275" s="39" t="str">
        <x:f>IF(A275="","",U275-SUM(V275,X275:Z275))</x:f>
      </x:c>
      <x:c r="AB275" s="39" t="str">
        <x:f>IF(A275="","",IF(N275="SETUP",IFERROR(INDEX('04_KE_HOACH_CD'!$K$6:$K$305,MATCH(K275,'04_KE_HOACH_CD'!$G$6:$G$305,0)),0),IF(OR(N275="PRODUCTION",N275="REWORK"),IFERROR(INDEX('04_KE_HOACH_CD'!$L$6:$L$305,MATCH(K275,'04_KE_HOACH_CD'!$G$6:$G$305,0))*V275,0),0)))</x:f>
      </x:c>
      <x:c r="AC275" s="39" t="str">
        <x:f>IF(A275="","",MAX(0,(P275-O275)*1440-Q275))</x:f>
      </x:c>
      <x:c r="AD275" s="37" t="str">
        <x:f>IF(A275="","",IFERROR(AB275/AC275,0))</x:f>
      </x:c>
      <x:c r="AE275" s="33" t="str">
        <x:f>IF(A275="","",AC275/60*SUMIF(DM_NHAN_SU!$A$6:$A$105,L275,DM_NHAN_SU!$E$6:$E$105))</x:f>
      </x:c>
      <x:c r="AF275" s="33" t="str">
        <x:f>IF(A275="","",AC275/60*SUMIF(DM_MAY!$A$6:$A$105,M275,DM_MAY!$F$6:$F$105))</x:f>
      </x:c>
      <x:c r="AG275" s="33" t="str">
        <x:f>IF(A275="","",AE275+AF275)</x:f>
      </x:c>
      <x:c r="AH275" s="21"/>
      <x:c r="AI275" s="29" t="str">
        <x:f>IF(A275="","",IF(OR(B275="",D275="",E275="",I275="",L275="",N275="",O275="",P275=""),"Thiếu dữ liệu",IF(AND(OR(N275="PRODUCTION",N275="REWORK",N275="SETUP"),M275=""),"Thiếu máy",IF(P275&lt;O275,"Sai thời gian",IF(AA275&lt;&gt;0,"Sai cân đối SL","Hợp lệ")))))</x:f>
      </x:c>
      <x:c r="AJ275" s="21"/>
    </x:row>
    <x:row r="276">
      <x:c r="A276" s="21"/>
      <x:c r="B276" s="35"/>
      <x:c r="C276" s="21"/>
      <x:c r="D276" s="21"/>
      <x:c r="E276" s="21"/>
      <x:c r="F276" s="21"/>
      <x:c r="G276" s="21"/>
      <x:c r="H276" s="29" t="str">
        <x:f>IF(OR(D276="",E276=""),"",D276&amp;"|"&amp;E276&amp;"|"&amp;IF(F276="","00",F276)&amp;"|"&amp;IF(G276="","01",G276))</x:f>
      </x:c>
      <x:c r="I276" s="21"/>
      <x:c r="J276" s="29" t="str">
        <x:f>IF(K276="","",IFERROR(INDEX('04_KE_HOACH_CD'!$I$6:$I$305,MATCH(K276,'04_KE_HOACH_CD'!$G$6:$G$305,0)),""))</x:f>
      </x:c>
      <x:c r="K276" s="29" t="str">
        <x:f>IF(OR(H276="",I276=""),"",H276&amp;"|"&amp;TEXT(I276,"000"))</x:f>
      </x:c>
      <x:c r="L276" s="21"/>
      <x:c r="M276" s="21"/>
      <x:c r="N276" s="21"/>
      <x:c r="O276" s="43"/>
      <x:c r="P276" s="43"/>
      <x:c r="Q276" s="25"/>
      <x:c r="R276" s="25"/>
      <x:c r="S276" s="39" t="str">
        <x:f>IF(A276="","",SUMIF('07_DUNG_CHO'!$B$6:$B$505,A276,'07_DUNG_CHO'!$E$6:$E$505))</x:f>
      </x:c>
      <x:c r="T276" s="39" t="str">
        <x:f>IF(A276="","",IF(N276="SETUP",0,MAX(0,(P276-O276)*1440-Q276-S276)))</x:f>
      </x:c>
      <x:c r="U276" s="25"/>
      <x:c r="V276" s="25"/>
      <x:c r="W276" s="25"/>
      <x:c r="X276" s="25"/>
      <x:c r="Y276" s="25"/>
      <x:c r="Z276" s="25"/>
      <x:c r="AA276" s="39" t="str">
        <x:f>IF(A276="","",U276-SUM(V276,X276:Z276))</x:f>
      </x:c>
      <x:c r="AB276" s="39" t="str">
        <x:f>IF(A276="","",IF(N276="SETUP",IFERROR(INDEX('04_KE_HOACH_CD'!$K$6:$K$305,MATCH(K276,'04_KE_HOACH_CD'!$G$6:$G$305,0)),0),IF(OR(N276="PRODUCTION",N276="REWORK"),IFERROR(INDEX('04_KE_HOACH_CD'!$L$6:$L$305,MATCH(K276,'04_KE_HOACH_CD'!$G$6:$G$305,0))*V276,0),0)))</x:f>
      </x:c>
      <x:c r="AC276" s="39" t="str">
        <x:f>IF(A276="","",MAX(0,(P276-O276)*1440-Q276))</x:f>
      </x:c>
      <x:c r="AD276" s="37" t="str">
        <x:f>IF(A276="","",IFERROR(AB276/AC276,0))</x:f>
      </x:c>
      <x:c r="AE276" s="33" t="str">
        <x:f>IF(A276="","",AC276/60*SUMIF(DM_NHAN_SU!$A$6:$A$105,L276,DM_NHAN_SU!$E$6:$E$105))</x:f>
      </x:c>
      <x:c r="AF276" s="33" t="str">
        <x:f>IF(A276="","",AC276/60*SUMIF(DM_MAY!$A$6:$A$105,M276,DM_MAY!$F$6:$F$105))</x:f>
      </x:c>
      <x:c r="AG276" s="33" t="str">
        <x:f>IF(A276="","",AE276+AF276)</x:f>
      </x:c>
      <x:c r="AH276" s="21"/>
      <x:c r="AI276" s="29" t="str">
        <x:f>IF(A276="","",IF(OR(B276="",D276="",E276="",I276="",L276="",N276="",O276="",P276=""),"Thiếu dữ liệu",IF(AND(OR(N276="PRODUCTION",N276="REWORK",N276="SETUP"),M276=""),"Thiếu máy",IF(P276&lt;O276,"Sai thời gian",IF(AA276&lt;&gt;0,"Sai cân đối SL","Hợp lệ")))))</x:f>
      </x:c>
      <x:c r="AJ276" s="21"/>
    </x:row>
    <x:row r="277">
      <x:c r="A277" s="21"/>
      <x:c r="B277" s="35"/>
      <x:c r="C277" s="21"/>
      <x:c r="D277" s="21"/>
      <x:c r="E277" s="21"/>
      <x:c r="F277" s="21"/>
      <x:c r="G277" s="21"/>
      <x:c r="H277" s="29" t="str">
        <x:f>IF(OR(D277="",E277=""),"",D277&amp;"|"&amp;E277&amp;"|"&amp;IF(F277="","00",F277)&amp;"|"&amp;IF(G277="","01",G277))</x:f>
      </x:c>
      <x:c r="I277" s="21"/>
      <x:c r="J277" s="29" t="str">
        <x:f>IF(K277="","",IFERROR(INDEX('04_KE_HOACH_CD'!$I$6:$I$305,MATCH(K277,'04_KE_HOACH_CD'!$G$6:$G$305,0)),""))</x:f>
      </x:c>
      <x:c r="K277" s="29" t="str">
        <x:f>IF(OR(H277="",I277=""),"",H277&amp;"|"&amp;TEXT(I277,"000"))</x:f>
      </x:c>
      <x:c r="L277" s="21"/>
      <x:c r="M277" s="21"/>
      <x:c r="N277" s="21"/>
      <x:c r="O277" s="43"/>
      <x:c r="P277" s="43"/>
      <x:c r="Q277" s="25"/>
      <x:c r="R277" s="25"/>
      <x:c r="S277" s="39" t="str">
        <x:f>IF(A277="","",SUMIF('07_DUNG_CHO'!$B$6:$B$505,A277,'07_DUNG_CHO'!$E$6:$E$505))</x:f>
      </x:c>
      <x:c r="T277" s="39" t="str">
        <x:f>IF(A277="","",IF(N277="SETUP",0,MAX(0,(P277-O277)*1440-Q277-S277)))</x:f>
      </x:c>
      <x:c r="U277" s="25"/>
      <x:c r="V277" s="25"/>
      <x:c r="W277" s="25"/>
      <x:c r="X277" s="25"/>
      <x:c r="Y277" s="25"/>
      <x:c r="Z277" s="25"/>
      <x:c r="AA277" s="39" t="str">
        <x:f>IF(A277="","",U277-SUM(V277,X277:Z277))</x:f>
      </x:c>
      <x:c r="AB277" s="39" t="str">
        <x:f>IF(A277="","",IF(N277="SETUP",IFERROR(INDEX('04_KE_HOACH_CD'!$K$6:$K$305,MATCH(K277,'04_KE_HOACH_CD'!$G$6:$G$305,0)),0),IF(OR(N277="PRODUCTION",N277="REWORK"),IFERROR(INDEX('04_KE_HOACH_CD'!$L$6:$L$305,MATCH(K277,'04_KE_HOACH_CD'!$G$6:$G$305,0))*V277,0),0)))</x:f>
      </x:c>
      <x:c r="AC277" s="39" t="str">
        <x:f>IF(A277="","",MAX(0,(P277-O277)*1440-Q277))</x:f>
      </x:c>
      <x:c r="AD277" s="37" t="str">
        <x:f>IF(A277="","",IFERROR(AB277/AC277,0))</x:f>
      </x:c>
      <x:c r="AE277" s="33" t="str">
        <x:f>IF(A277="","",AC277/60*SUMIF(DM_NHAN_SU!$A$6:$A$105,L277,DM_NHAN_SU!$E$6:$E$105))</x:f>
      </x:c>
      <x:c r="AF277" s="33" t="str">
        <x:f>IF(A277="","",AC277/60*SUMIF(DM_MAY!$A$6:$A$105,M277,DM_MAY!$F$6:$F$105))</x:f>
      </x:c>
      <x:c r="AG277" s="33" t="str">
        <x:f>IF(A277="","",AE277+AF277)</x:f>
      </x:c>
      <x:c r="AH277" s="21"/>
      <x:c r="AI277" s="29" t="str">
        <x:f>IF(A277="","",IF(OR(B277="",D277="",E277="",I277="",L277="",N277="",O277="",P277=""),"Thiếu dữ liệu",IF(AND(OR(N277="PRODUCTION",N277="REWORK",N277="SETUP"),M277=""),"Thiếu máy",IF(P277&lt;O277,"Sai thời gian",IF(AA277&lt;&gt;0,"Sai cân đối SL","Hợp lệ")))))</x:f>
      </x:c>
      <x:c r="AJ277" s="21"/>
    </x:row>
    <x:row r="278">
      <x:c r="A278" s="21"/>
      <x:c r="B278" s="35"/>
      <x:c r="C278" s="21"/>
      <x:c r="D278" s="21"/>
      <x:c r="E278" s="21"/>
      <x:c r="F278" s="21"/>
      <x:c r="G278" s="21"/>
      <x:c r="H278" s="29" t="str">
        <x:f>IF(OR(D278="",E278=""),"",D278&amp;"|"&amp;E278&amp;"|"&amp;IF(F278="","00",F278)&amp;"|"&amp;IF(G278="","01",G278))</x:f>
      </x:c>
      <x:c r="I278" s="21"/>
      <x:c r="J278" s="29" t="str">
        <x:f>IF(K278="","",IFERROR(INDEX('04_KE_HOACH_CD'!$I$6:$I$305,MATCH(K278,'04_KE_HOACH_CD'!$G$6:$G$305,0)),""))</x:f>
      </x:c>
      <x:c r="K278" s="29" t="str">
        <x:f>IF(OR(H278="",I278=""),"",H278&amp;"|"&amp;TEXT(I278,"000"))</x:f>
      </x:c>
      <x:c r="L278" s="21"/>
      <x:c r="M278" s="21"/>
      <x:c r="N278" s="21"/>
      <x:c r="O278" s="43"/>
      <x:c r="P278" s="43"/>
      <x:c r="Q278" s="25"/>
      <x:c r="R278" s="25"/>
      <x:c r="S278" s="39" t="str">
        <x:f>IF(A278="","",SUMIF('07_DUNG_CHO'!$B$6:$B$505,A278,'07_DUNG_CHO'!$E$6:$E$505))</x:f>
      </x:c>
      <x:c r="T278" s="39" t="str">
        <x:f>IF(A278="","",IF(N278="SETUP",0,MAX(0,(P278-O278)*1440-Q278-S278)))</x:f>
      </x:c>
      <x:c r="U278" s="25"/>
      <x:c r="V278" s="25"/>
      <x:c r="W278" s="25"/>
      <x:c r="X278" s="25"/>
      <x:c r="Y278" s="25"/>
      <x:c r="Z278" s="25"/>
      <x:c r="AA278" s="39" t="str">
        <x:f>IF(A278="","",U278-SUM(V278,X278:Z278))</x:f>
      </x:c>
      <x:c r="AB278" s="39" t="str">
        <x:f>IF(A278="","",IF(N278="SETUP",IFERROR(INDEX('04_KE_HOACH_CD'!$K$6:$K$305,MATCH(K278,'04_KE_HOACH_CD'!$G$6:$G$305,0)),0),IF(OR(N278="PRODUCTION",N278="REWORK"),IFERROR(INDEX('04_KE_HOACH_CD'!$L$6:$L$305,MATCH(K278,'04_KE_HOACH_CD'!$G$6:$G$305,0))*V278,0),0)))</x:f>
      </x:c>
      <x:c r="AC278" s="39" t="str">
        <x:f>IF(A278="","",MAX(0,(P278-O278)*1440-Q278))</x:f>
      </x:c>
      <x:c r="AD278" s="37" t="str">
        <x:f>IF(A278="","",IFERROR(AB278/AC278,0))</x:f>
      </x:c>
      <x:c r="AE278" s="33" t="str">
        <x:f>IF(A278="","",AC278/60*SUMIF(DM_NHAN_SU!$A$6:$A$105,L278,DM_NHAN_SU!$E$6:$E$105))</x:f>
      </x:c>
      <x:c r="AF278" s="33" t="str">
        <x:f>IF(A278="","",AC278/60*SUMIF(DM_MAY!$A$6:$A$105,M278,DM_MAY!$F$6:$F$105))</x:f>
      </x:c>
      <x:c r="AG278" s="33" t="str">
        <x:f>IF(A278="","",AE278+AF278)</x:f>
      </x:c>
      <x:c r="AH278" s="21"/>
      <x:c r="AI278" s="29" t="str">
        <x:f>IF(A278="","",IF(OR(B278="",D278="",E278="",I278="",L278="",N278="",O278="",P278=""),"Thiếu dữ liệu",IF(AND(OR(N278="PRODUCTION",N278="REWORK",N278="SETUP"),M278=""),"Thiếu máy",IF(P278&lt;O278,"Sai thời gian",IF(AA278&lt;&gt;0,"Sai cân đối SL","Hợp lệ")))))</x:f>
      </x:c>
      <x:c r="AJ278" s="21"/>
    </x:row>
    <x:row r="279">
      <x:c r="A279" s="21"/>
      <x:c r="B279" s="35"/>
      <x:c r="C279" s="21"/>
      <x:c r="D279" s="21"/>
      <x:c r="E279" s="21"/>
      <x:c r="F279" s="21"/>
      <x:c r="G279" s="21"/>
      <x:c r="H279" s="29" t="str">
        <x:f>IF(OR(D279="",E279=""),"",D279&amp;"|"&amp;E279&amp;"|"&amp;IF(F279="","00",F279)&amp;"|"&amp;IF(G279="","01",G279))</x:f>
      </x:c>
      <x:c r="I279" s="21"/>
      <x:c r="J279" s="29" t="str">
        <x:f>IF(K279="","",IFERROR(INDEX('04_KE_HOACH_CD'!$I$6:$I$305,MATCH(K279,'04_KE_HOACH_CD'!$G$6:$G$305,0)),""))</x:f>
      </x:c>
      <x:c r="K279" s="29" t="str">
        <x:f>IF(OR(H279="",I279=""),"",H279&amp;"|"&amp;TEXT(I279,"000"))</x:f>
      </x:c>
      <x:c r="L279" s="21"/>
      <x:c r="M279" s="21"/>
      <x:c r="N279" s="21"/>
      <x:c r="O279" s="43"/>
      <x:c r="P279" s="43"/>
      <x:c r="Q279" s="25"/>
      <x:c r="R279" s="25"/>
      <x:c r="S279" s="39" t="str">
        <x:f>IF(A279="","",SUMIF('07_DUNG_CHO'!$B$6:$B$505,A279,'07_DUNG_CHO'!$E$6:$E$505))</x:f>
      </x:c>
      <x:c r="T279" s="39" t="str">
        <x:f>IF(A279="","",IF(N279="SETUP",0,MAX(0,(P279-O279)*1440-Q279-S279)))</x:f>
      </x:c>
      <x:c r="U279" s="25"/>
      <x:c r="V279" s="25"/>
      <x:c r="W279" s="25"/>
      <x:c r="X279" s="25"/>
      <x:c r="Y279" s="25"/>
      <x:c r="Z279" s="25"/>
      <x:c r="AA279" s="39" t="str">
        <x:f>IF(A279="","",U279-SUM(V279,X279:Z279))</x:f>
      </x:c>
      <x:c r="AB279" s="39" t="str">
        <x:f>IF(A279="","",IF(N279="SETUP",IFERROR(INDEX('04_KE_HOACH_CD'!$K$6:$K$305,MATCH(K279,'04_KE_HOACH_CD'!$G$6:$G$305,0)),0),IF(OR(N279="PRODUCTION",N279="REWORK"),IFERROR(INDEX('04_KE_HOACH_CD'!$L$6:$L$305,MATCH(K279,'04_KE_HOACH_CD'!$G$6:$G$305,0))*V279,0),0)))</x:f>
      </x:c>
      <x:c r="AC279" s="39" t="str">
        <x:f>IF(A279="","",MAX(0,(P279-O279)*1440-Q279))</x:f>
      </x:c>
      <x:c r="AD279" s="37" t="str">
        <x:f>IF(A279="","",IFERROR(AB279/AC279,0))</x:f>
      </x:c>
      <x:c r="AE279" s="33" t="str">
        <x:f>IF(A279="","",AC279/60*SUMIF(DM_NHAN_SU!$A$6:$A$105,L279,DM_NHAN_SU!$E$6:$E$105))</x:f>
      </x:c>
      <x:c r="AF279" s="33" t="str">
        <x:f>IF(A279="","",AC279/60*SUMIF(DM_MAY!$A$6:$A$105,M279,DM_MAY!$F$6:$F$105))</x:f>
      </x:c>
      <x:c r="AG279" s="33" t="str">
        <x:f>IF(A279="","",AE279+AF279)</x:f>
      </x:c>
      <x:c r="AH279" s="21"/>
      <x:c r="AI279" s="29" t="str">
        <x:f>IF(A279="","",IF(OR(B279="",D279="",E279="",I279="",L279="",N279="",O279="",P279=""),"Thiếu dữ liệu",IF(AND(OR(N279="PRODUCTION",N279="REWORK",N279="SETUP"),M279=""),"Thiếu máy",IF(P279&lt;O279,"Sai thời gian",IF(AA279&lt;&gt;0,"Sai cân đối SL","Hợp lệ")))))</x:f>
      </x:c>
      <x:c r="AJ279" s="21"/>
    </x:row>
    <x:row r="280">
      <x:c r="A280" s="21"/>
      <x:c r="B280" s="35"/>
      <x:c r="C280" s="21"/>
      <x:c r="D280" s="21"/>
      <x:c r="E280" s="21"/>
      <x:c r="F280" s="21"/>
      <x:c r="G280" s="21"/>
      <x:c r="H280" s="29" t="str">
        <x:f>IF(OR(D280="",E280=""),"",D280&amp;"|"&amp;E280&amp;"|"&amp;IF(F280="","00",F280)&amp;"|"&amp;IF(G280="","01",G280))</x:f>
      </x:c>
      <x:c r="I280" s="21"/>
      <x:c r="J280" s="29" t="str">
        <x:f>IF(K280="","",IFERROR(INDEX('04_KE_HOACH_CD'!$I$6:$I$305,MATCH(K280,'04_KE_HOACH_CD'!$G$6:$G$305,0)),""))</x:f>
      </x:c>
      <x:c r="K280" s="29" t="str">
        <x:f>IF(OR(H280="",I280=""),"",H280&amp;"|"&amp;TEXT(I280,"000"))</x:f>
      </x:c>
      <x:c r="L280" s="21"/>
      <x:c r="M280" s="21"/>
      <x:c r="N280" s="21"/>
      <x:c r="O280" s="43"/>
      <x:c r="P280" s="43"/>
      <x:c r="Q280" s="25"/>
      <x:c r="R280" s="25"/>
      <x:c r="S280" s="39" t="str">
        <x:f>IF(A280="","",SUMIF('07_DUNG_CHO'!$B$6:$B$505,A280,'07_DUNG_CHO'!$E$6:$E$505))</x:f>
      </x:c>
      <x:c r="T280" s="39" t="str">
        <x:f>IF(A280="","",IF(N280="SETUP",0,MAX(0,(P280-O280)*1440-Q280-S280)))</x:f>
      </x:c>
      <x:c r="U280" s="25"/>
      <x:c r="V280" s="25"/>
      <x:c r="W280" s="25"/>
      <x:c r="X280" s="25"/>
      <x:c r="Y280" s="25"/>
      <x:c r="Z280" s="25"/>
      <x:c r="AA280" s="39" t="str">
        <x:f>IF(A280="","",U280-SUM(V280,X280:Z280))</x:f>
      </x:c>
      <x:c r="AB280" s="39" t="str">
        <x:f>IF(A280="","",IF(N280="SETUP",IFERROR(INDEX('04_KE_HOACH_CD'!$K$6:$K$305,MATCH(K280,'04_KE_HOACH_CD'!$G$6:$G$305,0)),0),IF(OR(N280="PRODUCTION",N280="REWORK"),IFERROR(INDEX('04_KE_HOACH_CD'!$L$6:$L$305,MATCH(K280,'04_KE_HOACH_CD'!$G$6:$G$305,0))*V280,0),0)))</x:f>
      </x:c>
      <x:c r="AC280" s="39" t="str">
        <x:f>IF(A280="","",MAX(0,(P280-O280)*1440-Q280))</x:f>
      </x:c>
      <x:c r="AD280" s="37" t="str">
        <x:f>IF(A280="","",IFERROR(AB280/AC280,0))</x:f>
      </x:c>
      <x:c r="AE280" s="33" t="str">
        <x:f>IF(A280="","",AC280/60*SUMIF(DM_NHAN_SU!$A$6:$A$105,L280,DM_NHAN_SU!$E$6:$E$105))</x:f>
      </x:c>
      <x:c r="AF280" s="33" t="str">
        <x:f>IF(A280="","",AC280/60*SUMIF(DM_MAY!$A$6:$A$105,M280,DM_MAY!$F$6:$F$105))</x:f>
      </x:c>
      <x:c r="AG280" s="33" t="str">
        <x:f>IF(A280="","",AE280+AF280)</x:f>
      </x:c>
      <x:c r="AH280" s="21"/>
      <x:c r="AI280" s="29" t="str">
        <x:f>IF(A280="","",IF(OR(B280="",D280="",E280="",I280="",L280="",N280="",O280="",P280=""),"Thiếu dữ liệu",IF(AND(OR(N280="PRODUCTION",N280="REWORK",N280="SETUP"),M280=""),"Thiếu máy",IF(P280&lt;O280,"Sai thời gian",IF(AA280&lt;&gt;0,"Sai cân đối SL","Hợp lệ")))))</x:f>
      </x:c>
      <x:c r="AJ280" s="21"/>
    </x:row>
    <x:row r="281">
      <x:c r="A281" s="21"/>
      <x:c r="B281" s="35"/>
      <x:c r="C281" s="21"/>
      <x:c r="D281" s="21"/>
      <x:c r="E281" s="21"/>
      <x:c r="F281" s="21"/>
      <x:c r="G281" s="21"/>
      <x:c r="H281" s="29" t="str">
        <x:f>IF(OR(D281="",E281=""),"",D281&amp;"|"&amp;E281&amp;"|"&amp;IF(F281="","00",F281)&amp;"|"&amp;IF(G281="","01",G281))</x:f>
      </x:c>
      <x:c r="I281" s="21"/>
      <x:c r="J281" s="29" t="str">
        <x:f>IF(K281="","",IFERROR(INDEX('04_KE_HOACH_CD'!$I$6:$I$305,MATCH(K281,'04_KE_HOACH_CD'!$G$6:$G$305,0)),""))</x:f>
      </x:c>
      <x:c r="K281" s="29" t="str">
        <x:f>IF(OR(H281="",I281=""),"",H281&amp;"|"&amp;TEXT(I281,"000"))</x:f>
      </x:c>
      <x:c r="L281" s="21"/>
      <x:c r="M281" s="21"/>
      <x:c r="N281" s="21"/>
      <x:c r="O281" s="43"/>
      <x:c r="P281" s="43"/>
      <x:c r="Q281" s="25"/>
      <x:c r="R281" s="25"/>
      <x:c r="S281" s="39" t="str">
        <x:f>IF(A281="","",SUMIF('07_DUNG_CHO'!$B$6:$B$505,A281,'07_DUNG_CHO'!$E$6:$E$505))</x:f>
      </x:c>
      <x:c r="T281" s="39" t="str">
        <x:f>IF(A281="","",IF(N281="SETUP",0,MAX(0,(P281-O281)*1440-Q281-S281)))</x:f>
      </x:c>
      <x:c r="U281" s="25"/>
      <x:c r="V281" s="25"/>
      <x:c r="W281" s="25"/>
      <x:c r="X281" s="25"/>
      <x:c r="Y281" s="25"/>
      <x:c r="Z281" s="25"/>
      <x:c r="AA281" s="39" t="str">
        <x:f>IF(A281="","",U281-SUM(V281,X281:Z281))</x:f>
      </x:c>
      <x:c r="AB281" s="39" t="str">
        <x:f>IF(A281="","",IF(N281="SETUP",IFERROR(INDEX('04_KE_HOACH_CD'!$K$6:$K$305,MATCH(K281,'04_KE_HOACH_CD'!$G$6:$G$305,0)),0),IF(OR(N281="PRODUCTION",N281="REWORK"),IFERROR(INDEX('04_KE_HOACH_CD'!$L$6:$L$305,MATCH(K281,'04_KE_HOACH_CD'!$G$6:$G$305,0))*V281,0),0)))</x:f>
      </x:c>
      <x:c r="AC281" s="39" t="str">
        <x:f>IF(A281="","",MAX(0,(P281-O281)*1440-Q281))</x:f>
      </x:c>
      <x:c r="AD281" s="37" t="str">
        <x:f>IF(A281="","",IFERROR(AB281/AC281,0))</x:f>
      </x:c>
      <x:c r="AE281" s="33" t="str">
        <x:f>IF(A281="","",AC281/60*SUMIF(DM_NHAN_SU!$A$6:$A$105,L281,DM_NHAN_SU!$E$6:$E$105))</x:f>
      </x:c>
      <x:c r="AF281" s="33" t="str">
        <x:f>IF(A281="","",AC281/60*SUMIF(DM_MAY!$A$6:$A$105,M281,DM_MAY!$F$6:$F$105))</x:f>
      </x:c>
      <x:c r="AG281" s="33" t="str">
        <x:f>IF(A281="","",AE281+AF281)</x:f>
      </x:c>
      <x:c r="AH281" s="21"/>
      <x:c r="AI281" s="29" t="str">
        <x:f>IF(A281="","",IF(OR(B281="",D281="",E281="",I281="",L281="",N281="",O281="",P281=""),"Thiếu dữ liệu",IF(AND(OR(N281="PRODUCTION",N281="REWORK",N281="SETUP"),M281=""),"Thiếu máy",IF(P281&lt;O281,"Sai thời gian",IF(AA281&lt;&gt;0,"Sai cân đối SL","Hợp lệ")))))</x:f>
      </x:c>
      <x:c r="AJ281" s="21"/>
    </x:row>
    <x:row r="282">
      <x:c r="A282" s="21"/>
      <x:c r="B282" s="35"/>
      <x:c r="C282" s="21"/>
      <x:c r="D282" s="21"/>
      <x:c r="E282" s="21"/>
      <x:c r="F282" s="21"/>
      <x:c r="G282" s="21"/>
      <x:c r="H282" s="29" t="str">
        <x:f>IF(OR(D282="",E282=""),"",D282&amp;"|"&amp;E282&amp;"|"&amp;IF(F282="","00",F282)&amp;"|"&amp;IF(G282="","01",G282))</x:f>
      </x:c>
      <x:c r="I282" s="21"/>
      <x:c r="J282" s="29" t="str">
        <x:f>IF(K282="","",IFERROR(INDEX('04_KE_HOACH_CD'!$I$6:$I$305,MATCH(K282,'04_KE_HOACH_CD'!$G$6:$G$305,0)),""))</x:f>
      </x:c>
      <x:c r="K282" s="29" t="str">
        <x:f>IF(OR(H282="",I282=""),"",H282&amp;"|"&amp;TEXT(I282,"000"))</x:f>
      </x:c>
      <x:c r="L282" s="21"/>
      <x:c r="M282" s="21"/>
      <x:c r="N282" s="21"/>
      <x:c r="O282" s="43"/>
      <x:c r="P282" s="43"/>
      <x:c r="Q282" s="25"/>
      <x:c r="R282" s="25"/>
      <x:c r="S282" s="39" t="str">
        <x:f>IF(A282="","",SUMIF('07_DUNG_CHO'!$B$6:$B$505,A282,'07_DUNG_CHO'!$E$6:$E$505))</x:f>
      </x:c>
      <x:c r="T282" s="39" t="str">
        <x:f>IF(A282="","",IF(N282="SETUP",0,MAX(0,(P282-O282)*1440-Q282-S282)))</x:f>
      </x:c>
      <x:c r="U282" s="25"/>
      <x:c r="V282" s="25"/>
      <x:c r="W282" s="25"/>
      <x:c r="X282" s="25"/>
      <x:c r="Y282" s="25"/>
      <x:c r="Z282" s="25"/>
      <x:c r="AA282" s="39" t="str">
        <x:f>IF(A282="","",U282-SUM(V282,X282:Z282))</x:f>
      </x:c>
      <x:c r="AB282" s="39" t="str">
        <x:f>IF(A282="","",IF(N282="SETUP",IFERROR(INDEX('04_KE_HOACH_CD'!$K$6:$K$305,MATCH(K282,'04_KE_HOACH_CD'!$G$6:$G$305,0)),0),IF(OR(N282="PRODUCTION",N282="REWORK"),IFERROR(INDEX('04_KE_HOACH_CD'!$L$6:$L$305,MATCH(K282,'04_KE_HOACH_CD'!$G$6:$G$305,0))*V282,0),0)))</x:f>
      </x:c>
      <x:c r="AC282" s="39" t="str">
        <x:f>IF(A282="","",MAX(0,(P282-O282)*1440-Q282))</x:f>
      </x:c>
      <x:c r="AD282" s="37" t="str">
        <x:f>IF(A282="","",IFERROR(AB282/AC282,0))</x:f>
      </x:c>
      <x:c r="AE282" s="33" t="str">
        <x:f>IF(A282="","",AC282/60*SUMIF(DM_NHAN_SU!$A$6:$A$105,L282,DM_NHAN_SU!$E$6:$E$105))</x:f>
      </x:c>
      <x:c r="AF282" s="33" t="str">
        <x:f>IF(A282="","",AC282/60*SUMIF(DM_MAY!$A$6:$A$105,M282,DM_MAY!$F$6:$F$105))</x:f>
      </x:c>
      <x:c r="AG282" s="33" t="str">
        <x:f>IF(A282="","",AE282+AF282)</x:f>
      </x:c>
      <x:c r="AH282" s="21"/>
      <x:c r="AI282" s="29" t="str">
        <x:f>IF(A282="","",IF(OR(B282="",D282="",E282="",I282="",L282="",N282="",O282="",P282=""),"Thiếu dữ liệu",IF(AND(OR(N282="PRODUCTION",N282="REWORK",N282="SETUP"),M282=""),"Thiếu máy",IF(P282&lt;O282,"Sai thời gian",IF(AA282&lt;&gt;0,"Sai cân đối SL","Hợp lệ")))))</x:f>
      </x:c>
      <x:c r="AJ282" s="21"/>
    </x:row>
    <x:row r="283">
      <x:c r="A283" s="21"/>
      <x:c r="B283" s="35"/>
      <x:c r="C283" s="21"/>
      <x:c r="D283" s="21"/>
      <x:c r="E283" s="21"/>
      <x:c r="F283" s="21"/>
      <x:c r="G283" s="21"/>
      <x:c r="H283" s="29" t="str">
        <x:f>IF(OR(D283="",E283=""),"",D283&amp;"|"&amp;E283&amp;"|"&amp;IF(F283="","00",F283)&amp;"|"&amp;IF(G283="","01",G283))</x:f>
      </x:c>
      <x:c r="I283" s="21"/>
      <x:c r="J283" s="29" t="str">
        <x:f>IF(K283="","",IFERROR(INDEX('04_KE_HOACH_CD'!$I$6:$I$305,MATCH(K283,'04_KE_HOACH_CD'!$G$6:$G$305,0)),""))</x:f>
      </x:c>
      <x:c r="K283" s="29" t="str">
        <x:f>IF(OR(H283="",I283=""),"",H283&amp;"|"&amp;TEXT(I283,"000"))</x:f>
      </x:c>
      <x:c r="L283" s="21"/>
      <x:c r="M283" s="21"/>
      <x:c r="N283" s="21"/>
      <x:c r="O283" s="43"/>
      <x:c r="P283" s="43"/>
      <x:c r="Q283" s="25"/>
      <x:c r="R283" s="25"/>
      <x:c r="S283" s="39" t="str">
        <x:f>IF(A283="","",SUMIF('07_DUNG_CHO'!$B$6:$B$505,A283,'07_DUNG_CHO'!$E$6:$E$505))</x:f>
      </x:c>
      <x:c r="T283" s="39" t="str">
        <x:f>IF(A283="","",IF(N283="SETUP",0,MAX(0,(P283-O283)*1440-Q283-S283)))</x:f>
      </x:c>
      <x:c r="U283" s="25"/>
      <x:c r="V283" s="25"/>
      <x:c r="W283" s="25"/>
      <x:c r="X283" s="25"/>
      <x:c r="Y283" s="25"/>
      <x:c r="Z283" s="25"/>
      <x:c r="AA283" s="39" t="str">
        <x:f>IF(A283="","",U283-SUM(V283,X283:Z283))</x:f>
      </x:c>
      <x:c r="AB283" s="39" t="str">
        <x:f>IF(A283="","",IF(N283="SETUP",IFERROR(INDEX('04_KE_HOACH_CD'!$K$6:$K$305,MATCH(K283,'04_KE_HOACH_CD'!$G$6:$G$305,0)),0),IF(OR(N283="PRODUCTION",N283="REWORK"),IFERROR(INDEX('04_KE_HOACH_CD'!$L$6:$L$305,MATCH(K283,'04_KE_HOACH_CD'!$G$6:$G$305,0))*V283,0),0)))</x:f>
      </x:c>
      <x:c r="AC283" s="39" t="str">
        <x:f>IF(A283="","",MAX(0,(P283-O283)*1440-Q283))</x:f>
      </x:c>
      <x:c r="AD283" s="37" t="str">
        <x:f>IF(A283="","",IFERROR(AB283/AC283,0))</x:f>
      </x:c>
      <x:c r="AE283" s="33" t="str">
        <x:f>IF(A283="","",AC283/60*SUMIF(DM_NHAN_SU!$A$6:$A$105,L283,DM_NHAN_SU!$E$6:$E$105))</x:f>
      </x:c>
      <x:c r="AF283" s="33" t="str">
        <x:f>IF(A283="","",AC283/60*SUMIF(DM_MAY!$A$6:$A$105,M283,DM_MAY!$F$6:$F$105))</x:f>
      </x:c>
      <x:c r="AG283" s="33" t="str">
        <x:f>IF(A283="","",AE283+AF283)</x:f>
      </x:c>
      <x:c r="AH283" s="21"/>
      <x:c r="AI283" s="29" t="str">
        <x:f>IF(A283="","",IF(OR(B283="",D283="",E283="",I283="",L283="",N283="",O283="",P283=""),"Thiếu dữ liệu",IF(AND(OR(N283="PRODUCTION",N283="REWORK",N283="SETUP"),M283=""),"Thiếu máy",IF(P283&lt;O283,"Sai thời gian",IF(AA283&lt;&gt;0,"Sai cân đối SL","Hợp lệ")))))</x:f>
      </x:c>
      <x:c r="AJ283" s="21"/>
    </x:row>
    <x:row r="284">
      <x:c r="A284" s="21"/>
      <x:c r="B284" s="35"/>
      <x:c r="C284" s="21"/>
      <x:c r="D284" s="21"/>
      <x:c r="E284" s="21"/>
      <x:c r="F284" s="21"/>
      <x:c r="G284" s="21"/>
      <x:c r="H284" s="29" t="str">
        <x:f>IF(OR(D284="",E284=""),"",D284&amp;"|"&amp;E284&amp;"|"&amp;IF(F284="","00",F284)&amp;"|"&amp;IF(G284="","01",G284))</x:f>
      </x:c>
      <x:c r="I284" s="21"/>
      <x:c r="J284" s="29" t="str">
        <x:f>IF(K284="","",IFERROR(INDEX('04_KE_HOACH_CD'!$I$6:$I$305,MATCH(K284,'04_KE_HOACH_CD'!$G$6:$G$305,0)),""))</x:f>
      </x:c>
      <x:c r="K284" s="29" t="str">
        <x:f>IF(OR(H284="",I284=""),"",H284&amp;"|"&amp;TEXT(I284,"000"))</x:f>
      </x:c>
      <x:c r="L284" s="21"/>
      <x:c r="M284" s="21"/>
      <x:c r="N284" s="21"/>
      <x:c r="O284" s="43"/>
      <x:c r="P284" s="43"/>
      <x:c r="Q284" s="25"/>
      <x:c r="R284" s="25"/>
      <x:c r="S284" s="39" t="str">
        <x:f>IF(A284="","",SUMIF('07_DUNG_CHO'!$B$6:$B$505,A284,'07_DUNG_CHO'!$E$6:$E$505))</x:f>
      </x:c>
      <x:c r="T284" s="39" t="str">
        <x:f>IF(A284="","",IF(N284="SETUP",0,MAX(0,(P284-O284)*1440-Q284-S284)))</x:f>
      </x:c>
      <x:c r="U284" s="25"/>
      <x:c r="V284" s="25"/>
      <x:c r="W284" s="25"/>
      <x:c r="X284" s="25"/>
      <x:c r="Y284" s="25"/>
      <x:c r="Z284" s="25"/>
      <x:c r="AA284" s="39" t="str">
        <x:f>IF(A284="","",U284-SUM(V284,X284:Z284))</x:f>
      </x:c>
      <x:c r="AB284" s="39" t="str">
        <x:f>IF(A284="","",IF(N284="SETUP",IFERROR(INDEX('04_KE_HOACH_CD'!$K$6:$K$305,MATCH(K284,'04_KE_HOACH_CD'!$G$6:$G$305,0)),0),IF(OR(N284="PRODUCTION",N284="REWORK"),IFERROR(INDEX('04_KE_HOACH_CD'!$L$6:$L$305,MATCH(K284,'04_KE_HOACH_CD'!$G$6:$G$305,0))*V284,0),0)))</x:f>
      </x:c>
      <x:c r="AC284" s="39" t="str">
        <x:f>IF(A284="","",MAX(0,(P284-O284)*1440-Q284))</x:f>
      </x:c>
      <x:c r="AD284" s="37" t="str">
        <x:f>IF(A284="","",IFERROR(AB284/AC284,0))</x:f>
      </x:c>
      <x:c r="AE284" s="33" t="str">
        <x:f>IF(A284="","",AC284/60*SUMIF(DM_NHAN_SU!$A$6:$A$105,L284,DM_NHAN_SU!$E$6:$E$105))</x:f>
      </x:c>
      <x:c r="AF284" s="33" t="str">
        <x:f>IF(A284="","",AC284/60*SUMIF(DM_MAY!$A$6:$A$105,M284,DM_MAY!$F$6:$F$105))</x:f>
      </x:c>
      <x:c r="AG284" s="33" t="str">
        <x:f>IF(A284="","",AE284+AF284)</x:f>
      </x:c>
      <x:c r="AH284" s="21"/>
      <x:c r="AI284" s="29" t="str">
        <x:f>IF(A284="","",IF(OR(B284="",D284="",E284="",I284="",L284="",N284="",O284="",P284=""),"Thiếu dữ liệu",IF(AND(OR(N284="PRODUCTION",N284="REWORK",N284="SETUP"),M284=""),"Thiếu máy",IF(P284&lt;O284,"Sai thời gian",IF(AA284&lt;&gt;0,"Sai cân đối SL","Hợp lệ")))))</x:f>
      </x:c>
      <x:c r="AJ284" s="21"/>
    </x:row>
    <x:row r="285">
      <x:c r="A285" s="21"/>
      <x:c r="B285" s="35"/>
      <x:c r="C285" s="21"/>
      <x:c r="D285" s="21"/>
      <x:c r="E285" s="21"/>
      <x:c r="F285" s="21"/>
      <x:c r="G285" s="21"/>
      <x:c r="H285" s="29" t="str">
        <x:f>IF(OR(D285="",E285=""),"",D285&amp;"|"&amp;E285&amp;"|"&amp;IF(F285="","00",F285)&amp;"|"&amp;IF(G285="","01",G285))</x:f>
      </x:c>
      <x:c r="I285" s="21"/>
      <x:c r="J285" s="29" t="str">
        <x:f>IF(K285="","",IFERROR(INDEX('04_KE_HOACH_CD'!$I$6:$I$305,MATCH(K285,'04_KE_HOACH_CD'!$G$6:$G$305,0)),""))</x:f>
      </x:c>
      <x:c r="K285" s="29" t="str">
        <x:f>IF(OR(H285="",I285=""),"",H285&amp;"|"&amp;TEXT(I285,"000"))</x:f>
      </x:c>
      <x:c r="L285" s="21"/>
      <x:c r="M285" s="21"/>
      <x:c r="N285" s="21"/>
      <x:c r="O285" s="43"/>
      <x:c r="P285" s="43"/>
      <x:c r="Q285" s="25"/>
      <x:c r="R285" s="25"/>
      <x:c r="S285" s="39" t="str">
        <x:f>IF(A285="","",SUMIF('07_DUNG_CHO'!$B$6:$B$505,A285,'07_DUNG_CHO'!$E$6:$E$505))</x:f>
      </x:c>
      <x:c r="T285" s="39" t="str">
        <x:f>IF(A285="","",IF(N285="SETUP",0,MAX(0,(P285-O285)*1440-Q285-S285)))</x:f>
      </x:c>
      <x:c r="U285" s="25"/>
      <x:c r="V285" s="25"/>
      <x:c r="W285" s="25"/>
      <x:c r="X285" s="25"/>
      <x:c r="Y285" s="25"/>
      <x:c r="Z285" s="25"/>
      <x:c r="AA285" s="39" t="str">
        <x:f>IF(A285="","",U285-SUM(V285,X285:Z285))</x:f>
      </x:c>
      <x:c r="AB285" s="39" t="str">
        <x:f>IF(A285="","",IF(N285="SETUP",IFERROR(INDEX('04_KE_HOACH_CD'!$K$6:$K$305,MATCH(K285,'04_KE_HOACH_CD'!$G$6:$G$305,0)),0),IF(OR(N285="PRODUCTION",N285="REWORK"),IFERROR(INDEX('04_KE_HOACH_CD'!$L$6:$L$305,MATCH(K285,'04_KE_HOACH_CD'!$G$6:$G$305,0))*V285,0),0)))</x:f>
      </x:c>
      <x:c r="AC285" s="39" t="str">
        <x:f>IF(A285="","",MAX(0,(P285-O285)*1440-Q285))</x:f>
      </x:c>
      <x:c r="AD285" s="37" t="str">
        <x:f>IF(A285="","",IFERROR(AB285/AC285,0))</x:f>
      </x:c>
      <x:c r="AE285" s="33" t="str">
        <x:f>IF(A285="","",AC285/60*SUMIF(DM_NHAN_SU!$A$6:$A$105,L285,DM_NHAN_SU!$E$6:$E$105))</x:f>
      </x:c>
      <x:c r="AF285" s="33" t="str">
        <x:f>IF(A285="","",AC285/60*SUMIF(DM_MAY!$A$6:$A$105,M285,DM_MAY!$F$6:$F$105))</x:f>
      </x:c>
      <x:c r="AG285" s="33" t="str">
        <x:f>IF(A285="","",AE285+AF285)</x:f>
      </x:c>
      <x:c r="AH285" s="21"/>
      <x:c r="AI285" s="29" t="str">
        <x:f>IF(A285="","",IF(OR(B285="",D285="",E285="",I285="",L285="",N285="",O285="",P285=""),"Thiếu dữ liệu",IF(AND(OR(N285="PRODUCTION",N285="REWORK",N285="SETUP"),M285=""),"Thiếu máy",IF(P285&lt;O285,"Sai thời gian",IF(AA285&lt;&gt;0,"Sai cân đối SL","Hợp lệ")))))</x:f>
      </x:c>
      <x:c r="AJ285" s="21"/>
    </x:row>
    <x:row r="286">
      <x:c r="A286" s="21"/>
      <x:c r="B286" s="35"/>
      <x:c r="C286" s="21"/>
      <x:c r="D286" s="21"/>
      <x:c r="E286" s="21"/>
      <x:c r="F286" s="21"/>
      <x:c r="G286" s="21"/>
      <x:c r="H286" s="29" t="str">
        <x:f>IF(OR(D286="",E286=""),"",D286&amp;"|"&amp;E286&amp;"|"&amp;IF(F286="","00",F286)&amp;"|"&amp;IF(G286="","01",G286))</x:f>
      </x:c>
      <x:c r="I286" s="21"/>
      <x:c r="J286" s="29" t="str">
        <x:f>IF(K286="","",IFERROR(INDEX('04_KE_HOACH_CD'!$I$6:$I$305,MATCH(K286,'04_KE_HOACH_CD'!$G$6:$G$305,0)),""))</x:f>
      </x:c>
      <x:c r="K286" s="29" t="str">
        <x:f>IF(OR(H286="",I286=""),"",H286&amp;"|"&amp;TEXT(I286,"000"))</x:f>
      </x:c>
      <x:c r="L286" s="21"/>
      <x:c r="M286" s="21"/>
      <x:c r="N286" s="21"/>
      <x:c r="O286" s="43"/>
      <x:c r="P286" s="43"/>
      <x:c r="Q286" s="25"/>
      <x:c r="R286" s="25"/>
      <x:c r="S286" s="39" t="str">
        <x:f>IF(A286="","",SUMIF('07_DUNG_CHO'!$B$6:$B$505,A286,'07_DUNG_CHO'!$E$6:$E$505))</x:f>
      </x:c>
      <x:c r="T286" s="39" t="str">
        <x:f>IF(A286="","",IF(N286="SETUP",0,MAX(0,(P286-O286)*1440-Q286-S286)))</x:f>
      </x:c>
      <x:c r="U286" s="25"/>
      <x:c r="V286" s="25"/>
      <x:c r="W286" s="25"/>
      <x:c r="X286" s="25"/>
      <x:c r="Y286" s="25"/>
      <x:c r="Z286" s="25"/>
      <x:c r="AA286" s="39" t="str">
        <x:f>IF(A286="","",U286-SUM(V286,X286:Z286))</x:f>
      </x:c>
      <x:c r="AB286" s="39" t="str">
        <x:f>IF(A286="","",IF(N286="SETUP",IFERROR(INDEX('04_KE_HOACH_CD'!$K$6:$K$305,MATCH(K286,'04_KE_HOACH_CD'!$G$6:$G$305,0)),0),IF(OR(N286="PRODUCTION",N286="REWORK"),IFERROR(INDEX('04_KE_HOACH_CD'!$L$6:$L$305,MATCH(K286,'04_KE_HOACH_CD'!$G$6:$G$305,0))*V286,0),0)))</x:f>
      </x:c>
      <x:c r="AC286" s="39" t="str">
        <x:f>IF(A286="","",MAX(0,(P286-O286)*1440-Q286))</x:f>
      </x:c>
      <x:c r="AD286" s="37" t="str">
        <x:f>IF(A286="","",IFERROR(AB286/AC286,0))</x:f>
      </x:c>
      <x:c r="AE286" s="33" t="str">
        <x:f>IF(A286="","",AC286/60*SUMIF(DM_NHAN_SU!$A$6:$A$105,L286,DM_NHAN_SU!$E$6:$E$105))</x:f>
      </x:c>
      <x:c r="AF286" s="33" t="str">
        <x:f>IF(A286="","",AC286/60*SUMIF(DM_MAY!$A$6:$A$105,M286,DM_MAY!$F$6:$F$105))</x:f>
      </x:c>
      <x:c r="AG286" s="33" t="str">
        <x:f>IF(A286="","",AE286+AF286)</x:f>
      </x:c>
      <x:c r="AH286" s="21"/>
      <x:c r="AI286" s="29" t="str">
        <x:f>IF(A286="","",IF(OR(B286="",D286="",E286="",I286="",L286="",N286="",O286="",P286=""),"Thiếu dữ liệu",IF(AND(OR(N286="PRODUCTION",N286="REWORK",N286="SETUP"),M286=""),"Thiếu máy",IF(P286&lt;O286,"Sai thời gian",IF(AA286&lt;&gt;0,"Sai cân đối SL","Hợp lệ")))))</x:f>
      </x:c>
      <x:c r="AJ286" s="21"/>
    </x:row>
    <x:row r="287">
      <x:c r="A287" s="21"/>
      <x:c r="B287" s="35"/>
      <x:c r="C287" s="21"/>
      <x:c r="D287" s="21"/>
      <x:c r="E287" s="21"/>
      <x:c r="F287" s="21"/>
      <x:c r="G287" s="21"/>
      <x:c r="H287" s="29" t="str">
        <x:f>IF(OR(D287="",E287=""),"",D287&amp;"|"&amp;E287&amp;"|"&amp;IF(F287="","00",F287)&amp;"|"&amp;IF(G287="","01",G287))</x:f>
      </x:c>
      <x:c r="I287" s="21"/>
      <x:c r="J287" s="29" t="str">
        <x:f>IF(K287="","",IFERROR(INDEX('04_KE_HOACH_CD'!$I$6:$I$305,MATCH(K287,'04_KE_HOACH_CD'!$G$6:$G$305,0)),""))</x:f>
      </x:c>
      <x:c r="K287" s="29" t="str">
        <x:f>IF(OR(H287="",I287=""),"",H287&amp;"|"&amp;TEXT(I287,"000"))</x:f>
      </x:c>
      <x:c r="L287" s="21"/>
      <x:c r="M287" s="21"/>
      <x:c r="N287" s="21"/>
      <x:c r="O287" s="43"/>
      <x:c r="P287" s="43"/>
      <x:c r="Q287" s="25"/>
      <x:c r="R287" s="25"/>
      <x:c r="S287" s="39" t="str">
        <x:f>IF(A287="","",SUMIF('07_DUNG_CHO'!$B$6:$B$505,A287,'07_DUNG_CHO'!$E$6:$E$505))</x:f>
      </x:c>
      <x:c r="T287" s="39" t="str">
        <x:f>IF(A287="","",IF(N287="SETUP",0,MAX(0,(P287-O287)*1440-Q287-S287)))</x:f>
      </x:c>
      <x:c r="U287" s="25"/>
      <x:c r="V287" s="25"/>
      <x:c r="W287" s="25"/>
      <x:c r="X287" s="25"/>
      <x:c r="Y287" s="25"/>
      <x:c r="Z287" s="25"/>
      <x:c r="AA287" s="39" t="str">
        <x:f>IF(A287="","",U287-SUM(V287,X287:Z287))</x:f>
      </x:c>
      <x:c r="AB287" s="39" t="str">
        <x:f>IF(A287="","",IF(N287="SETUP",IFERROR(INDEX('04_KE_HOACH_CD'!$K$6:$K$305,MATCH(K287,'04_KE_HOACH_CD'!$G$6:$G$305,0)),0),IF(OR(N287="PRODUCTION",N287="REWORK"),IFERROR(INDEX('04_KE_HOACH_CD'!$L$6:$L$305,MATCH(K287,'04_KE_HOACH_CD'!$G$6:$G$305,0))*V287,0),0)))</x:f>
      </x:c>
      <x:c r="AC287" s="39" t="str">
        <x:f>IF(A287="","",MAX(0,(P287-O287)*1440-Q287))</x:f>
      </x:c>
      <x:c r="AD287" s="37" t="str">
        <x:f>IF(A287="","",IFERROR(AB287/AC287,0))</x:f>
      </x:c>
      <x:c r="AE287" s="33" t="str">
        <x:f>IF(A287="","",AC287/60*SUMIF(DM_NHAN_SU!$A$6:$A$105,L287,DM_NHAN_SU!$E$6:$E$105))</x:f>
      </x:c>
      <x:c r="AF287" s="33" t="str">
        <x:f>IF(A287="","",AC287/60*SUMIF(DM_MAY!$A$6:$A$105,M287,DM_MAY!$F$6:$F$105))</x:f>
      </x:c>
      <x:c r="AG287" s="33" t="str">
        <x:f>IF(A287="","",AE287+AF287)</x:f>
      </x:c>
      <x:c r="AH287" s="21"/>
      <x:c r="AI287" s="29" t="str">
        <x:f>IF(A287="","",IF(OR(B287="",D287="",E287="",I287="",L287="",N287="",O287="",P287=""),"Thiếu dữ liệu",IF(AND(OR(N287="PRODUCTION",N287="REWORK",N287="SETUP"),M287=""),"Thiếu máy",IF(P287&lt;O287,"Sai thời gian",IF(AA287&lt;&gt;0,"Sai cân đối SL","Hợp lệ")))))</x:f>
      </x:c>
      <x:c r="AJ287" s="21"/>
    </x:row>
    <x:row r="288">
      <x:c r="A288" s="21"/>
      <x:c r="B288" s="35"/>
      <x:c r="C288" s="21"/>
      <x:c r="D288" s="21"/>
      <x:c r="E288" s="21"/>
      <x:c r="F288" s="21"/>
      <x:c r="G288" s="21"/>
      <x:c r="H288" s="29" t="str">
        <x:f>IF(OR(D288="",E288=""),"",D288&amp;"|"&amp;E288&amp;"|"&amp;IF(F288="","00",F288)&amp;"|"&amp;IF(G288="","01",G288))</x:f>
      </x:c>
      <x:c r="I288" s="21"/>
      <x:c r="J288" s="29" t="str">
        <x:f>IF(K288="","",IFERROR(INDEX('04_KE_HOACH_CD'!$I$6:$I$305,MATCH(K288,'04_KE_HOACH_CD'!$G$6:$G$305,0)),""))</x:f>
      </x:c>
      <x:c r="K288" s="29" t="str">
        <x:f>IF(OR(H288="",I288=""),"",H288&amp;"|"&amp;TEXT(I288,"000"))</x:f>
      </x:c>
      <x:c r="L288" s="21"/>
      <x:c r="M288" s="21"/>
      <x:c r="N288" s="21"/>
      <x:c r="O288" s="43"/>
      <x:c r="P288" s="43"/>
      <x:c r="Q288" s="25"/>
      <x:c r="R288" s="25"/>
      <x:c r="S288" s="39" t="str">
        <x:f>IF(A288="","",SUMIF('07_DUNG_CHO'!$B$6:$B$505,A288,'07_DUNG_CHO'!$E$6:$E$505))</x:f>
      </x:c>
      <x:c r="T288" s="39" t="str">
        <x:f>IF(A288="","",IF(N288="SETUP",0,MAX(0,(P288-O288)*1440-Q288-S288)))</x:f>
      </x:c>
      <x:c r="U288" s="25"/>
      <x:c r="V288" s="25"/>
      <x:c r="W288" s="25"/>
      <x:c r="X288" s="25"/>
      <x:c r="Y288" s="25"/>
      <x:c r="Z288" s="25"/>
      <x:c r="AA288" s="39" t="str">
        <x:f>IF(A288="","",U288-SUM(V288,X288:Z288))</x:f>
      </x:c>
      <x:c r="AB288" s="39" t="str">
        <x:f>IF(A288="","",IF(N288="SETUP",IFERROR(INDEX('04_KE_HOACH_CD'!$K$6:$K$305,MATCH(K288,'04_KE_HOACH_CD'!$G$6:$G$305,0)),0),IF(OR(N288="PRODUCTION",N288="REWORK"),IFERROR(INDEX('04_KE_HOACH_CD'!$L$6:$L$305,MATCH(K288,'04_KE_HOACH_CD'!$G$6:$G$305,0))*V288,0),0)))</x:f>
      </x:c>
      <x:c r="AC288" s="39" t="str">
        <x:f>IF(A288="","",MAX(0,(P288-O288)*1440-Q288))</x:f>
      </x:c>
      <x:c r="AD288" s="37" t="str">
        <x:f>IF(A288="","",IFERROR(AB288/AC288,0))</x:f>
      </x:c>
      <x:c r="AE288" s="33" t="str">
        <x:f>IF(A288="","",AC288/60*SUMIF(DM_NHAN_SU!$A$6:$A$105,L288,DM_NHAN_SU!$E$6:$E$105))</x:f>
      </x:c>
      <x:c r="AF288" s="33" t="str">
        <x:f>IF(A288="","",AC288/60*SUMIF(DM_MAY!$A$6:$A$105,M288,DM_MAY!$F$6:$F$105))</x:f>
      </x:c>
      <x:c r="AG288" s="33" t="str">
        <x:f>IF(A288="","",AE288+AF288)</x:f>
      </x:c>
      <x:c r="AH288" s="21"/>
      <x:c r="AI288" s="29" t="str">
        <x:f>IF(A288="","",IF(OR(B288="",D288="",E288="",I288="",L288="",N288="",O288="",P288=""),"Thiếu dữ liệu",IF(AND(OR(N288="PRODUCTION",N288="REWORK",N288="SETUP"),M288=""),"Thiếu máy",IF(P288&lt;O288,"Sai thời gian",IF(AA288&lt;&gt;0,"Sai cân đối SL","Hợp lệ")))))</x:f>
      </x:c>
      <x:c r="AJ288" s="21"/>
    </x:row>
    <x:row r="289">
      <x:c r="A289" s="21"/>
      <x:c r="B289" s="35"/>
      <x:c r="C289" s="21"/>
      <x:c r="D289" s="21"/>
      <x:c r="E289" s="21"/>
      <x:c r="F289" s="21"/>
      <x:c r="G289" s="21"/>
      <x:c r="H289" s="29" t="str">
        <x:f>IF(OR(D289="",E289=""),"",D289&amp;"|"&amp;E289&amp;"|"&amp;IF(F289="","00",F289)&amp;"|"&amp;IF(G289="","01",G289))</x:f>
      </x:c>
      <x:c r="I289" s="21"/>
      <x:c r="J289" s="29" t="str">
        <x:f>IF(K289="","",IFERROR(INDEX('04_KE_HOACH_CD'!$I$6:$I$305,MATCH(K289,'04_KE_HOACH_CD'!$G$6:$G$305,0)),""))</x:f>
      </x:c>
      <x:c r="K289" s="29" t="str">
        <x:f>IF(OR(H289="",I289=""),"",H289&amp;"|"&amp;TEXT(I289,"000"))</x:f>
      </x:c>
      <x:c r="L289" s="21"/>
      <x:c r="M289" s="21"/>
      <x:c r="N289" s="21"/>
      <x:c r="O289" s="43"/>
      <x:c r="P289" s="43"/>
      <x:c r="Q289" s="25"/>
      <x:c r="R289" s="25"/>
      <x:c r="S289" s="39" t="str">
        <x:f>IF(A289="","",SUMIF('07_DUNG_CHO'!$B$6:$B$505,A289,'07_DUNG_CHO'!$E$6:$E$505))</x:f>
      </x:c>
      <x:c r="T289" s="39" t="str">
        <x:f>IF(A289="","",IF(N289="SETUP",0,MAX(0,(P289-O289)*1440-Q289-S289)))</x:f>
      </x:c>
      <x:c r="U289" s="25"/>
      <x:c r="V289" s="25"/>
      <x:c r="W289" s="25"/>
      <x:c r="X289" s="25"/>
      <x:c r="Y289" s="25"/>
      <x:c r="Z289" s="25"/>
      <x:c r="AA289" s="39" t="str">
        <x:f>IF(A289="","",U289-SUM(V289,X289:Z289))</x:f>
      </x:c>
      <x:c r="AB289" s="39" t="str">
        <x:f>IF(A289="","",IF(N289="SETUP",IFERROR(INDEX('04_KE_HOACH_CD'!$K$6:$K$305,MATCH(K289,'04_KE_HOACH_CD'!$G$6:$G$305,0)),0),IF(OR(N289="PRODUCTION",N289="REWORK"),IFERROR(INDEX('04_KE_HOACH_CD'!$L$6:$L$305,MATCH(K289,'04_KE_HOACH_CD'!$G$6:$G$305,0))*V289,0),0)))</x:f>
      </x:c>
      <x:c r="AC289" s="39" t="str">
        <x:f>IF(A289="","",MAX(0,(P289-O289)*1440-Q289))</x:f>
      </x:c>
      <x:c r="AD289" s="37" t="str">
        <x:f>IF(A289="","",IFERROR(AB289/AC289,0))</x:f>
      </x:c>
      <x:c r="AE289" s="33" t="str">
        <x:f>IF(A289="","",AC289/60*SUMIF(DM_NHAN_SU!$A$6:$A$105,L289,DM_NHAN_SU!$E$6:$E$105))</x:f>
      </x:c>
      <x:c r="AF289" s="33" t="str">
        <x:f>IF(A289="","",AC289/60*SUMIF(DM_MAY!$A$6:$A$105,M289,DM_MAY!$F$6:$F$105))</x:f>
      </x:c>
      <x:c r="AG289" s="33" t="str">
        <x:f>IF(A289="","",AE289+AF289)</x:f>
      </x:c>
      <x:c r="AH289" s="21"/>
      <x:c r="AI289" s="29" t="str">
        <x:f>IF(A289="","",IF(OR(B289="",D289="",E289="",I289="",L289="",N289="",O289="",P289=""),"Thiếu dữ liệu",IF(AND(OR(N289="PRODUCTION",N289="REWORK",N289="SETUP"),M289=""),"Thiếu máy",IF(P289&lt;O289,"Sai thời gian",IF(AA289&lt;&gt;0,"Sai cân đối SL","Hợp lệ")))))</x:f>
      </x:c>
      <x:c r="AJ289" s="21"/>
    </x:row>
    <x:row r="290">
      <x:c r="A290" s="21"/>
      <x:c r="B290" s="35"/>
      <x:c r="C290" s="21"/>
      <x:c r="D290" s="21"/>
      <x:c r="E290" s="21"/>
      <x:c r="F290" s="21"/>
      <x:c r="G290" s="21"/>
      <x:c r="H290" s="29" t="str">
        <x:f>IF(OR(D290="",E290=""),"",D290&amp;"|"&amp;E290&amp;"|"&amp;IF(F290="","00",F290)&amp;"|"&amp;IF(G290="","01",G290))</x:f>
      </x:c>
      <x:c r="I290" s="21"/>
      <x:c r="J290" s="29" t="str">
        <x:f>IF(K290="","",IFERROR(INDEX('04_KE_HOACH_CD'!$I$6:$I$305,MATCH(K290,'04_KE_HOACH_CD'!$G$6:$G$305,0)),""))</x:f>
      </x:c>
      <x:c r="K290" s="29" t="str">
        <x:f>IF(OR(H290="",I290=""),"",H290&amp;"|"&amp;TEXT(I290,"000"))</x:f>
      </x:c>
      <x:c r="L290" s="21"/>
      <x:c r="M290" s="21"/>
      <x:c r="N290" s="21"/>
      <x:c r="O290" s="43"/>
      <x:c r="P290" s="43"/>
      <x:c r="Q290" s="25"/>
      <x:c r="R290" s="25"/>
      <x:c r="S290" s="39" t="str">
        <x:f>IF(A290="","",SUMIF('07_DUNG_CHO'!$B$6:$B$505,A290,'07_DUNG_CHO'!$E$6:$E$505))</x:f>
      </x:c>
      <x:c r="T290" s="39" t="str">
        <x:f>IF(A290="","",IF(N290="SETUP",0,MAX(0,(P290-O290)*1440-Q290-S290)))</x:f>
      </x:c>
      <x:c r="U290" s="25"/>
      <x:c r="V290" s="25"/>
      <x:c r="W290" s="25"/>
      <x:c r="X290" s="25"/>
      <x:c r="Y290" s="25"/>
      <x:c r="Z290" s="25"/>
      <x:c r="AA290" s="39" t="str">
        <x:f>IF(A290="","",U290-SUM(V290,X290:Z290))</x:f>
      </x:c>
      <x:c r="AB290" s="39" t="str">
        <x:f>IF(A290="","",IF(N290="SETUP",IFERROR(INDEX('04_KE_HOACH_CD'!$K$6:$K$305,MATCH(K290,'04_KE_HOACH_CD'!$G$6:$G$305,0)),0),IF(OR(N290="PRODUCTION",N290="REWORK"),IFERROR(INDEX('04_KE_HOACH_CD'!$L$6:$L$305,MATCH(K290,'04_KE_HOACH_CD'!$G$6:$G$305,0))*V290,0),0)))</x:f>
      </x:c>
      <x:c r="AC290" s="39" t="str">
        <x:f>IF(A290="","",MAX(0,(P290-O290)*1440-Q290))</x:f>
      </x:c>
      <x:c r="AD290" s="37" t="str">
        <x:f>IF(A290="","",IFERROR(AB290/AC290,0))</x:f>
      </x:c>
      <x:c r="AE290" s="33" t="str">
        <x:f>IF(A290="","",AC290/60*SUMIF(DM_NHAN_SU!$A$6:$A$105,L290,DM_NHAN_SU!$E$6:$E$105))</x:f>
      </x:c>
      <x:c r="AF290" s="33" t="str">
        <x:f>IF(A290="","",AC290/60*SUMIF(DM_MAY!$A$6:$A$105,M290,DM_MAY!$F$6:$F$105))</x:f>
      </x:c>
      <x:c r="AG290" s="33" t="str">
        <x:f>IF(A290="","",AE290+AF290)</x:f>
      </x:c>
      <x:c r="AH290" s="21"/>
      <x:c r="AI290" s="29" t="str">
        <x:f>IF(A290="","",IF(OR(B290="",D290="",E290="",I290="",L290="",N290="",O290="",P290=""),"Thiếu dữ liệu",IF(AND(OR(N290="PRODUCTION",N290="REWORK",N290="SETUP"),M290=""),"Thiếu máy",IF(P290&lt;O290,"Sai thời gian",IF(AA290&lt;&gt;0,"Sai cân đối SL","Hợp lệ")))))</x:f>
      </x:c>
      <x:c r="AJ290" s="21"/>
    </x:row>
    <x:row r="291">
      <x:c r="A291" s="21"/>
      <x:c r="B291" s="35"/>
      <x:c r="C291" s="21"/>
      <x:c r="D291" s="21"/>
      <x:c r="E291" s="21"/>
      <x:c r="F291" s="21"/>
      <x:c r="G291" s="21"/>
      <x:c r="H291" s="29" t="str">
        <x:f>IF(OR(D291="",E291=""),"",D291&amp;"|"&amp;E291&amp;"|"&amp;IF(F291="","00",F291)&amp;"|"&amp;IF(G291="","01",G291))</x:f>
      </x:c>
      <x:c r="I291" s="21"/>
      <x:c r="J291" s="29" t="str">
        <x:f>IF(K291="","",IFERROR(INDEX('04_KE_HOACH_CD'!$I$6:$I$305,MATCH(K291,'04_KE_HOACH_CD'!$G$6:$G$305,0)),""))</x:f>
      </x:c>
      <x:c r="K291" s="29" t="str">
        <x:f>IF(OR(H291="",I291=""),"",H291&amp;"|"&amp;TEXT(I291,"000"))</x:f>
      </x:c>
      <x:c r="L291" s="21"/>
      <x:c r="M291" s="21"/>
      <x:c r="N291" s="21"/>
      <x:c r="O291" s="43"/>
      <x:c r="P291" s="43"/>
      <x:c r="Q291" s="25"/>
      <x:c r="R291" s="25"/>
      <x:c r="S291" s="39" t="str">
        <x:f>IF(A291="","",SUMIF('07_DUNG_CHO'!$B$6:$B$505,A291,'07_DUNG_CHO'!$E$6:$E$505))</x:f>
      </x:c>
      <x:c r="T291" s="39" t="str">
        <x:f>IF(A291="","",IF(N291="SETUP",0,MAX(0,(P291-O291)*1440-Q291-S291)))</x:f>
      </x:c>
      <x:c r="U291" s="25"/>
      <x:c r="V291" s="25"/>
      <x:c r="W291" s="25"/>
      <x:c r="X291" s="25"/>
      <x:c r="Y291" s="25"/>
      <x:c r="Z291" s="25"/>
      <x:c r="AA291" s="39" t="str">
        <x:f>IF(A291="","",U291-SUM(V291,X291:Z291))</x:f>
      </x:c>
      <x:c r="AB291" s="39" t="str">
        <x:f>IF(A291="","",IF(N291="SETUP",IFERROR(INDEX('04_KE_HOACH_CD'!$K$6:$K$305,MATCH(K291,'04_KE_HOACH_CD'!$G$6:$G$305,0)),0),IF(OR(N291="PRODUCTION",N291="REWORK"),IFERROR(INDEX('04_KE_HOACH_CD'!$L$6:$L$305,MATCH(K291,'04_KE_HOACH_CD'!$G$6:$G$305,0))*V291,0),0)))</x:f>
      </x:c>
      <x:c r="AC291" s="39" t="str">
        <x:f>IF(A291="","",MAX(0,(P291-O291)*1440-Q291))</x:f>
      </x:c>
      <x:c r="AD291" s="37" t="str">
        <x:f>IF(A291="","",IFERROR(AB291/AC291,0))</x:f>
      </x:c>
      <x:c r="AE291" s="33" t="str">
        <x:f>IF(A291="","",AC291/60*SUMIF(DM_NHAN_SU!$A$6:$A$105,L291,DM_NHAN_SU!$E$6:$E$105))</x:f>
      </x:c>
      <x:c r="AF291" s="33" t="str">
        <x:f>IF(A291="","",AC291/60*SUMIF(DM_MAY!$A$6:$A$105,M291,DM_MAY!$F$6:$F$105))</x:f>
      </x:c>
      <x:c r="AG291" s="33" t="str">
        <x:f>IF(A291="","",AE291+AF291)</x:f>
      </x:c>
      <x:c r="AH291" s="21"/>
      <x:c r="AI291" s="29" t="str">
        <x:f>IF(A291="","",IF(OR(B291="",D291="",E291="",I291="",L291="",N291="",O291="",P291=""),"Thiếu dữ liệu",IF(AND(OR(N291="PRODUCTION",N291="REWORK",N291="SETUP"),M291=""),"Thiếu máy",IF(P291&lt;O291,"Sai thời gian",IF(AA291&lt;&gt;0,"Sai cân đối SL","Hợp lệ")))))</x:f>
      </x:c>
      <x:c r="AJ291" s="21"/>
    </x:row>
    <x:row r="292">
      <x:c r="A292" s="21"/>
      <x:c r="B292" s="35"/>
      <x:c r="C292" s="21"/>
      <x:c r="D292" s="21"/>
      <x:c r="E292" s="21"/>
      <x:c r="F292" s="21"/>
      <x:c r="G292" s="21"/>
      <x:c r="H292" s="29" t="str">
        <x:f>IF(OR(D292="",E292=""),"",D292&amp;"|"&amp;E292&amp;"|"&amp;IF(F292="","00",F292)&amp;"|"&amp;IF(G292="","01",G292))</x:f>
      </x:c>
      <x:c r="I292" s="21"/>
      <x:c r="J292" s="29" t="str">
        <x:f>IF(K292="","",IFERROR(INDEX('04_KE_HOACH_CD'!$I$6:$I$305,MATCH(K292,'04_KE_HOACH_CD'!$G$6:$G$305,0)),""))</x:f>
      </x:c>
      <x:c r="K292" s="29" t="str">
        <x:f>IF(OR(H292="",I292=""),"",H292&amp;"|"&amp;TEXT(I292,"000"))</x:f>
      </x:c>
      <x:c r="L292" s="21"/>
      <x:c r="M292" s="21"/>
      <x:c r="N292" s="21"/>
      <x:c r="O292" s="43"/>
      <x:c r="P292" s="43"/>
      <x:c r="Q292" s="25"/>
      <x:c r="R292" s="25"/>
      <x:c r="S292" s="39" t="str">
        <x:f>IF(A292="","",SUMIF('07_DUNG_CHO'!$B$6:$B$505,A292,'07_DUNG_CHO'!$E$6:$E$505))</x:f>
      </x:c>
      <x:c r="T292" s="39" t="str">
        <x:f>IF(A292="","",IF(N292="SETUP",0,MAX(0,(P292-O292)*1440-Q292-S292)))</x:f>
      </x:c>
      <x:c r="U292" s="25"/>
      <x:c r="V292" s="25"/>
      <x:c r="W292" s="25"/>
      <x:c r="X292" s="25"/>
      <x:c r="Y292" s="25"/>
      <x:c r="Z292" s="25"/>
      <x:c r="AA292" s="39" t="str">
        <x:f>IF(A292="","",U292-SUM(V292,X292:Z292))</x:f>
      </x:c>
      <x:c r="AB292" s="39" t="str">
        <x:f>IF(A292="","",IF(N292="SETUP",IFERROR(INDEX('04_KE_HOACH_CD'!$K$6:$K$305,MATCH(K292,'04_KE_HOACH_CD'!$G$6:$G$305,0)),0),IF(OR(N292="PRODUCTION",N292="REWORK"),IFERROR(INDEX('04_KE_HOACH_CD'!$L$6:$L$305,MATCH(K292,'04_KE_HOACH_CD'!$G$6:$G$305,0))*V292,0),0)))</x:f>
      </x:c>
      <x:c r="AC292" s="39" t="str">
        <x:f>IF(A292="","",MAX(0,(P292-O292)*1440-Q292))</x:f>
      </x:c>
      <x:c r="AD292" s="37" t="str">
        <x:f>IF(A292="","",IFERROR(AB292/AC292,0))</x:f>
      </x:c>
      <x:c r="AE292" s="33" t="str">
        <x:f>IF(A292="","",AC292/60*SUMIF(DM_NHAN_SU!$A$6:$A$105,L292,DM_NHAN_SU!$E$6:$E$105))</x:f>
      </x:c>
      <x:c r="AF292" s="33" t="str">
        <x:f>IF(A292="","",AC292/60*SUMIF(DM_MAY!$A$6:$A$105,M292,DM_MAY!$F$6:$F$105))</x:f>
      </x:c>
      <x:c r="AG292" s="33" t="str">
        <x:f>IF(A292="","",AE292+AF292)</x:f>
      </x:c>
      <x:c r="AH292" s="21"/>
      <x:c r="AI292" s="29" t="str">
        <x:f>IF(A292="","",IF(OR(B292="",D292="",E292="",I292="",L292="",N292="",O292="",P292=""),"Thiếu dữ liệu",IF(AND(OR(N292="PRODUCTION",N292="REWORK",N292="SETUP"),M292=""),"Thiếu máy",IF(P292&lt;O292,"Sai thời gian",IF(AA292&lt;&gt;0,"Sai cân đối SL","Hợp lệ")))))</x:f>
      </x:c>
      <x:c r="AJ292" s="21"/>
    </x:row>
    <x:row r="293">
      <x:c r="A293" s="21"/>
      <x:c r="B293" s="35"/>
      <x:c r="C293" s="21"/>
      <x:c r="D293" s="21"/>
      <x:c r="E293" s="21"/>
      <x:c r="F293" s="21"/>
      <x:c r="G293" s="21"/>
      <x:c r="H293" s="29" t="str">
        <x:f>IF(OR(D293="",E293=""),"",D293&amp;"|"&amp;E293&amp;"|"&amp;IF(F293="","00",F293)&amp;"|"&amp;IF(G293="","01",G293))</x:f>
      </x:c>
      <x:c r="I293" s="21"/>
      <x:c r="J293" s="29" t="str">
        <x:f>IF(K293="","",IFERROR(INDEX('04_KE_HOACH_CD'!$I$6:$I$305,MATCH(K293,'04_KE_HOACH_CD'!$G$6:$G$305,0)),""))</x:f>
      </x:c>
      <x:c r="K293" s="29" t="str">
        <x:f>IF(OR(H293="",I293=""),"",H293&amp;"|"&amp;TEXT(I293,"000"))</x:f>
      </x:c>
      <x:c r="L293" s="21"/>
      <x:c r="M293" s="21"/>
      <x:c r="N293" s="21"/>
      <x:c r="O293" s="43"/>
      <x:c r="P293" s="43"/>
      <x:c r="Q293" s="25"/>
      <x:c r="R293" s="25"/>
      <x:c r="S293" s="39" t="str">
        <x:f>IF(A293="","",SUMIF('07_DUNG_CHO'!$B$6:$B$505,A293,'07_DUNG_CHO'!$E$6:$E$505))</x:f>
      </x:c>
      <x:c r="T293" s="39" t="str">
        <x:f>IF(A293="","",IF(N293="SETUP",0,MAX(0,(P293-O293)*1440-Q293-S293)))</x:f>
      </x:c>
      <x:c r="U293" s="25"/>
      <x:c r="V293" s="25"/>
      <x:c r="W293" s="25"/>
      <x:c r="X293" s="25"/>
      <x:c r="Y293" s="25"/>
      <x:c r="Z293" s="25"/>
      <x:c r="AA293" s="39" t="str">
        <x:f>IF(A293="","",U293-SUM(V293,X293:Z293))</x:f>
      </x:c>
      <x:c r="AB293" s="39" t="str">
        <x:f>IF(A293="","",IF(N293="SETUP",IFERROR(INDEX('04_KE_HOACH_CD'!$K$6:$K$305,MATCH(K293,'04_KE_HOACH_CD'!$G$6:$G$305,0)),0),IF(OR(N293="PRODUCTION",N293="REWORK"),IFERROR(INDEX('04_KE_HOACH_CD'!$L$6:$L$305,MATCH(K293,'04_KE_HOACH_CD'!$G$6:$G$305,0))*V293,0),0)))</x:f>
      </x:c>
      <x:c r="AC293" s="39" t="str">
        <x:f>IF(A293="","",MAX(0,(P293-O293)*1440-Q293))</x:f>
      </x:c>
      <x:c r="AD293" s="37" t="str">
        <x:f>IF(A293="","",IFERROR(AB293/AC293,0))</x:f>
      </x:c>
      <x:c r="AE293" s="33" t="str">
        <x:f>IF(A293="","",AC293/60*SUMIF(DM_NHAN_SU!$A$6:$A$105,L293,DM_NHAN_SU!$E$6:$E$105))</x:f>
      </x:c>
      <x:c r="AF293" s="33" t="str">
        <x:f>IF(A293="","",AC293/60*SUMIF(DM_MAY!$A$6:$A$105,M293,DM_MAY!$F$6:$F$105))</x:f>
      </x:c>
      <x:c r="AG293" s="33" t="str">
        <x:f>IF(A293="","",AE293+AF293)</x:f>
      </x:c>
      <x:c r="AH293" s="21"/>
      <x:c r="AI293" s="29" t="str">
        <x:f>IF(A293="","",IF(OR(B293="",D293="",E293="",I293="",L293="",N293="",O293="",P293=""),"Thiếu dữ liệu",IF(AND(OR(N293="PRODUCTION",N293="REWORK",N293="SETUP"),M293=""),"Thiếu máy",IF(P293&lt;O293,"Sai thời gian",IF(AA293&lt;&gt;0,"Sai cân đối SL","Hợp lệ")))))</x:f>
      </x:c>
      <x:c r="AJ293" s="21"/>
    </x:row>
    <x:row r="294">
      <x:c r="A294" s="21"/>
      <x:c r="B294" s="35"/>
      <x:c r="C294" s="21"/>
      <x:c r="D294" s="21"/>
      <x:c r="E294" s="21"/>
      <x:c r="F294" s="21"/>
      <x:c r="G294" s="21"/>
      <x:c r="H294" s="29" t="str">
        <x:f>IF(OR(D294="",E294=""),"",D294&amp;"|"&amp;E294&amp;"|"&amp;IF(F294="","00",F294)&amp;"|"&amp;IF(G294="","01",G294))</x:f>
      </x:c>
      <x:c r="I294" s="21"/>
      <x:c r="J294" s="29" t="str">
        <x:f>IF(K294="","",IFERROR(INDEX('04_KE_HOACH_CD'!$I$6:$I$305,MATCH(K294,'04_KE_HOACH_CD'!$G$6:$G$305,0)),""))</x:f>
      </x:c>
      <x:c r="K294" s="29" t="str">
        <x:f>IF(OR(H294="",I294=""),"",H294&amp;"|"&amp;TEXT(I294,"000"))</x:f>
      </x:c>
      <x:c r="L294" s="21"/>
      <x:c r="M294" s="21"/>
      <x:c r="N294" s="21"/>
      <x:c r="O294" s="43"/>
      <x:c r="P294" s="43"/>
      <x:c r="Q294" s="25"/>
      <x:c r="R294" s="25"/>
      <x:c r="S294" s="39" t="str">
        <x:f>IF(A294="","",SUMIF('07_DUNG_CHO'!$B$6:$B$505,A294,'07_DUNG_CHO'!$E$6:$E$505))</x:f>
      </x:c>
      <x:c r="T294" s="39" t="str">
        <x:f>IF(A294="","",IF(N294="SETUP",0,MAX(0,(P294-O294)*1440-Q294-S294)))</x:f>
      </x:c>
      <x:c r="U294" s="25"/>
      <x:c r="V294" s="25"/>
      <x:c r="W294" s="25"/>
      <x:c r="X294" s="25"/>
      <x:c r="Y294" s="25"/>
      <x:c r="Z294" s="25"/>
      <x:c r="AA294" s="39" t="str">
        <x:f>IF(A294="","",U294-SUM(V294,X294:Z294))</x:f>
      </x:c>
      <x:c r="AB294" s="39" t="str">
        <x:f>IF(A294="","",IF(N294="SETUP",IFERROR(INDEX('04_KE_HOACH_CD'!$K$6:$K$305,MATCH(K294,'04_KE_HOACH_CD'!$G$6:$G$305,0)),0),IF(OR(N294="PRODUCTION",N294="REWORK"),IFERROR(INDEX('04_KE_HOACH_CD'!$L$6:$L$305,MATCH(K294,'04_KE_HOACH_CD'!$G$6:$G$305,0))*V294,0),0)))</x:f>
      </x:c>
      <x:c r="AC294" s="39" t="str">
        <x:f>IF(A294="","",MAX(0,(P294-O294)*1440-Q294))</x:f>
      </x:c>
      <x:c r="AD294" s="37" t="str">
        <x:f>IF(A294="","",IFERROR(AB294/AC294,0))</x:f>
      </x:c>
      <x:c r="AE294" s="33" t="str">
        <x:f>IF(A294="","",AC294/60*SUMIF(DM_NHAN_SU!$A$6:$A$105,L294,DM_NHAN_SU!$E$6:$E$105))</x:f>
      </x:c>
      <x:c r="AF294" s="33" t="str">
        <x:f>IF(A294="","",AC294/60*SUMIF(DM_MAY!$A$6:$A$105,M294,DM_MAY!$F$6:$F$105))</x:f>
      </x:c>
      <x:c r="AG294" s="33" t="str">
        <x:f>IF(A294="","",AE294+AF294)</x:f>
      </x:c>
      <x:c r="AH294" s="21"/>
      <x:c r="AI294" s="29" t="str">
        <x:f>IF(A294="","",IF(OR(B294="",D294="",E294="",I294="",L294="",N294="",O294="",P294=""),"Thiếu dữ liệu",IF(AND(OR(N294="PRODUCTION",N294="REWORK",N294="SETUP"),M294=""),"Thiếu máy",IF(P294&lt;O294,"Sai thời gian",IF(AA294&lt;&gt;0,"Sai cân đối SL","Hợp lệ")))))</x:f>
      </x:c>
      <x:c r="AJ294" s="21"/>
    </x:row>
    <x:row r="295">
      <x:c r="A295" s="21"/>
      <x:c r="B295" s="35"/>
      <x:c r="C295" s="21"/>
      <x:c r="D295" s="21"/>
      <x:c r="E295" s="21"/>
      <x:c r="F295" s="21"/>
      <x:c r="G295" s="21"/>
      <x:c r="H295" s="29" t="str">
        <x:f>IF(OR(D295="",E295=""),"",D295&amp;"|"&amp;E295&amp;"|"&amp;IF(F295="","00",F295)&amp;"|"&amp;IF(G295="","01",G295))</x:f>
      </x:c>
      <x:c r="I295" s="21"/>
      <x:c r="J295" s="29" t="str">
        <x:f>IF(K295="","",IFERROR(INDEX('04_KE_HOACH_CD'!$I$6:$I$305,MATCH(K295,'04_KE_HOACH_CD'!$G$6:$G$305,0)),""))</x:f>
      </x:c>
      <x:c r="K295" s="29" t="str">
        <x:f>IF(OR(H295="",I295=""),"",H295&amp;"|"&amp;TEXT(I295,"000"))</x:f>
      </x:c>
      <x:c r="L295" s="21"/>
      <x:c r="M295" s="21"/>
      <x:c r="N295" s="21"/>
      <x:c r="O295" s="43"/>
      <x:c r="P295" s="43"/>
      <x:c r="Q295" s="25"/>
      <x:c r="R295" s="25"/>
      <x:c r="S295" s="39" t="str">
        <x:f>IF(A295="","",SUMIF('07_DUNG_CHO'!$B$6:$B$505,A295,'07_DUNG_CHO'!$E$6:$E$505))</x:f>
      </x:c>
      <x:c r="T295" s="39" t="str">
        <x:f>IF(A295="","",IF(N295="SETUP",0,MAX(0,(P295-O295)*1440-Q295-S295)))</x:f>
      </x:c>
      <x:c r="U295" s="25"/>
      <x:c r="V295" s="25"/>
      <x:c r="W295" s="25"/>
      <x:c r="X295" s="25"/>
      <x:c r="Y295" s="25"/>
      <x:c r="Z295" s="25"/>
      <x:c r="AA295" s="39" t="str">
        <x:f>IF(A295="","",U295-SUM(V295,X295:Z295))</x:f>
      </x:c>
      <x:c r="AB295" s="39" t="str">
        <x:f>IF(A295="","",IF(N295="SETUP",IFERROR(INDEX('04_KE_HOACH_CD'!$K$6:$K$305,MATCH(K295,'04_KE_HOACH_CD'!$G$6:$G$305,0)),0),IF(OR(N295="PRODUCTION",N295="REWORK"),IFERROR(INDEX('04_KE_HOACH_CD'!$L$6:$L$305,MATCH(K295,'04_KE_HOACH_CD'!$G$6:$G$305,0))*V295,0),0)))</x:f>
      </x:c>
      <x:c r="AC295" s="39" t="str">
        <x:f>IF(A295="","",MAX(0,(P295-O295)*1440-Q295))</x:f>
      </x:c>
      <x:c r="AD295" s="37" t="str">
        <x:f>IF(A295="","",IFERROR(AB295/AC295,0))</x:f>
      </x:c>
      <x:c r="AE295" s="33" t="str">
        <x:f>IF(A295="","",AC295/60*SUMIF(DM_NHAN_SU!$A$6:$A$105,L295,DM_NHAN_SU!$E$6:$E$105))</x:f>
      </x:c>
      <x:c r="AF295" s="33" t="str">
        <x:f>IF(A295="","",AC295/60*SUMIF(DM_MAY!$A$6:$A$105,M295,DM_MAY!$F$6:$F$105))</x:f>
      </x:c>
      <x:c r="AG295" s="33" t="str">
        <x:f>IF(A295="","",AE295+AF295)</x:f>
      </x:c>
      <x:c r="AH295" s="21"/>
      <x:c r="AI295" s="29" t="str">
        <x:f>IF(A295="","",IF(OR(B295="",D295="",E295="",I295="",L295="",N295="",O295="",P295=""),"Thiếu dữ liệu",IF(AND(OR(N295="PRODUCTION",N295="REWORK",N295="SETUP"),M295=""),"Thiếu máy",IF(P295&lt;O295,"Sai thời gian",IF(AA295&lt;&gt;0,"Sai cân đối SL","Hợp lệ")))))</x:f>
      </x:c>
      <x:c r="AJ295" s="21"/>
    </x:row>
    <x:row r="296">
      <x:c r="A296" s="21"/>
      <x:c r="B296" s="35"/>
      <x:c r="C296" s="21"/>
      <x:c r="D296" s="21"/>
      <x:c r="E296" s="21"/>
      <x:c r="F296" s="21"/>
      <x:c r="G296" s="21"/>
      <x:c r="H296" s="29" t="str">
        <x:f>IF(OR(D296="",E296=""),"",D296&amp;"|"&amp;E296&amp;"|"&amp;IF(F296="","00",F296)&amp;"|"&amp;IF(G296="","01",G296))</x:f>
      </x:c>
      <x:c r="I296" s="21"/>
      <x:c r="J296" s="29" t="str">
        <x:f>IF(K296="","",IFERROR(INDEX('04_KE_HOACH_CD'!$I$6:$I$305,MATCH(K296,'04_KE_HOACH_CD'!$G$6:$G$305,0)),""))</x:f>
      </x:c>
      <x:c r="K296" s="29" t="str">
        <x:f>IF(OR(H296="",I296=""),"",H296&amp;"|"&amp;TEXT(I296,"000"))</x:f>
      </x:c>
      <x:c r="L296" s="21"/>
      <x:c r="M296" s="21"/>
      <x:c r="N296" s="21"/>
      <x:c r="O296" s="43"/>
      <x:c r="P296" s="43"/>
      <x:c r="Q296" s="25"/>
      <x:c r="R296" s="25"/>
      <x:c r="S296" s="39" t="str">
        <x:f>IF(A296="","",SUMIF('07_DUNG_CHO'!$B$6:$B$505,A296,'07_DUNG_CHO'!$E$6:$E$505))</x:f>
      </x:c>
      <x:c r="T296" s="39" t="str">
        <x:f>IF(A296="","",IF(N296="SETUP",0,MAX(0,(P296-O296)*1440-Q296-S296)))</x:f>
      </x:c>
      <x:c r="U296" s="25"/>
      <x:c r="V296" s="25"/>
      <x:c r="W296" s="25"/>
      <x:c r="X296" s="25"/>
      <x:c r="Y296" s="25"/>
      <x:c r="Z296" s="25"/>
      <x:c r="AA296" s="39" t="str">
        <x:f>IF(A296="","",U296-SUM(V296,X296:Z296))</x:f>
      </x:c>
      <x:c r="AB296" s="39" t="str">
        <x:f>IF(A296="","",IF(N296="SETUP",IFERROR(INDEX('04_KE_HOACH_CD'!$K$6:$K$305,MATCH(K296,'04_KE_HOACH_CD'!$G$6:$G$305,0)),0),IF(OR(N296="PRODUCTION",N296="REWORK"),IFERROR(INDEX('04_KE_HOACH_CD'!$L$6:$L$305,MATCH(K296,'04_KE_HOACH_CD'!$G$6:$G$305,0))*V296,0),0)))</x:f>
      </x:c>
      <x:c r="AC296" s="39" t="str">
        <x:f>IF(A296="","",MAX(0,(P296-O296)*1440-Q296))</x:f>
      </x:c>
      <x:c r="AD296" s="37" t="str">
        <x:f>IF(A296="","",IFERROR(AB296/AC296,0))</x:f>
      </x:c>
      <x:c r="AE296" s="33" t="str">
        <x:f>IF(A296="","",AC296/60*SUMIF(DM_NHAN_SU!$A$6:$A$105,L296,DM_NHAN_SU!$E$6:$E$105))</x:f>
      </x:c>
      <x:c r="AF296" s="33" t="str">
        <x:f>IF(A296="","",AC296/60*SUMIF(DM_MAY!$A$6:$A$105,M296,DM_MAY!$F$6:$F$105))</x:f>
      </x:c>
      <x:c r="AG296" s="33" t="str">
        <x:f>IF(A296="","",AE296+AF296)</x:f>
      </x:c>
      <x:c r="AH296" s="21"/>
      <x:c r="AI296" s="29" t="str">
        <x:f>IF(A296="","",IF(OR(B296="",D296="",E296="",I296="",L296="",N296="",O296="",P296=""),"Thiếu dữ liệu",IF(AND(OR(N296="PRODUCTION",N296="REWORK",N296="SETUP"),M296=""),"Thiếu máy",IF(P296&lt;O296,"Sai thời gian",IF(AA296&lt;&gt;0,"Sai cân đối SL","Hợp lệ")))))</x:f>
      </x:c>
      <x:c r="AJ296" s="21"/>
    </x:row>
    <x:row r="297">
      <x:c r="A297" s="21"/>
      <x:c r="B297" s="35"/>
      <x:c r="C297" s="21"/>
      <x:c r="D297" s="21"/>
      <x:c r="E297" s="21"/>
      <x:c r="F297" s="21"/>
      <x:c r="G297" s="21"/>
      <x:c r="H297" s="29" t="str">
        <x:f>IF(OR(D297="",E297=""),"",D297&amp;"|"&amp;E297&amp;"|"&amp;IF(F297="","00",F297)&amp;"|"&amp;IF(G297="","01",G297))</x:f>
      </x:c>
      <x:c r="I297" s="21"/>
      <x:c r="J297" s="29" t="str">
        <x:f>IF(K297="","",IFERROR(INDEX('04_KE_HOACH_CD'!$I$6:$I$305,MATCH(K297,'04_KE_HOACH_CD'!$G$6:$G$305,0)),""))</x:f>
      </x:c>
      <x:c r="K297" s="29" t="str">
        <x:f>IF(OR(H297="",I297=""),"",H297&amp;"|"&amp;TEXT(I297,"000"))</x:f>
      </x:c>
      <x:c r="L297" s="21"/>
      <x:c r="M297" s="21"/>
      <x:c r="N297" s="21"/>
      <x:c r="O297" s="43"/>
      <x:c r="P297" s="43"/>
      <x:c r="Q297" s="25"/>
      <x:c r="R297" s="25"/>
      <x:c r="S297" s="39" t="str">
        <x:f>IF(A297="","",SUMIF('07_DUNG_CHO'!$B$6:$B$505,A297,'07_DUNG_CHO'!$E$6:$E$505))</x:f>
      </x:c>
      <x:c r="T297" s="39" t="str">
        <x:f>IF(A297="","",IF(N297="SETUP",0,MAX(0,(P297-O297)*1440-Q297-S297)))</x:f>
      </x:c>
      <x:c r="U297" s="25"/>
      <x:c r="V297" s="25"/>
      <x:c r="W297" s="25"/>
      <x:c r="X297" s="25"/>
      <x:c r="Y297" s="25"/>
      <x:c r="Z297" s="25"/>
      <x:c r="AA297" s="39" t="str">
        <x:f>IF(A297="","",U297-SUM(V297,X297:Z297))</x:f>
      </x:c>
      <x:c r="AB297" s="39" t="str">
        <x:f>IF(A297="","",IF(N297="SETUP",IFERROR(INDEX('04_KE_HOACH_CD'!$K$6:$K$305,MATCH(K297,'04_KE_HOACH_CD'!$G$6:$G$305,0)),0),IF(OR(N297="PRODUCTION",N297="REWORK"),IFERROR(INDEX('04_KE_HOACH_CD'!$L$6:$L$305,MATCH(K297,'04_KE_HOACH_CD'!$G$6:$G$305,0))*V297,0),0)))</x:f>
      </x:c>
      <x:c r="AC297" s="39" t="str">
        <x:f>IF(A297="","",MAX(0,(P297-O297)*1440-Q297))</x:f>
      </x:c>
      <x:c r="AD297" s="37" t="str">
        <x:f>IF(A297="","",IFERROR(AB297/AC297,0))</x:f>
      </x:c>
      <x:c r="AE297" s="33" t="str">
        <x:f>IF(A297="","",AC297/60*SUMIF(DM_NHAN_SU!$A$6:$A$105,L297,DM_NHAN_SU!$E$6:$E$105))</x:f>
      </x:c>
      <x:c r="AF297" s="33" t="str">
        <x:f>IF(A297="","",AC297/60*SUMIF(DM_MAY!$A$6:$A$105,M297,DM_MAY!$F$6:$F$105))</x:f>
      </x:c>
      <x:c r="AG297" s="33" t="str">
        <x:f>IF(A297="","",AE297+AF297)</x:f>
      </x:c>
      <x:c r="AH297" s="21"/>
      <x:c r="AI297" s="29" t="str">
        <x:f>IF(A297="","",IF(OR(B297="",D297="",E297="",I297="",L297="",N297="",O297="",P297=""),"Thiếu dữ liệu",IF(AND(OR(N297="PRODUCTION",N297="REWORK",N297="SETUP"),M297=""),"Thiếu máy",IF(P297&lt;O297,"Sai thời gian",IF(AA297&lt;&gt;0,"Sai cân đối SL","Hợp lệ")))))</x:f>
      </x:c>
      <x:c r="AJ297" s="21"/>
    </x:row>
    <x:row r="298">
      <x:c r="A298" s="21"/>
      <x:c r="B298" s="35"/>
      <x:c r="C298" s="21"/>
      <x:c r="D298" s="21"/>
      <x:c r="E298" s="21"/>
      <x:c r="F298" s="21"/>
      <x:c r="G298" s="21"/>
      <x:c r="H298" s="29" t="str">
        <x:f>IF(OR(D298="",E298=""),"",D298&amp;"|"&amp;E298&amp;"|"&amp;IF(F298="","00",F298)&amp;"|"&amp;IF(G298="","01",G298))</x:f>
      </x:c>
      <x:c r="I298" s="21"/>
      <x:c r="J298" s="29" t="str">
        <x:f>IF(K298="","",IFERROR(INDEX('04_KE_HOACH_CD'!$I$6:$I$305,MATCH(K298,'04_KE_HOACH_CD'!$G$6:$G$305,0)),""))</x:f>
      </x:c>
      <x:c r="K298" s="29" t="str">
        <x:f>IF(OR(H298="",I298=""),"",H298&amp;"|"&amp;TEXT(I298,"000"))</x:f>
      </x:c>
      <x:c r="L298" s="21"/>
      <x:c r="M298" s="21"/>
      <x:c r="N298" s="21"/>
      <x:c r="O298" s="43"/>
      <x:c r="P298" s="43"/>
      <x:c r="Q298" s="25"/>
      <x:c r="R298" s="25"/>
      <x:c r="S298" s="39" t="str">
        <x:f>IF(A298="","",SUMIF('07_DUNG_CHO'!$B$6:$B$505,A298,'07_DUNG_CHO'!$E$6:$E$505))</x:f>
      </x:c>
      <x:c r="T298" s="39" t="str">
        <x:f>IF(A298="","",IF(N298="SETUP",0,MAX(0,(P298-O298)*1440-Q298-S298)))</x:f>
      </x:c>
      <x:c r="U298" s="25"/>
      <x:c r="V298" s="25"/>
      <x:c r="W298" s="25"/>
      <x:c r="X298" s="25"/>
      <x:c r="Y298" s="25"/>
      <x:c r="Z298" s="25"/>
      <x:c r="AA298" s="39" t="str">
        <x:f>IF(A298="","",U298-SUM(V298,X298:Z298))</x:f>
      </x:c>
      <x:c r="AB298" s="39" t="str">
        <x:f>IF(A298="","",IF(N298="SETUP",IFERROR(INDEX('04_KE_HOACH_CD'!$K$6:$K$305,MATCH(K298,'04_KE_HOACH_CD'!$G$6:$G$305,0)),0),IF(OR(N298="PRODUCTION",N298="REWORK"),IFERROR(INDEX('04_KE_HOACH_CD'!$L$6:$L$305,MATCH(K298,'04_KE_HOACH_CD'!$G$6:$G$305,0))*V298,0),0)))</x:f>
      </x:c>
      <x:c r="AC298" s="39" t="str">
        <x:f>IF(A298="","",MAX(0,(P298-O298)*1440-Q298))</x:f>
      </x:c>
      <x:c r="AD298" s="37" t="str">
        <x:f>IF(A298="","",IFERROR(AB298/AC298,0))</x:f>
      </x:c>
      <x:c r="AE298" s="33" t="str">
        <x:f>IF(A298="","",AC298/60*SUMIF(DM_NHAN_SU!$A$6:$A$105,L298,DM_NHAN_SU!$E$6:$E$105))</x:f>
      </x:c>
      <x:c r="AF298" s="33" t="str">
        <x:f>IF(A298="","",AC298/60*SUMIF(DM_MAY!$A$6:$A$105,M298,DM_MAY!$F$6:$F$105))</x:f>
      </x:c>
      <x:c r="AG298" s="33" t="str">
        <x:f>IF(A298="","",AE298+AF298)</x:f>
      </x:c>
      <x:c r="AH298" s="21"/>
      <x:c r="AI298" s="29" t="str">
        <x:f>IF(A298="","",IF(OR(B298="",D298="",E298="",I298="",L298="",N298="",O298="",P298=""),"Thiếu dữ liệu",IF(AND(OR(N298="PRODUCTION",N298="REWORK",N298="SETUP"),M298=""),"Thiếu máy",IF(P298&lt;O298,"Sai thời gian",IF(AA298&lt;&gt;0,"Sai cân đối SL","Hợp lệ")))))</x:f>
      </x:c>
      <x:c r="AJ298" s="21"/>
    </x:row>
    <x:row r="299">
      <x:c r="A299" s="21"/>
      <x:c r="B299" s="35"/>
      <x:c r="C299" s="21"/>
      <x:c r="D299" s="21"/>
      <x:c r="E299" s="21"/>
      <x:c r="F299" s="21"/>
      <x:c r="G299" s="21"/>
      <x:c r="H299" s="29" t="str">
        <x:f>IF(OR(D299="",E299=""),"",D299&amp;"|"&amp;E299&amp;"|"&amp;IF(F299="","00",F299)&amp;"|"&amp;IF(G299="","01",G299))</x:f>
      </x:c>
      <x:c r="I299" s="21"/>
      <x:c r="J299" s="29" t="str">
        <x:f>IF(K299="","",IFERROR(INDEX('04_KE_HOACH_CD'!$I$6:$I$305,MATCH(K299,'04_KE_HOACH_CD'!$G$6:$G$305,0)),""))</x:f>
      </x:c>
      <x:c r="K299" s="29" t="str">
        <x:f>IF(OR(H299="",I299=""),"",H299&amp;"|"&amp;TEXT(I299,"000"))</x:f>
      </x:c>
      <x:c r="L299" s="21"/>
      <x:c r="M299" s="21"/>
      <x:c r="N299" s="21"/>
      <x:c r="O299" s="43"/>
      <x:c r="P299" s="43"/>
      <x:c r="Q299" s="25"/>
      <x:c r="R299" s="25"/>
      <x:c r="S299" s="39" t="str">
        <x:f>IF(A299="","",SUMIF('07_DUNG_CHO'!$B$6:$B$505,A299,'07_DUNG_CHO'!$E$6:$E$505))</x:f>
      </x:c>
      <x:c r="T299" s="39" t="str">
        <x:f>IF(A299="","",IF(N299="SETUP",0,MAX(0,(P299-O299)*1440-Q299-S299)))</x:f>
      </x:c>
      <x:c r="U299" s="25"/>
      <x:c r="V299" s="25"/>
      <x:c r="W299" s="25"/>
      <x:c r="X299" s="25"/>
      <x:c r="Y299" s="25"/>
      <x:c r="Z299" s="25"/>
      <x:c r="AA299" s="39" t="str">
        <x:f>IF(A299="","",U299-SUM(V299,X299:Z299))</x:f>
      </x:c>
      <x:c r="AB299" s="39" t="str">
        <x:f>IF(A299="","",IF(N299="SETUP",IFERROR(INDEX('04_KE_HOACH_CD'!$K$6:$K$305,MATCH(K299,'04_KE_HOACH_CD'!$G$6:$G$305,0)),0),IF(OR(N299="PRODUCTION",N299="REWORK"),IFERROR(INDEX('04_KE_HOACH_CD'!$L$6:$L$305,MATCH(K299,'04_KE_HOACH_CD'!$G$6:$G$305,0))*V299,0),0)))</x:f>
      </x:c>
      <x:c r="AC299" s="39" t="str">
        <x:f>IF(A299="","",MAX(0,(P299-O299)*1440-Q299))</x:f>
      </x:c>
      <x:c r="AD299" s="37" t="str">
        <x:f>IF(A299="","",IFERROR(AB299/AC299,0))</x:f>
      </x:c>
      <x:c r="AE299" s="33" t="str">
        <x:f>IF(A299="","",AC299/60*SUMIF(DM_NHAN_SU!$A$6:$A$105,L299,DM_NHAN_SU!$E$6:$E$105))</x:f>
      </x:c>
      <x:c r="AF299" s="33" t="str">
        <x:f>IF(A299="","",AC299/60*SUMIF(DM_MAY!$A$6:$A$105,M299,DM_MAY!$F$6:$F$105))</x:f>
      </x:c>
      <x:c r="AG299" s="33" t="str">
        <x:f>IF(A299="","",AE299+AF299)</x:f>
      </x:c>
      <x:c r="AH299" s="21"/>
      <x:c r="AI299" s="29" t="str">
        <x:f>IF(A299="","",IF(OR(B299="",D299="",E299="",I299="",L299="",N299="",O299="",P299=""),"Thiếu dữ liệu",IF(AND(OR(N299="PRODUCTION",N299="REWORK",N299="SETUP"),M299=""),"Thiếu máy",IF(P299&lt;O299,"Sai thời gian",IF(AA299&lt;&gt;0,"Sai cân đối SL","Hợp lệ")))))</x:f>
      </x:c>
      <x:c r="AJ299" s="21"/>
    </x:row>
    <x:row r="300">
      <x:c r="A300" s="21"/>
      <x:c r="B300" s="35"/>
      <x:c r="C300" s="21"/>
      <x:c r="D300" s="21"/>
      <x:c r="E300" s="21"/>
      <x:c r="F300" s="21"/>
      <x:c r="G300" s="21"/>
      <x:c r="H300" s="29" t="str">
        <x:f>IF(OR(D300="",E300=""),"",D300&amp;"|"&amp;E300&amp;"|"&amp;IF(F300="","00",F300)&amp;"|"&amp;IF(G300="","01",G300))</x:f>
      </x:c>
      <x:c r="I300" s="21"/>
      <x:c r="J300" s="29" t="str">
        <x:f>IF(K300="","",IFERROR(INDEX('04_KE_HOACH_CD'!$I$6:$I$305,MATCH(K300,'04_KE_HOACH_CD'!$G$6:$G$305,0)),""))</x:f>
      </x:c>
      <x:c r="K300" s="29" t="str">
        <x:f>IF(OR(H300="",I300=""),"",H300&amp;"|"&amp;TEXT(I300,"000"))</x:f>
      </x:c>
      <x:c r="L300" s="21"/>
      <x:c r="M300" s="21"/>
      <x:c r="N300" s="21"/>
      <x:c r="O300" s="43"/>
      <x:c r="P300" s="43"/>
      <x:c r="Q300" s="25"/>
      <x:c r="R300" s="25"/>
      <x:c r="S300" s="39" t="str">
        <x:f>IF(A300="","",SUMIF('07_DUNG_CHO'!$B$6:$B$505,A300,'07_DUNG_CHO'!$E$6:$E$505))</x:f>
      </x:c>
      <x:c r="T300" s="39" t="str">
        <x:f>IF(A300="","",IF(N300="SETUP",0,MAX(0,(P300-O300)*1440-Q300-S300)))</x:f>
      </x:c>
      <x:c r="U300" s="25"/>
      <x:c r="V300" s="25"/>
      <x:c r="W300" s="25"/>
      <x:c r="X300" s="25"/>
      <x:c r="Y300" s="25"/>
      <x:c r="Z300" s="25"/>
      <x:c r="AA300" s="39" t="str">
        <x:f>IF(A300="","",U300-SUM(V300,X300:Z300))</x:f>
      </x:c>
      <x:c r="AB300" s="39" t="str">
        <x:f>IF(A300="","",IF(N300="SETUP",IFERROR(INDEX('04_KE_HOACH_CD'!$K$6:$K$305,MATCH(K300,'04_KE_HOACH_CD'!$G$6:$G$305,0)),0),IF(OR(N300="PRODUCTION",N300="REWORK"),IFERROR(INDEX('04_KE_HOACH_CD'!$L$6:$L$305,MATCH(K300,'04_KE_HOACH_CD'!$G$6:$G$305,0))*V300,0),0)))</x:f>
      </x:c>
      <x:c r="AC300" s="39" t="str">
        <x:f>IF(A300="","",MAX(0,(P300-O300)*1440-Q300))</x:f>
      </x:c>
      <x:c r="AD300" s="37" t="str">
        <x:f>IF(A300="","",IFERROR(AB300/AC300,0))</x:f>
      </x:c>
      <x:c r="AE300" s="33" t="str">
        <x:f>IF(A300="","",AC300/60*SUMIF(DM_NHAN_SU!$A$6:$A$105,L300,DM_NHAN_SU!$E$6:$E$105))</x:f>
      </x:c>
      <x:c r="AF300" s="33" t="str">
        <x:f>IF(A300="","",AC300/60*SUMIF(DM_MAY!$A$6:$A$105,M300,DM_MAY!$F$6:$F$105))</x:f>
      </x:c>
      <x:c r="AG300" s="33" t="str">
        <x:f>IF(A300="","",AE300+AF300)</x:f>
      </x:c>
      <x:c r="AH300" s="21"/>
      <x:c r="AI300" s="29" t="str">
        <x:f>IF(A300="","",IF(OR(B300="",D300="",E300="",I300="",L300="",N300="",O300="",P300=""),"Thiếu dữ liệu",IF(AND(OR(N300="PRODUCTION",N300="REWORK",N300="SETUP"),M300=""),"Thiếu máy",IF(P300&lt;O300,"Sai thời gian",IF(AA300&lt;&gt;0,"Sai cân đối SL","Hợp lệ")))))</x:f>
      </x:c>
      <x:c r="AJ300" s="21"/>
    </x:row>
    <x:row r="301">
      <x:c r="A301" s="21"/>
      <x:c r="B301" s="35"/>
      <x:c r="C301" s="21"/>
      <x:c r="D301" s="21"/>
      <x:c r="E301" s="21"/>
      <x:c r="F301" s="21"/>
      <x:c r="G301" s="21"/>
      <x:c r="H301" s="29" t="str">
        <x:f>IF(OR(D301="",E301=""),"",D301&amp;"|"&amp;E301&amp;"|"&amp;IF(F301="","00",F301)&amp;"|"&amp;IF(G301="","01",G301))</x:f>
      </x:c>
      <x:c r="I301" s="21"/>
      <x:c r="J301" s="29" t="str">
        <x:f>IF(K301="","",IFERROR(INDEX('04_KE_HOACH_CD'!$I$6:$I$305,MATCH(K301,'04_KE_HOACH_CD'!$G$6:$G$305,0)),""))</x:f>
      </x:c>
      <x:c r="K301" s="29" t="str">
        <x:f>IF(OR(H301="",I301=""),"",H301&amp;"|"&amp;TEXT(I301,"000"))</x:f>
      </x:c>
      <x:c r="L301" s="21"/>
      <x:c r="M301" s="21"/>
      <x:c r="N301" s="21"/>
      <x:c r="O301" s="43"/>
      <x:c r="P301" s="43"/>
      <x:c r="Q301" s="25"/>
      <x:c r="R301" s="25"/>
      <x:c r="S301" s="39" t="str">
        <x:f>IF(A301="","",SUMIF('07_DUNG_CHO'!$B$6:$B$505,A301,'07_DUNG_CHO'!$E$6:$E$505))</x:f>
      </x:c>
      <x:c r="T301" s="39" t="str">
        <x:f>IF(A301="","",IF(N301="SETUP",0,MAX(0,(P301-O301)*1440-Q301-S301)))</x:f>
      </x:c>
      <x:c r="U301" s="25"/>
      <x:c r="V301" s="25"/>
      <x:c r="W301" s="25"/>
      <x:c r="X301" s="25"/>
      <x:c r="Y301" s="25"/>
      <x:c r="Z301" s="25"/>
      <x:c r="AA301" s="39" t="str">
        <x:f>IF(A301="","",U301-SUM(V301,X301:Z301))</x:f>
      </x:c>
      <x:c r="AB301" s="39" t="str">
        <x:f>IF(A301="","",IF(N301="SETUP",IFERROR(INDEX('04_KE_HOACH_CD'!$K$6:$K$305,MATCH(K301,'04_KE_HOACH_CD'!$G$6:$G$305,0)),0),IF(OR(N301="PRODUCTION",N301="REWORK"),IFERROR(INDEX('04_KE_HOACH_CD'!$L$6:$L$305,MATCH(K301,'04_KE_HOACH_CD'!$G$6:$G$305,0))*V301,0),0)))</x:f>
      </x:c>
      <x:c r="AC301" s="39" t="str">
        <x:f>IF(A301="","",MAX(0,(P301-O301)*1440-Q301))</x:f>
      </x:c>
      <x:c r="AD301" s="37" t="str">
        <x:f>IF(A301="","",IFERROR(AB301/AC301,0))</x:f>
      </x:c>
      <x:c r="AE301" s="33" t="str">
        <x:f>IF(A301="","",AC301/60*SUMIF(DM_NHAN_SU!$A$6:$A$105,L301,DM_NHAN_SU!$E$6:$E$105))</x:f>
      </x:c>
      <x:c r="AF301" s="33" t="str">
        <x:f>IF(A301="","",AC301/60*SUMIF(DM_MAY!$A$6:$A$105,M301,DM_MAY!$F$6:$F$105))</x:f>
      </x:c>
      <x:c r="AG301" s="33" t="str">
        <x:f>IF(A301="","",AE301+AF301)</x:f>
      </x:c>
      <x:c r="AH301" s="21"/>
      <x:c r="AI301" s="29" t="str">
        <x:f>IF(A301="","",IF(OR(B301="",D301="",E301="",I301="",L301="",N301="",O301="",P301=""),"Thiếu dữ liệu",IF(AND(OR(N301="PRODUCTION",N301="REWORK",N301="SETUP"),M301=""),"Thiếu máy",IF(P301&lt;O301,"Sai thời gian",IF(AA301&lt;&gt;0,"Sai cân đối SL","Hợp lệ")))))</x:f>
      </x:c>
      <x:c r="AJ301" s="21"/>
    </x:row>
    <x:row r="302">
      <x:c r="A302" s="21"/>
      <x:c r="B302" s="35"/>
      <x:c r="C302" s="21"/>
      <x:c r="D302" s="21"/>
      <x:c r="E302" s="21"/>
      <x:c r="F302" s="21"/>
      <x:c r="G302" s="21"/>
      <x:c r="H302" s="29" t="str">
        <x:f>IF(OR(D302="",E302=""),"",D302&amp;"|"&amp;E302&amp;"|"&amp;IF(F302="","00",F302)&amp;"|"&amp;IF(G302="","01",G302))</x:f>
      </x:c>
      <x:c r="I302" s="21"/>
      <x:c r="J302" s="29" t="str">
        <x:f>IF(K302="","",IFERROR(INDEX('04_KE_HOACH_CD'!$I$6:$I$305,MATCH(K302,'04_KE_HOACH_CD'!$G$6:$G$305,0)),""))</x:f>
      </x:c>
      <x:c r="K302" s="29" t="str">
        <x:f>IF(OR(H302="",I302=""),"",H302&amp;"|"&amp;TEXT(I302,"000"))</x:f>
      </x:c>
      <x:c r="L302" s="21"/>
      <x:c r="M302" s="21"/>
      <x:c r="N302" s="21"/>
      <x:c r="O302" s="43"/>
      <x:c r="P302" s="43"/>
      <x:c r="Q302" s="25"/>
      <x:c r="R302" s="25"/>
      <x:c r="S302" s="39" t="str">
        <x:f>IF(A302="","",SUMIF('07_DUNG_CHO'!$B$6:$B$505,A302,'07_DUNG_CHO'!$E$6:$E$505))</x:f>
      </x:c>
      <x:c r="T302" s="39" t="str">
        <x:f>IF(A302="","",IF(N302="SETUP",0,MAX(0,(P302-O302)*1440-Q302-S302)))</x:f>
      </x:c>
      <x:c r="U302" s="25"/>
      <x:c r="V302" s="25"/>
      <x:c r="W302" s="25"/>
      <x:c r="X302" s="25"/>
      <x:c r="Y302" s="25"/>
      <x:c r="Z302" s="25"/>
      <x:c r="AA302" s="39" t="str">
        <x:f>IF(A302="","",U302-SUM(V302,X302:Z302))</x:f>
      </x:c>
      <x:c r="AB302" s="39" t="str">
        <x:f>IF(A302="","",IF(N302="SETUP",IFERROR(INDEX('04_KE_HOACH_CD'!$K$6:$K$305,MATCH(K302,'04_KE_HOACH_CD'!$G$6:$G$305,0)),0),IF(OR(N302="PRODUCTION",N302="REWORK"),IFERROR(INDEX('04_KE_HOACH_CD'!$L$6:$L$305,MATCH(K302,'04_KE_HOACH_CD'!$G$6:$G$305,0))*V302,0),0)))</x:f>
      </x:c>
      <x:c r="AC302" s="39" t="str">
        <x:f>IF(A302="","",MAX(0,(P302-O302)*1440-Q302))</x:f>
      </x:c>
      <x:c r="AD302" s="37" t="str">
        <x:f>IF(A302="","",IFERROR(AB302/AC302,0))</x:f>
      </x:c>
      <x:c r="AE302" s="33" t="str">
        <x:f>IF(A302="","",AC302/60*SUMIF(DM_NHAN_SU!$A$6:$A$105,L302,DM_NHAN_SU!$E$6:$E$105))</x:f>
      </x:c>
      <x:c r="AF302" s="33" t="str">
        <x:f>IF(A302="","",AC302/60*SUMIF(DM_MAY!$A$6:$A$105,M302,DM_MAY!$F$6:$F$105))</x:f>
      </x:c>
      <x:c r="AG302" s="33" t="str">
        <x:f>IF(A302="","",AE302+AF302)</x:f>
      </x:c>
      <x:c r="AH302" s="21"/>
      <x:c r="AI302" s="29" t="str">
        <x:f>IF(A302="","",IF(OR(B302="",D302="",E302="",I302="",L302="",N302="",O302="",P302=""),"Thiếu dữ liệu",IF(AND(OR(N302="PRODUCTION",N302="REWORK",N302="SETUP"),M302=""),"Thiếu máy",IF(P302&lt;O302,"Sai thời gian",IF(AA302&lt;&gt;0,"Sai cân đối SL","Hợp lệ")))))</x:f>
      </x:c>
      <x:c r="AJ302" s="21"/>
    </x:row>
    <x:row r="303">
      <x:c r="A303" s="21"/>
      <x:c r="B303" s="35"/>
      <x:c r="C303" s="21"/>
      <x:c r="D303" s="21"/>
      <x:c r="E303" s="21"/>
      <x:c r="F303" s="21"/>
      <x:c r="G303" s="21"/>
      <x:c r="H303" s="29" t="str">
        <x:f>IF(OR(D303="",E303=""),"",D303&amp;"|"&amp;E303&amp;"|"&amp;IF(F303="","00",F303)&amp;"|"&amp;IF(G303="","01",G303))</x:f>
      </x:c>
      <x:c r="I303" s="21"/>
      <x:c r="J303" s="29" t="str">
        <x:f>IF(K303="","",IFERROR(INDEX('04_KE_HOACH_CD'!$I$6:$I$305,MATCH(K303,'04_KE_HOACH_CD'!$G$6:$G$305,0)),""))</x:f>
      </x:c>
      <x:c r="K303" s="29" t="str">
        <x:f>IF(OR(H303="",I303=""),"",H303&amp;"|"&amp;TEXT(I303,"000"))</x:f>
      </x:c>
      <x:c r="L303" s="21"/>
      <x:c r="M303" s="21"/>
      <x:c r="N303" s="21"/>
      <x:c r="O303" s="43"/>
      <x:c r="P303" s="43"/>
      <x:c r="Q303" s="25"/>
      <x:c r="R303" s="25"/>
      <x:c r="S303" s="39" t="str">
        <x:f>IF(A303="","",SUMIF('07_DUNG_CHO'!$B$6:$B$505,A303,'07_DUNG_CHO'!$E$6:$E$505))</x:f>
      </x:c>
      <x:c r="T303" s="39" t="str">
        <x:f>IF(A303="","",IF(N303="SETUP",0,MAX(0,(P303-O303)*1440-Q303-S303)))</x:f>
      </x:c>
      <x:c r="U303" s="25"/>
      <x:c r="V303" s="25"/>
      <x:c r="W303" s="25"/>
      <x:c r="X303" s="25"/>
      <x:c r="Y303" s="25"/>
      <x:c r="Z303" s="25"/>
      <x:c r="AA303" s="39" t="str">
        <x:f>IF(A303="","",U303-SUM(V303,X303:Z303))</x:f>
      </x:c>
      <x:c r="AB303" s="39" t="str">
        <x:f>IF(A303="","",IF(N303="SETUP",IFERROR(INDEX('04_KE_HOACH_CD'!$K$6:$K$305,MATCH(K303,'04_KE_HOACH_CD'!$G$6:$G$305,0)),0),IF(OR(N303="PRODUCTION",N303="REWORK"),IFERROR(INDEX('04_KE_HOACH_CD'!$L$6:$L$305,MATCH(K303,'04_KE_HOACH_CD'!$G$6:$G$305,0))*V303,0),0)))</x:f>
      </x:c>
      <x:c r="AC303" s="39" t="str">
        <x:f>IF(A303="","",MAX(0,(P303-O303)*1440-Q303))</x:f>
      </x:c>
      <x:c r="AD303" s="37" t="str">
        <x:f>IF(A303="","",IFERROR(AB303/AC303,0))</x:f>
      </x:c>
      <x:c r="AE303" s="33" t="str">
        <x:f>IF(A303="","",AC303/60*SUMIF(DM_NHAN_SU!$A$6:$A$105,L303,DM_NHAN_SU!$E$6:$E$105))</x:f>
      </x:c>
      <x:c r="AF303" s="33" t="str">
        <x:f>IF(A303="","",AC303/60*SUMIF(DM_MAY!$A$6:$A$105,M303,DM_MAY!$F$6:$F$105))</x:f>
      </x:c>
      <x:c r="AG303" s="33" t="str">
        <x:f>IF(A303="","",AE303+AF303)</x:f>
      </x:c>
      <x:c r="AH303" s="21"/>
      <x:c r="AI303" s="29" t="str">
        <x:f>IF(A303="","",IF(OR(B303="",D303="",E303="",I303="",L303="",N303="",O303="",P303=""),"Thiếu dữ liệu",IF(AND(OR(N303="PRODUCTION",N303="REWORK",N303="SETUP"),M303=""),"Thiếu máy",IF(P303&lt;O303,"Sai thời gian",IF(AA303&lt;&gt;0,"Sai cân đối SL","Hợp lệ")))))</x:f>
      </x:c>
      <x:c r="AJ303" s="21"/>
    </x:row>
    <x:row r="304">
      <x:c r="A304" s="21"/>
      <x:c r="B304" s="35"/>
      <x:c r="C304" s="21"/>
      <x:c r="D304" s="21"/>
      <x:c r="E304" s="21"/>
      <x:c r="F304" s="21"/>
      <x:c r="G304" s="21"/>
      <x:c r="H304" s="29" t="str">
        <x:f>IF(OR(D304="",E304=""),"",D304&amp;"|"&amp;E304&amp;"|"&amp;IF(F304="","00",F304)&amp;"|"&amp;IF(G304="","01",G304))</x:f>
      </x:c>
      <x:c r="I304" s="21"/>
      <x:c r="J304" s="29" t="str">
        <x:f>IF(K304="","",IFERROR(INDEX('04_KE_HOACH_CD'!$I$6:$I$305,MATCH(K304,'04_KE_HOACH_CD'!$G$6:$G$305,0)),""))</x:f>
      </x:c>
      <x:c r="K304" s="29" t="str">
        <x:f>IF(OR(H304="",I304=""),"",H304&amp;"|"&amp;TEXT(I304,"000"))</x:f>
      </x:c>
      <x:c r="L304" s="21"/>
      <x:c r="M304" s="21"/>
      <x:c r="N304" s="21"/>
      <x:c r="O304" s="43"/>
      <x:c r="P304" s="43"/>
      <x:c r="Q304" s="25"/>
      <x:c r="R304" s="25"/>
      <x:c r="S304" s="39" t="str">
        <x:f>IF(A304="","",SUMIF('07_DUNG_CHO'!$B$6:$B$505,A304,'07_DUNG_CHO'!$E$6:$E$505))</x:f>
      </x:c>
      <x:c r="T304" s="39" t="str">
        <x:f>IF(A304="","",IF(N304="SETUP",0,MAX(0,(P304-O304)*1440-Q304-S304)))</x:f>
      </x:c>
      <x:c r="U304" s="25"/>
      <x:c r="V304" s="25"/>
      <x:c r="W304" s="25"/>
      <x:c r="X304" s="25"/>
      <x:c r="Y304" s="25"/>
      <x:c r="Z304" s="25"/>
      <x:c r="AA304" s="39" t="str">
        <x:f>IF(A304="","",U304-SUM(V304,X304:Z304))</x:f>
      </x:c>
      <x:c r="AB304" s="39" t="str">
        <x:f>IF(A304="","",IF(N304="SETUP",IFERROR(INDEX('04_KE_HOACH_CD'!$K$6:$K$305,MATCH(K304,'04_KE_HOACH_CD'!$G$6:$G$305,0)),0),IF(OR(N304="PRODUCTION",N304="REWORK"),IFERROR(INDEX('04_KE_HOACH_CD'!$L$6:$L$305,MATCH(K304,'04_KE_HOACH_CD'!$G$6:$G$305,0))*V304,0),0)))</x:f>
      </x:c>
      <x:c r="AC304" s="39" t="str">
        <x:f>IF(A304="","",MAX(0,(P304-O304)*1440-Q304))</x:f>
      </x:c>
      <x:c r="AD304" s="37" t="str">
        <x:f>IF(A304="","",IFERROR(AB304/AC304,0))</x:f>
      </x:c>
      <x:c r="AE304" s="33" t="str">
        <x:f>IF(A304="","",AC304/60*SUMIF(DM_NHAN_SU!$A$6:$A$105,L304,DM_NHAN_SU!$E$6:$E$105))</x:f>
      </x:c>
      <x:c r="AF304" s="33" t="str">
        <x:f>IF(A304="","",AC304/60*SUMIF(DM_MAY!$A$6:$A$105,M304,DM_MAY!$F$6:$F$105))</x:f>
      </x:c>
      <x:c r="AG304" s="33" t="str">
        <x:f>IF(A304="","",AE304+AF304)</x:f>
      </x:c>
      <x:c r="AH304" s="21"/>
      <x:c r="AI304" s="29" t="str">
        <x:f>IF(A304="","",IF(OR(B304="",D304="",E304="",I304="",L304="",N304="",O304="",P304=""),"Thiếu dữ liệu",IF(AND(OR(N304="PRODUCTION",N304="REWORK",N304="SETUP"),M304=""),"Thiếu máy",IF(P304&lt;O304,"Sai thời gian",IF(AA304&lt;&gt;0,"Sai cân đối SL","Hợp lệ")))))</x:f>
      </x:c>
      <x:c r="AJ304" s="21"/>
    </x:row>
    <x:row r="305">
      <x:c r="A305" s="21"/>
      <x:c r="B305" s="35"/>
      <x:c r="C305" s="21"/>
      <x:c r="D305" s="21"/>
      <x:c r="E305" s="21"/>
      <x:c r="F305" s="21"/>
      <x:c r="G305" s="21"/>
      <x:c r="H305" s="29" t="str">
        <x:f>IF(OR(D305="",E305=""),"",D305&amp;"|"&amp;E305&amp;"|"&amp;IF(F305="","00",F305)&amp;"|"&amp;IF(G305="","01",G305))</x:f>
      </x:c>
      <x:c r="I305" s="21"/>
      <x:c r="J305" s="29" t="str">
        <x:f>IF(K305="","",IFERROR(INDEX('04_KE_HOACH_CD'!$I$6:$I$305,MATCH(K305,'04_KE_HOACH_CD'!$G$6:$G$305,0)),""))</x:f>
      </x:c>
      <x:c r="K305" s="29" t="str">
        <x:f>IF(OR(H305="",I305=""),"",H305&amp;"|"&amp;TEXT(I305,"000"))</x:f>
      </x:c>
      <x:c r="L305" s="21"/>
      <x:c r="M305" s="21"/>
      <x:c r="N305" s="21"/>
      <x:c r="O305" s="43"/>
      <x:c r="P305" s="43"/>
      <x:c r="Q305" s="25"/>
      <x:c r="R305" s="25"/>
      <x:c r="S305" s="39" t="str">
        <x:f>IF(A305="","",SUMIF('07_DUNG_CHO'!$B$6:$B$505,A305,'07_DUNG_CHO'!$E$6:$E$505))</x:f>
      </x:c>
      <x:c r="T305" s="39" t="str">
        <x:f>IF(A305="","",IF(N305="SETUP",0,MAX(0,(P305-O305)*1440-Q305-S305)))</x:f>
      </x:c>
      <x:c r="U305" s="25"/>
      <x:c r="V305" s="25"/>
      <x:c r="W305" s="25"/>
      <x:c r="X305" s="25"/>
      <x:c r="Y305" s="25"/>
      <x:c r="Z305" s="25"/>
      <x:c r="AA305" s="39" t="str">
        <x:f>IF(A305="","",U305-SUM(V305,X305:Z305))</x:f>
      </x:c>
      <x:c r="AB305" s="39" t="str">
        <x:f>IF(A305="","",IF(N305="SETUP",IFERROR(INDEX('04_KE_HOACH_CD'!$K$6:$K$305,MATCH(K305,'04_KE_HOACH_CD'!$G$6:$G$305,0)),0),IF(OR(N305="PRODUCTION",N305="REWORK"),IFERROR(INDEX('04_KE_HOACH_CD'!$L$6:$L$305,MATCH(K305,'04_KE_HOACH_CD'!$G$6:$G$305,0))*V305,0),0)))</x:f>
      </x:c>
      <x:c r="AC305" s="39" t="str">
        <x:f>IF(A305="","",MAX(0,(P305-O305)*1440-Q305))</x:f>
      </x:c>
      <x:c r="AD305" s="37" t="str">
        <x:f>IF(A305="","",IFERROR(AB305/AC305,0))</x:f>
      </x:c>
      <x:c r="AE305" s="33" t="str">
        <x:f>IF(A305="","",AC305/60*SUMIF(DM_NHAN_SU!$A$6:$A$105,L305,DM_NHAN_SU!$E$6:$E$105))</x:f>
      </x:c>
      <x:c r="AF305" s="33" t="str">
        <x:f>IF(A305="","",AC305/60*SUMIF(DM_MAY!$A$6:$A$105,M305,DM_MAY!$F$6:$F$105))</x:f>
      </x:c>
      <x:c r="AG305" s="33" t="str">
        <x:f>IF(A305="","",AE305+AF305)</x:f>
      </x:c>
      <x:c r="AH305" s="21"/>
      <x:c r="AI305" s="29" t="str">
        <x:f>IF(A305="","",IF(OR(B305="",D305="",E305="",I305="",L305="",N305="",O305="",P305=""),"Thiếu dữ liệu",IF(AND(OR(N305="PRODUCTION",N305="REWORK",N305="SETUP"),M305=""),"Thiếu máy",IF(P305&lt;O305,"Sai thời gian",IF(AA305&lt;&gt;0,"Sai cân đối SL","Hợp lệ")))))</x:f>
      </x:c>
      <x:c r="AJ305" s="21"/>
    </x:row>
    <x:row r="306">
      <x:c r="A306" s="21"/>
      <x:c r="B306" s="35"/>
      <x:c r="C306" s="21"/>
      <x:c r="D306" s="21"/>
      <x:c r="E306" s="21"/>
      <x:c r="F306" s="21"/>
      <x:c r="G306" s="21"/>
      <x:c r="H306" s="29" t="str">
        <x:f>IF(OR(D306="",E306=""),"",D306&amp;"|"&amp;E306&amp;"|"&amp;IF(F306="","00",F306)&amp;"|"&amp;IF(G306="","01",G306))</x:f>
      </x:c>
      <x:c r="I306" s="21"/>
      <x:c r="J306" s="29" t="str">
        <x:f>IF(K306="","",IFERROR(INDEX('04_KE_HOACH_CD'!$I$6:$I$305,MATCH(K306,'04_KE_HOACH_CD'!$G$6:$G$305,0)),""))</x:f>
      </x:c>
      <x:c r="K306" s="29" t="str">
        <x:f>IF(OR(H306="",I306=""),"",H306&amp;"|"&amp;TEXT(I306,"000"))</x:f>
      </x:c>
      <x:c r="L306" s="21"/>
      <x:c r="M306" s="21"/>
      <x:c r="N306" s="21"/>
      <x:c r="O306" s="43"/>
      <x:c r="P306" s="43"/>
      <x:c r="Q306" s="25"/>
      <x:c r="R306" s="25"/>
      <x:c r="S306" s="39" t="str">
        <x:f>IF(A306="","",SUMIF('07_DUNG_CHO'!$B$6:$B$505,A306,'07_DUNG_CHO'!$E$6:$E$505))</x:f>
      </x:c>
      <x:c r="T306" s="39" t="str">
        <x:f>IF(A306="","",IF(N306="SETUP",0,MAX(0,(P306-O306)*1440-Q306-S306)))</x:f>
      </x:c>
      <x:c r="U306" s="25"/>
      <x:c r="V306" s="25"/>
      <x:c r="W306" s="25"/>
      <x:c r="X306" s="25"/>
      <x:c r="Y306" s="25"/>
      <x:c r="Z306" s="25"/>
      <x:c r="AA306" s="39" t="str">
        <x:f>IF(A306="","",U306-SUM(V306,X306:Z306))</x:f>
      </x:c>
      <x:c r="AB306" s="39" t="str">
        <x:f>IF(A306="","",IF(N306="SETUP",IFERROR(INDEX('04_KE_HOACH_CD'!$K$6:$K$305,MATCH(K306,'04_KE_HOACH_CD'!$G$6:$G$305,0)),0),IF(OR(N306="PRODUCTION",N306="REWORK"),IFERROR(INDEX('04_KE_HOACH_CD'!$L$6:$L$305,MATCH(K306,'04_KE_HOACH_CD'!$G$6:$G$305,0))*V306,0),0)))</x:f>
      </x:c>
      <x:c r="AC306" s="39" t="str">
        <x:f>IF(A306="","",MAX(0,(P306-O306)*1440-Q306))</x:f>
      </x:c>
      <x:c r="AD306" s="37" t="str">
        <x:f>IF(A306="","",IFERROR(AB306/AC306,0))</x:f>
      </x:c>
      <x:c r="AE306" s="33" t="str">
        <x:f>IF(A306="","",AC306/60*SUMIF(DM_NHAN_SU!$A$6:$A$105,L306,DM_NHAN_SU!$E$6:$E$105))</x:f>
      </x:c>
      <x:c r="AF306" s="33" t="str">
        <x:f>IF(A306="","",AC306/60*SUMIF(DM_MAY!$A$6:$A$105,M306,DM_MAY!$F$6:$F$105))</x:f>
      </x:c>
      <x:c r="AG306" s="33" t="str">
        <x:f>IF(A306="","",AE306+AF306)</x:f>
      </x:c>
      <x:c r="AH306" s="21"/>
      <x:c r="AI306" s="29" t="str">
        <x:f>IF(A306="","",IF(OR(B306="",D306="",E306="",I306="",L306="",N306="",O306="",P306=""),"Thiếu dữ liệu",IF(AND(OR(N306="PRODUCTION",N306="REWORK",N306="SETUP"),M306=""),"Thiếu máy",IF(P306&lt;O306,"Sai thời gian",IF(AA306&lt;&gt;0,"Sai cân đối SL","Hợp lệ")))))</x:f>
      </x:c>
      <x:c r="AJ306" s="21"/>
    </x:row>
    <x:row r="307">
      <x:c r="A307" s="21"/>
      <x:c r="B307" s="35"/>
      <x:c r="C307" s="21"/>
      <x:c r="D307" s="21"/>
      <x:c r="E307" s="21"/>
      <x:c r="F307" s="21"/>
      <x:c r="G307" s="21"/>
      <x:c r="H307" s="29" t="str">
        <x:f>IF(OR(D307="",E307=""),"",D307&amp;"|"&amp;E307&amp;"|"&amp;IF(F307="","00",F307)&amp;"|"&amp;IF(G307="","01",G307))</x:f>
      </x:c>
      <x:c r="I307" s="21"/>
      <x:c r="J307" s="29" t="str">
        <x:f>IF(K307="","",IFERROR(INDEX('04_KE_HOACH_CD'!$I$6:$I$305,MATCH(K307,'04_KE_HOACH_CD'!$G$6:$G$305,0)),""))</x:f>
      </x:c>
      <x:c r="K307" s="29" t="str">
        <x:f>IF(OR(H307="",I307=""),"",H307&amp;"|"&amp;TEXT(I307,"000"))</x:f>
      </x:c>
      <x:c r="L307" s="21"/>
      <x:c r="M307" s="21"/>
      <x:c r="N307" s="21"/>
      <x:c r="O307" s="43"/>
      <x:c r="P307" s="43"/>
      <x:c r="Q307" s="25"/>
      <x:c r="R307" s="25"/>
      <x:c r="S307" s="39" t="str">
        <x:f>IF(A307="","",SUMIF('07_DUNG_CHO'!$B$6:$B$505,A307,'07_DUNG_CHO'!$E$6:$E$505))</x:f>
      </x:c>
      <x:c r="T307" s="39" t="str">
        <x:f>IF(A307="","",IF(N307="SETUP",0,MAX(0,(P307-O307)*1440-Q307-S307)))</x:f>
      </x:c>
      <x:c r="U307" s="25"/>
      <x:c r="V307" s="25"/>
      <x:c r="W307" s="25"/>
      <x:c r="X307" s="25"/>
      <x:c r="Y307" s="25"/>
      <x:c r="Z307" s="25"/>
      <x:c r="AA307" s="39" t="str">
        <x:f>IF(A307="","",U307-SUM(V307,X307:Z307))</x:f>
      </x:c>
      <x:c r="AB307" s="39" t="str">
        <x:f>IF(A307="","",IF(N307="SETUP",IFERROR(INDEX('04_KE_HOACH_CD'!$K$6:$K$305,MATCH(K307,'04_KE_HOACH_CD'!$G$6:$G$305,0)),0),IF(OR(N307="PRODUCTION",N307="REWORK"),IFERROR(INDEX('04_KE_HOACH_CD'!$L$6:$L$305,MATCH(K307,'04_KE_HOACH_CD'!$G$6:$G$305,0))*V307,0),0)))</x:f>
      </x:c>
      <x:c r="AC307" s="39" t="str">
        <x:f>IF(A307="","",MAX(0,(P307-O307)*1440-Q307))</x:f>
      </x:c>
      <x:c r="AD307" s="37" t="str">
        <x:f>IF(A307="","",IFERROR(AB307/AC307,0))</x:f>
      </x:c>
      <x:c r="AE307" s="33" t="str">
        <x:f>IF(A307="","",AC307/60*SUMIF(DM_NHAN_SU!$A$6:$A$105,L307,DM_NHAN_SU!$E$6:$E$105))</x:f>
      </x:c>
      <x:c r="AF307" s="33" t="str">
        <x:f>IF(A307="","",AC307/60*SUMIF(DM_MAY!$A$6:$A$105,M307,DM_MAY!$F$6:$F$105))</x:f>
      </x:c>
      <x:c r="AG307" s="33" t="str">
        <x:f>IF(A307="","",AE307+AF307)</x:f>
      </x:c>
      <x:c r="AH307" s="21"/>
      <x:c r="AI307" s="29" t="str">
        <x:f>IF(A307="","",IF(OR(B307="",D307="",E307="",I307="",L307="",N307="",O307="",P307=""),"Thiếu dữ liệu",IF(AND(OR(N307="PRODUCTION",N307="REWORK",N307="SETUP"),M307=""),"Thiếu máy",IF(P307&lt;O307,"Sai thời gian",IF(AA307&lt;&gt;0,"Sai cân đối SL","Hợp lệ")))))</x:f>
      </x:c>
      <x:c r="AJ307" s="21"/>
    </x:row>
    <x:row r="308">
      <x:c r="A308" s="21"/>
      <x:c r="B308" s="35"/>
      <x:c r="C308" s="21"/>
      <x:c r="D308" s="21"/>
      <x:c r="E308" s="21"/>
      <x:c r="F308" s="21"/>
      <x:c r="G308" s="21"/>
      <x:c r="H308" s="29" t="str">
        <x:f>IF(OR(D308="",E308=""),"",D308&amp;"|"&amp;E308&amp;"|"&amp;IF(F308="","00",F308)&amp;"|"&amp;IF(G308="","01",G308))</x:f>
      </x:c>
      <x:c r="I308" s="21"/>
      <x:c r="J308" s="29" t="str">
        <x:f>IF(K308="","",IFERROR(INDEX('04_KE_HOACH_CD'!$I$6:$I$305,MATCH(K308,'04_KE_HOACH_CD'!$G$6:$G$305,0)),""))</x:f>
      </x:c>
      <x:c r="K308" s="29" t="str">
        <x:f>IF(OR(H308="",I308=""),"",H308&amp;"|"&amp;TEXT(I308,"000"))</x:f>
      </x:c>
      <x:c r="L308" s="21"/>
      <x:c r="M308" s="21"/>
      <x:c r="N308" s="21"/>
      <x:c r="O308" s="43"/>
      <x:c r="P308" s="43"/>
      <x:c r="Q308" s="25"/>
      <x:c r="R308" s="25"/>
      <x:c r="S308" s="39" t="str">
        <x:f>IF(A308="","",SUMIF('07_DUNG_CHO'!$B$6:$B$505,A308,'07_DUNG_CHO'!$E$6:$E$505))</x:f>
      </x:c>
      <x:c r="T308" s="39" t="str">
        <x:f>IF(A308="","",IF(N308="SETUP",0,MAX(0,(P308-O308)*1440-Q308-S308)))</x:f>
      </x:c>
      <x:c r="U308" s="25"/>
      <x:c r="V308" s="25"/>
      <x:c r="W308" s="25"/>
      <x:c r="X308" s="25"/>
      <x:c r="Y308" s="25"/>
      <x:c r="Z308" s="25"/>
      <x:c r="AA308" s="39" t="str">
        <x:f>IF(A308="","",U308-SUM(V308,X308:Z308))</x:f>
      </x:c>
      <x:c r="AB308" s="39" t="str">
        <x:f>IF(A308="","",IF(N308="SETUP",IFERROR(INDEX('04_KE_HOACH_CD'!$K$6:$K$305,MATCH(K308,'04_KE_HOACH_CD'!$G$6:$G$305,0)),0),IF(OR(N308="PRODUCTION",N308="REWORK"),IFERROR(INDEX('04_KE_HOACH_CD'!$L$6:$L$305,MATCH(K308,'04_KE_HOACH_CD'!$G$6:$G$305,0))*V308,0),0)))</x:f>
      </x:c>
      <x:c r="AC308" s="39" t="str">
        <x:f>IF(A308="","",MAX(0,(P308-O308)*1440-Q308))</x:f>
      </x:c>
      <x:c r="AD308" s="37" t="str">
        <x:f>IF(A308="","",IFERROR(AB308/AC308,0))</x:f>
      </x:c>
      <x:c r="AE308" s="33" t="str">
        <x:f>IF(A308="","",AC308/60*SUMIF(DM_NHAN_SU!$A$6:$A$105,L308,DM_NHAN_SU!$E$6:$E$105))</x:f>
      </x:c>
      <x:c r="AF308" s="33" t="str">
        <x:f>IF(A308="","",AC308/60*SUMIF(DM_MAY!$A$6:$A$105,M308,DM_MAY!$F$6:$F$105))</x:f>
      </x:c>
      <x:c r="AG308" s="33" t="str">
        <x:f>IF(A308="","",AE308+AF308)</x:f>
      </x:c>
      <x:c r="AH308" s="21"/>
      <x:c r="AI308" s="29" t="str">
        <x:f>IF(A308="","",IF(OR(B308="",D308="",E308="",I308="",L308="",N308="",O308="",P308=""),"Thiếu dữ liệu",IF(AND(OR(N308="PRODUCTION",N308="REWORK",N308="SETUP"),M308=""),"Thiếu máy",IF(P308&lt;O308,"Sai thời gian",IF(AA308&lt;&gt;0,"Sai cân đối SL","Hợp lệ")))))</x:f>
      </x:c>
      <x:c r="AJ308" s="21"/>
    </x:row>
    <x:row r="309">
      <x:c r="A309" s="21"/>
      <x:c r="B309" s="35"/>
      <x:c r="C309" s="21"/>
      <x:c r="D309" s="21"/>
      <x:c r="E309" s="21"/>
      <x:c r="F309" s="21"/>
      <x:c r="G309" s="21"/>
      <x:c r="H309" s="29" t="str">
        <x:f>IF(OR(D309="",E309=""),"",D309&amp;"|"&amp;E309&amp;"|"&amp;IF(F309="","00",F309)&amp;"|"&amp;IF(G309="","01",G309))</x:f>
      </x:c>
      <x:c r="I309" s="21"/>
      <x:c r="J309" s="29" t="str">
        <x:f>IF(K309="","",IFERROR(INDEX('04_KE_HOACH_CD'!$I$6:$I$305,MATCH(K309,'04_KE_HOACH_CD'!$G$6:$G$305,0)),""))</x:f>
      </x:c>
      <x:c r="K309" s="29" t="str">
        <x:f>IF(OR(H309="",I309=""),"",H309&amp;"|"&amp;TEXT(I309,"000"))</x:f>
      </x:c>
      <x:c r="L309" s="21"/>
      <x:c r="M309" s="21"/>
      <x:c r="N309" s="21"/>
      <x:c r="O309" s="43"/>
      <x:c r="P309" s="43"/>
      <x:c r="Q309" s="25"/>
      <x:c r="R309" s="25"/>
      <x:c r="S309" s="39" t="str">
        <x:f>IF(A309="","",SUMIF('07_DUNG_CHO'!$B$6:$B$505,A309,'07_DUNG_CHO'!$E$6:$E$505))</x:f>
      </x:c>
      <x:c r="T309" s="39" t="str">
        <x:f>IF(A309="","",IF(N309="SETUP",0,MAX(0,(P309-O309)*1440-Q309-S309)))</x:f>
      </x:c>
      <x:c r="U309" s="25"/>
      <x:c r="V309" s="25"/>
      <x:c r="W309" s="25"/>
      <x:c r="X309" s="25"/>
      <x:c r="Y309" s="25"/>
      <x:c r="Z309" s="25"/>
      <x:c r="AA309" s="39" t="str">
        <x:f>IF(A309="","",U309-SUM(V309,X309:Z309))</x:f>
      </x:c>
      <x:c r="AB309" s="39" t="str">
        <x:f>IF(A309="","",IF(N309="SETUP",IFERROR(INDEX('04_KE_HOACH_CD'!$K$6:$K$305,MATCH(K309,'04_KE_HOACH_CD'!$G$6:$G$305,0)),0),IF(OR(N309="PRODUCTION",N309="REWORK"),IFERROR(INDEX('04_KE_HOACH_CD'!$L$6:$L$305,MATCH(K309,'04_KE_HOACH_CD'!$G$6:$G$305,0))*V309,0),0)))</x:f>
      </x:c>
      <x:c r="AC309" s="39" t="str">
        <x:f>IF(A309="","",MAX(0,(P309-O309)*1440-Q309))</x:f>
      </x:c>
      <x:c r="AD309" s="37" t="str">
        <x:f>IF(A309="","",IFERROR(AB309/AC309,0))</x:f>
      </x:c>
      <x:c r="AE309" s="33" t="str">
        <x:f>IF(A309="","",AC309/60*SUMIF(DM_NHAN_SU!$A$6:$A$105,L309,DM_NHAN_SU!$E$6:$E$105))</x:f>
      </x:c>
      <x:c r="AF309" s="33" t="str">
        <x:f>IF(A309="","",AC309/60*SUMIF(DM_MAY!$A$6:$A$105,M309,DM_MAY!$F$6:$F$105))</x:f>
      </x:c>
      <x:c r="AG309" s="33" t="str">
        <x:f>IF(A309="","",AE309+AF309)</x:f>
      </x:c>
      <x:c r="AH309" s="21"/>
      <x:c r="AI309" s="29" t="str">
        <x:f>IF(A309="","",IF(OR(B309="",D309="",E309="",I309="",L309="",N309="",O309="",P309=""),"Thiếu dữ liệu",IF(AND(OR(N309="PRODUCTION",N309="REWORK",N309="SETUP"),M309=""),"Thiếu máy",IF(P309&lt;O309,"Sai thời gian",IF(AA309&lt;&gt;0,"Sai cân đối SL","Hợp lệ")))))</x:f>
      </x:c>
      <x:c r="AJ309" s="21"/>
    </x:row>
    <x:row r="310">
      <x:c r="A310" s="21"/>
      <x:c r="B310" s="35"/>
      <x:c r="C310" s="21"/>
      <x:c r="D310" s="21"/>
      <x:c r="E310" s="21"/>
      <x:c r="F310" s="21"/>
      <x:c r="G310" s="21"/>
      <x:c r="H310" s="29" t="str">
        <x:f>IF(OR(D310="",E310=""),"",D310&amp;"|"&amp;E310&amp;"|"&amp;IF(F310="","00",F310)&amp;"|"&amp;IF(G310="","01",G310))</x:f>
      </x:c>
      <x:c r="I310" s="21"/>
      <x:c r="J310" s="29" t="str">
        <x:f>IF(K310="","",IFERROR(INDEX('04_KE_HOACH_CD'!$I$6:$I$305,MATCH(K310,'04_KE_HOACH_CD'!$G$6:$G$305,0)),""))</x:f>
      </x:c>
      <x:c r="K310" s="29" t="str">
        <x:f>IF(OR(H310="",I310=""),"",H310&amp;"|"&amp;TEXT(I310,"000"))</x:f>
      </x:c>
      <x:c r="L310" s="21"/>
      <x:c r="M310" s="21"/>
      <x:c r="N310" s="21"/>
      <x:c r="O310" s="43"/>
      <x:c r="P310" s="43"/>
      <x:c r="Q310" s="25"/>
      <x:c r="R310" s="25"/>
      <x:c r="S310" s="39" t="str">
        <x:f>IF(A310="","",SUMIF('07_DUNG_CHO'!$B$6:$B$505,A310,'07_DUNG_CHO'!$E$6:$E$505))</x:f>
      </x:c>
      <x:c r="T310" s="39" t="str">
        <x:f>IF(A310="","",IF(N310="SETUP",0,MAX(0,(P310-O310)*1440-Q310-S310)))</x:f>
      </x:c>
      <x:c r="U310" s="25"/>
      <x:c r="V310" s="25"/>
      <x:c r="W310" s="25"/>
      <x:c r="X310" s="25"/>
      <x:c r="Y310" s="25"/>
      <x:c r="Z310" s="25"/>
      <x:c r="AA310" s="39" t="str">
        <x:f>IF(A310="","",U310-SUM(V310,X310:Z310))</x:f>
      </x:c>
      <x:c r="AB310" s="39" t="str">
        <x:f>IF(A310="","",IF(N310="SETUP",IFERROR(INDEX('04_KE_HOACH_CD'!$K$6:$K$305,MATCH(K310,'04_KE_HOACH_CD'!$G$6:$G$305,0)),0),IF(OR(N310="PRODUCTION",N310="REWORK"),IFERROR(INDEX('04_KE_HOACH_CD'!$L$6:$L$305,MATCH(K310,'04_KE_HOACH_CD'!$G$6:$G$305,0))*V310,0),0)))</x:f>
      </x:c>
      <x:c r="AC310" s="39" t="str">
        <x:f>IF(A310="","",MAX(0,(P310-O310)*1440-Q310))</x:f>
      </x:c>
      <x:c r="AD310" s="37" t="str">
        <x:f>IF(A310="","",IFERROR(AB310/AC310,0))</x:f>
      </x:c>
      <x:c r="AE310" s="33" t="str">
        <x:f>IF(A310="","",AC310/60*SUMIF(DM_NHAN_SU!$A$6:$A$105,L310,DM_NHAN_SU!$E$6:$E$105))</x:f>
      </x:c>
      <x:c r="AF310" s="33" t="str">
        <x:f>IF(A310="","",AC310/60*SUMIF(DM_MAY!$A$6:$A$105,M310,DM_MAY!$F$6:$F$105))</x:f>
      </x:c>
      <x:c r="AG310" s="33" t="str">
        <x:f>IF(A310="","",AE310+AF310)</x:f>
      </x:c>
      <x:c r="AH310" s="21"/>
      <x:c r="AI310" s="29" t="str">
        <x:f>IF(A310="","",IF(OR(B310="",D310="",E310="",I310="",L310="",N310="",O310="",P310=""),"Thiếu dữ liệu",IF(AND(OR(N310="PRODUCTION",N310="REWORK",N310="SETUP"),M310=""),"Thiếu máy",IF(P310&lt;O310,"Sai thời gian",IF(AA310&lt;&gt;0,"Sai cân đối SL","Hợp lệ")))))</x:f>
      </x:c>
      <x:c r="AJ310" s="21"/>
    </x:row>
    <x:row r="311">
      <x:c r="A311" s="21"/>
      <x:c r="B311" s="35"/>
      <x:c r="C311" s="21"/>
      <x:c r="D311" s="21"/>
      <x:c r="E311" s="21"/>
      <x:c r="F311" s="21"/>
      <x:c r="G311" s="21"/>
      <x:c r="H311" s="29" t="str">
        <x:f>IF(OR(D311="",E311=""),"",D311&amp;"|"&amp;E311&amp;"|"&amp;IF(F311="","00",F311)&amp;"|"&amp;IF(G311="","01",G311))</x:f>
      </x:c>
      <x:c r="I311" s="21"/>
      <x:c r="J311" s="29" t="str">
        <x:f>IF(K311="","",IFERROR(INDEX('04_KE_HOACH_CD'!$I$6:$I$305,MATCH(K311,'04_KE_HOACH_CD'!$G$6:$G$305,0)),""))</x:f>
      </x:c>
      <x:c r="K311" s="29" t="str">
        <x:f>IF(OR(H311="",I311=""),"",H311&amp;"|"&amp;TEXT(I311,"000"))</x:f>
      </x:c>
      <x:c r="L311" s="21"/>
      <x:c r="M311" s="21"/>
      <x:c r="N311" s="21"/>
      <x:c r="O311" s="43"/>
      <x:c r="P311" s="43"/>
      <x:c r="Q311" s="25"/>
      <x:c r="R311" s="25"/>
      <x:c r="S311" s="39" t="str">
        <x:f>IF(A311="","",SUMIF('07_DUNG_CHO'!$B$6:$B$505,A311,'07_DUNG_CHO'!$E$6:$E$505))</x:f>
      </x:c>
      <x:c r="T311" s="39" t="str">
        <x:f>IF(A311="","",IF(N311="SETUP",0,MAX(0,(P311-O311)*1440-Q311-S311)))</x:f>
      </x:c>
      <x:c r="U311" s="25"/>
      <x:c r="V311" s="25"/>
      <x:c r="W311" s="25"/>
      <x:c r="X311" s="25"/>
      <x:c r="Y311" s="25"/>
      <x:c r="Z311" s="25"/>
      <x:c r="AA311" s="39" t="str">
        <x:f>IF(A311="","",U311-SUM(V311,X311:Z311))</x:f>
      </x:c>
      <x:c r="AB311" s="39" t="str">
        <x:f>IF(A311="","",IF(N311="SETUP",IFERROR(INDEX('04_KE_HOACH_CD'!$K$6:$K$305,MATCH(K311,'04_KE_HOACH_CD'!$G$6:$G$305,0)),0),IF(OR(N311="PRODUCTION",N311="REWORK"),IFERROR(INDEX('04_KE_HOACH_CD'!$L$6:$L$305,MATCH(K311,'04_KE_HOACH_CD'!$G$6:$G$305,0))*V311,0),0)))</x:f>
      </x:c>
      <x:c r="AC311" s="39" t="str">
        <x:f>IF(A311="","",MAX(0,(P311-O311)*1440-Q311))</x:f>
      </x:c>
      <x:c r="AD311" s="37" t="str">
        <x:f>IF(A311="","",IFERROR(AB311/AC311,0))</x:f>
      </x:c>
      <x:c r="AE311" s="33" t="str">
        <x:f>IF(A311="","",AC311/60*SUMIF(DM_NHAN_SU!$A$6:$A$105,L311,DM_NHAN_SU!$E$6:$E$105))</x:f>
      </x:c>
      <x:c r="AF311" s="33" t="str">
        <x:f>IF(A311="","",AC311/60*SUMIF(DM_MAY!$A$6:$A$105,M311,DM_MAY!$F$6:$F$105))</x:f>
      </x:c>
      <x:c r="AG311" s="33" t="str">
        <x:f>IF(A311="","",AE311+AF311)</x:f>
      </x:c>
      <x:c r="AH311" s="21"/>
      <x:c r="AI311" s="29" t="str">
        <x:f>IF(A311="","",IF(OR(B311="",D311="",E311="",I311="",L311="",N311="",O311="",P311=""),"Thiếu dữ liệu",IF(AND(OR(N311="PRODUCTION",N311="REWORK",N311="SETUP"),M311=""),"Thiếu máy",IF(P311&lt;O311,"Sai thời gian",IF(AA311&lt;&gt;0,"Sai cân đối SL","Hợp lệ")))))</x:f>
      </x:c>
      <x:c r="AJ311" s="21"/>
    </x:row>
    <x:row r="312">
      <x:c r="A312" s="21"/>
      <x:c r="B312" s="35"/>
      <x:c r="C312" s="21"/>
      <x:c r="D312" s="21"/>
      <x:c r="E312" s="21"/>
      <x:c r="F312" s="21"/>
      <x:c r="G312" s="21"/>
      <x:c r="H312" s="29" t="str">
        <x:f>IF(OR(D312="",E312=""),"",D312&amp;"|"&amp;E312&amp;"|"&amp;IF(F312="","00",F312)&amp;"|"&amp;IF(G312="","01",G312))</x:f>
      </x:c>
      <x:c r="I312" s="21"/>
      <x:c r="J312" s="29" t="str">
        <x:f>IF(K312="","",IFERROR(INDEX('04_KE_HOACH_CD'!$I$6:$I$305,MATCH(K312,'04_KE_HOACH_CD'!$G$6:$G$305,0)),""))</x:f>
      </x:c>
      <x:c r="K312" s="29" t="str">
        <x:f>IF(OR(H312="",I312=""),"",H312&amp;"|"&amp;TEXT(I312,"000"))</x:f>
      </x:c>
      <x:c r="L312" s="21"/>
      <x:c r="M312" s="21"/>
      <x:c r="N312" s="21"/>
      <x:c r="O312" s="43"/>
      <x:c r="P312" s="43"/>
      <x:c r="Q312" s="25"/>
      <x:c r="R312" s="25"/>
      <x:c r="S312" s="39" t="str">
        <x:f>IF(A312="","",SUMIF('07_DUNG_CHO'!$B$6:$B$505,A312,'07_DUNG_CHO'!$E$6:$E$505))</x:f>
      </x:c>
      <x:c r="T312" s="39" t="str">
        <x:f>IF(A312="","",IF(N312="SETUP",0,MAX(0,(P312-O312)*1440-Q312-S312)))</x:f>
      </x:c>
      <x:c r="U312" s="25"/>
      <x:c r="V312" s="25"/>
      <x:c r="W312" s="25"/>
      <x:c r="X312" s="25"/>
      <x:c r="Y312" s="25"/>
      <x:c r="Z312" s="25"/>
      <x:c r="AA312" s="39" t="str">
        <x:f>IF(A312="","",U312-SUM(V312,X312:Z312))</x:f>
      </x:c>
      <x:c r="AB312" s="39" t="str">
        <x:f>IF(A312="","",IF(N312="SETUP",IFERROR(INDEX('04_KE_HOACH_CD'!$K$6:$K$305,MATCH(K312,'04_KE_HOACH_CD'!$G$6:$G$305,0)),0),IF(OR(N312="PRODUCTION",N312="REWORK"),IFERROR(INDEX('04_KE_HOACH_CD'!$L$6:$L$305,MATCH(K312,'04_KE_HOACH_CD'!$G$6:$G$305,0))*V312,0),0)))</x:f>
      </x:c>
      <x:c r="AC312" s="39" t="str">
        <x:f>IF(A312="","",MAX(0,(P312-O312)*1440-Q312))</x:f>
      </x:c>
      <x:c r="AD312" s="37" t="str">
        <x:f>IF(A312="","",IFERROR(AB312/AC312,0))</x:f>
      </x:c>
      <x:c r="AE312" s="33" t="str">
        <x:f>IF(A312="","",AC312/60*SUMIF(DM_NHAN_SU!$A$6:$A$105,L312,DM_NHAN_SU!$E$6:$E$105))</x:f>
      </x:c>
      <x:c r="AF312" s="33" t="str">
        <x:f>IF(A312="","",AC312/60*SUMIF(DM_MAY!$A$6:$A$105,M312,DM_MAY!$F$6:$F$105))</x:f>
      </x:c>
      <x:c r="AG312" s="33" t="str">
        <x:f>IF(A312="","",AE312+AF312)</x:f>
      </x:c>
      <x:c r="AH312" s="21"/>
      <x:c r="AI312" s="29" t="str">
        <x:f>IF(A312="","",IF(OR(B312="",D312="",E312="",I312="",L312="",N312="",O312="",P312=""),"Thiếu dữ liệu",IF(AND(OR(N312="PRODUCTION",N312="REWORK",N312="SETUP"),M312=""),"Thiếu máy",IF(P312&lt;O312,"Sai thời gian",IF(AA312&lt;&gt;0,"Sai cân đối SL","Hợp lệ")))))</x:f>
      </x:c>
      <x:c r="AJ312" s="21"/>
    </x:row>
    <x:row r="313">
      <x:c r="A313" s="21"/>
      <x:c r="B313" s="35"/>
      <x:c r="C313" s="21"/>
      <x:c r="D313" s="21"/>
      <x:c r="E313" s="21"/>
      <x:c r="F313" s="21"/>
      <x:c r="G313" s="21"/>
      <x:c r="H313" s="29" t="str">
        <x:f>IF(OR(D313="",E313=""),"",D313&amp;"|"&amp;E313&amp;"|"&amp;IF(F313="","00",F313)&amp;"|"&amp;IF(G313="","01",G313))</x:f>
      </x:c>
      <x:c r="I313" s="21"/>
      <x:c r="J313" s="29" t="str">
        <x:f>IF(K313="","",IFERROR(INDEX('04_KE_HOACH_CD'!$I$6:$I$305,MATCH(K313,'04_KE_HOACH_CD'!$G$6:$G$305,0)),""))</x:f>
      </x:c>
      <x:c r="K313" s="29" t="str">
        <x:f>IF(OR(H313="",I313=""),"",H313&amp;"|"&amp;TEXT(I313,"000"))</x:f>
      </x:c>
      <x:c r="L313" s="21"/>
      <x:c r="M313" s="21"/>
      <x:c r="N313" s="21"/>
      <x:c r="O313" s="43"/>
      <x:c r="P313" s="43"/>
      <x:c r="Q313" s="25"/>
      <x:c r="R313" s="25"/>
      <x:c r="S313" s="39" t="str">
        <x:f>IF(A313="","",SUMIF('07_DUNG_CHO'!$B$6:$B$505,A313,'07_DUNG_CHO'!$E$6:$E$505))</x:f>
      </x:c>
      <x:c r="T313" s="39" t="str">
        <x:f>IF(A313="","",IF(N313="SETUP",0,MAX(0,(P313-O313)*1440-Q313-S313)))</x:f>
      </x:c>
      <x:c r="U313" s="25"/>
      <x:c r="V313" s="25"/>
      <x:c r="W313" s="25"/>
      <x:c r="X313" s="25"/>
      <x:c r="Y313" s="25"/>
      <x:c r="Z313" s="25"/>
      <x:c r="AA313" s="39" t="str">
        <x:f>IF(A313="","",U313-SUM(V313,X313:Z313))</x:f>
      </x:c>
      <x:c r="AB313" s="39" t="str">
        <x:f>IF(A313="","",IF(N313="SETUP",IFERROR(INDEX('04_KE_HOACH_CD'!$K$6:$K$305,MATCH(K313,'04_KE_HOACH_CD'!$G$6:$G$305,0)),0),IF(OR(N313="PRODUCTION",N313="REWORK"),IFERROR(INDEX('04_KE_HOACH_CD'!$L$6:$L$305,MATCH(K313,'04_KE_HOACH_CD'!$G$6:$G$305,0))*V313,0),0)))</x:f>
      </x:c>
      <x:c r="AC313" s="39" t="str">
        <x:f>IF(A313="","",MAX(0,(P313-O313)*1440-Q313))</x:f>
      </x:c>
      <x:c r="AD313" s="37" t="str">
        <x:f>IF(A313="","",IFERROR(AB313/AC313,0))</x:f>
      </x:c>
      <x:c r="AE313" s="33" t="str">
        <x:f>IF(A313="","",AC313/60*SUMIF(DM_NHAN_SU!$A$6:$A$105,L313,DM_NHAN_SU!$E$6:$E$105))</x:f>
      </x:c>
      <x:c r="AF313" s="33" t="str">
        <x:f>IF(A313="","",AC313/60*SUMIF(DM_MAY!$A$6:$A$105,M313,DM_MAY!$F$6:$F$105))</x:f>
      </x:c>
      <x:c r="AG313" s="33" t="str">
        <x:f>IF(A313="","",AE313+AF313)</x:f>
      </x:c>
      <x:c r="AH313" s="21"/>
      <x:c r="AI313" s="29" t="str">
        <x:f>IF(A313="","",IF(OR(B313="",D313="",E313="",I313="",L313="",N313="",O313="",P313=""),"Thiếu dữ liệu",IF(AND(OR(N313="PRODUCTION",N313="REWORK",N313="SETUP"),M313=""),"Thiếu máy",IF(P313&lt;O313,"Sai thời gian",IF(AA313&lt;&gt;0,"Sai cân đối SL","Hợp lệ")))))</x:f>
      </x:c>
      <x:c r="AJ313" s="21"/>
    </x:row>
    <x:row r="314">
      <x:c r="A314" s="21"/>
      <x:c r="B314" s="35"/>
      <x:c r="C314" s="21"/>
      <x:c r="D314" s="21"/>
      <x:c r="E314" s="21"/>
      <x:c r="F314" s="21"/>
      <x:c r="G314" s="21"/>
      <x:c r="H314" s="29" t="str">
        <x:f>IF(OR(D314="",E314=""),"",D314&amp;"|"&amp;E314&amp;"|"&amp;IF(F314="","00",F314)&amp;"|"&amp;IF(G314="","01",G314))</x:f>
      </x:c>
      <x:c r="I314" s="21"/>
      <x:c r="J314" s="29" t="str">
        <x:f>IF(K314="","",IFERROR(INDEX('04_KE_HOACH_CD'!$I$6:$I$305,MATCH(K314,'04_KE_HOACH_CD'!$G$6:$G$305,0)),""))</x:f>
      </x:c>
      <x:c r="K314" s="29" t="str">
        <x:f>IF(OR(H314="",I314=""),"",H314&amp;"|"&amp;TEXT(I314,"000"))</x:f>
      </x:c>
      <x:c r="L314" s="21"/>
      <x:c r="M314" s="21"/>
      <x:c r="N314" s="21"/>
      <x:c r="O314" s="43"/>
      <x:c r="P314" s="43"/>
      <x:c r="Q314" s="25"/>
      <x:c r="R314" s="25"/>
      <x:c r="S314" s="39" t="str">
        <x:f>IF(A314="","",SUMIF('07_DUNG_CHO'!$B$6:$B$505,A314,'07_DUNG_CHO'!$E$6:$E$505))</x:f>
      </x:c>
      <x:c r="T314" s="39" t="str">
        <x:f>IF(A314="","",IF(N314="SETUP",0,MAX(0,(P314-O314)*1440-Q314-S314)))</x:f>
      </x:c>
      <x:c r="U314" s="25"/>
      <x:c r="V314" s="25"/>
      <x:c r="W314" s="25"/>
      <x:c r="X314" s="25"/>
      <x:c r="Y314" s="25"/>
      <x:c r="Z314" s="25"/>
      <x:c r="AA314" s="39" t="str">
        <x:f>IF(A314="","",U314-SUM(V314,X314:Z314))</x:f>
      </x:c>
      <x:c r="AB314" s="39" t="str">
        <x:f>IF(A314="","",IF(N314="SETUP",IFERROR(INDEX('04_KE_HOACH_CD'!$K$6:$K$305,MATCH(K314,'04_KE_HOACH_CD'!$G$6:$G$305,0)),0),IF(OR(N314="PRODUCTION",N314="REWORK"),IFERROR(INDEX('04_KE_HOACH_CD'!$L$6:$L$305,MATCH(K314,'04_KE_HOACH_CD'!$G$6:$G$305,0))*V314,0),0)))</x:f>
      </x:c>
      <x:c r="AC314" s="39" t="str">
        <x:f>IF(A314="","",MAX(0,(P314-O314)*1440-Q314))</x:f>
      </x:c>
      <x:c r="AD314" s="37" t="str">
        <x:f>IF(A314="","",IFERROR(AB314/AC314,0))</x:f>
      </x:c>
      <x:c r="AE314" s="33" t="str">
        <x:f>IF(A314="","",AC314/60*SUMIF(DM_NHAN_SU!$A$6:$A$105,L314,DM_NHAN_SU!$E$6:$E$105))</x:f>
      </x:c>
      <x:c r="AF314" s="33" t="str">
        <x:f>IF(A314="","",AC314/60*SUMIF(DM_MAY!$A$6:$A$105,M314,DM_MAY!$F$6:$F$105))</x:f>
      </x:c>
      <x:c r="AG314" s="33" t="str">
        <x:f>IF(A314="","",AE314+AF314)</x:f>
      </x:c>
      <x:c r="AH314" s="21"/>
      <x:c r="AI314" s="29" t="str">
        <x:f>IF(A314="","",IF(OR(B314="",D314="",E314="",I314="",L314="",N314="",O314="",P314=""),"Thiếu dữ liệu",IF(AND(OR(N314="PRODUCTION",N314="REWORK",N314="SETUP"),M314=""),"Thiếu máy",IF(P314&lt;O314,"Sai thời gian",IF(AA314&lt;&gt;0,"Sai cân đối SL","Hợp lệ")))))</x:f>
      </x:c>
      <x:c r="AJ314" s="21"/>
    </x:row>
    <x:row r="315">
      <x:c r="A315" s="21"/>
      <x:c r="B315" s="35"/>
      <x:c r="C315" s="21"/>
      <x:c r="D315" s="21"/>
      <x:c r="E315" s="21"/>
      <x:c r="F315" s="21"/>
      <x:c r="G315" s="21"/>
      <x:c r="H315" s="29" t="str">
        <x:f>IF(OR(D315="",E315=""),"",D315&amp;"|"&amp;E315&amp;"|"&amp;IF(F315="","00",F315)&amp;"|"&amp;IF(G315="","01",G315))</x:f>
      </x:c>
      <x:c r="I315" s="21"/>
      <x:c r="J315" s="29" t="str">
        <x:f>IF(K315="","",IFERROR(INDEX('04_KE_HOACH_CD'!$I$6:$I$305,MATCH(K315,'04_KE_HOACH_CD'!$G$6:$G$305,0)),""))</x:f>
      </x:c>
      <x:c r="K315" s="29" t="str">
        <x:f>IF(OR(H315="",I315=""),"",H315&amp;"|"&amp;TEXT(I315,"000"))</x:f>
      </x:c>
      <x:c r="L315" s="21"/>
      <x:c r="M315" s="21"/>
      <x:c r="N315" s="21"/>
      <x:c r="O315" s="43"/>
      <x:c r="P315" s="43"/>
      <x:c r="Q315" s="25"/>
      <x:c r="R315" s="25"/>
      <x:c r="S315" s="39" t="str">
        <x:f>IF(A315="","",SUMIF('07_DUNG_CHO'!$B$6:$B$505,A315,'07_DUNG_CHO'!$E$6:$E$505))</x:f>
      </x:c>
      <x:c r="T315" s="39" t="str">
        <x:f>IF(A315="","",IF(N315="SETUP",0,MAX(0,(P315-O315)*1440-Q315-S315)))</x:f>
      </x:c>
      <x:c r="U315" s="25"/>
      <x:c r="V315" s="25"/>
      <x:c r="W315" s="25"/>
      <x:c r="X315" s="25"/>
      <x:c r="Y315" s="25"/>
      <x:c r="Z315" s="25"/>
      <x:c r="AA315" s="39" t="str">
        <x:f>IF(A315="","",U315-SUM(V315,X315:Z315))</x:f>
      </x:c>
      <x:c r="AB315" s="39" t="str">
        <x:f>IF(A315="","",IF(N315="SETUP",IFERROR(INDEX('04_KE_HOACH_CD'!$K$6:$K$305,MATCH(K315,'04_KE_HOACH_CD'!$G$6:$G$305,0)),0),IF(OR(N315="PRODUCTION",N315="REWORK"),IFERROR(INDEX('04_KE_HOACH_CD'!$L$6:$L$305,MATCH(K315,'04_KE_HOACH_CD'!$G$6:$G$305,0))*V315,0),0)))</x:f>
      </x:c>
      <x:c r="AC315" s="39" t="str">
        <x:f>IF(A315="","",MAX(0,(P315-O315)*1440-Q315))</x:f>
      </x:c>
      <x:c r="AD315" s="37" t="str">
        <x:f>IF(A315="","",IFERROR(AB315/AC315,0))</x:f>
      </x:c>
      <x:c r="AE315" s="33" t="str">
        <x:f>IF(A315="","",AC315/60*SUMIF(DM_NHAN_SU!$A$6:$A$105,L315,DM_NHAN_SU!$E$6:$E$105))</x:f>
      </x:c>
      <x:c r="AF315" s="33" t="str">
        <x:f>IF(A315="","",AC315/60*SUMIF(DM_MAY!$A$6:$A$105,M315,DM_MAY!$F$6:$F$105))</x:f>
      </x:c>
      <x:c r="AG315" s="33" t="str">
        <x:f>IF(A315="","",AE315+AF315)</x:f>
      </x:c>
      <x:c r="AH315" s="21"/>
      <x:c r="AI315" s="29" t="str">
        <x:f>IF(A315="","",IF(OR(B315="",D315="",E315="",I315="",L315="",N315="",O315="",P315=""),"Thiếu dữ liệu",IF(AND(OR(N315="PRODUCTION",N315="REWORK",N315="SETUP"),M315=""),"Thiếu máy",IF(P315&lt;O315,"Sai thời gian",IF(AA315&lt;&gt;0,"Sai cân đối SL","Hợp lệ")))))</x:f>
      </x:c>
      <x:c r="AJ315" s="21"/>
    </x:row>
    <x:row r="316">
      <x:c r="A316" s="21"/>
      <x:c r="B316" s="35"/>
      <x:c r="C316" s="21"/>
      <x:c r="D316" s="21"/>
      <x:c r="E316" s="21"/>
      <x:c r="F316" s="21"/>
      <x:c r="G316" s="21"/>
      <x:c r="H316" s="29" t="str">
        <x:f>IF(OR(D316="",E316=""),"",D316&amp;"|"&amp;E316&amp;"|"&amp;IF(F316="","00",F316)&amp;"|"&amp;IF(G316="","01",G316))</x:f>
      </x:c>
      <x:c r="I316" s="21"/>
      <x:c r="J316" s="29" t="str">
        <x:f>IF(K316="","",IFERROR(INDEX('04_KE_HOACH_CD'!$I$6:$I$305,MATCH(K316,'04_KE_HOACH_CD'!$G$6:$G$305,0)),""))</x:f>
      </x:c>
      <x:c r="K316" s="29" t="str">
        <x:f>IF(OR(H316="",I316=""),"",H316&amp;"|"&amp;TEXT(I316,"000"))</x:f>
      </x:c>
      <x:c r="L316" s="21"/>
      <x:c r="M316" s="21"/>
      <x:c r="N316" s="21"/>
      <x:c r="O316" s="43"/>
      <x:c r="P316" s="43"/>
      <x:c r="Q316" s="25"/>
      <x:c r="R316" s="25"/>
      <x:c r="S316" s="39" t="str">
        <x:f>IF(A316="","",SUMIF('07_DUNG_CHO'!$B$6:$B$505,A316,'07_DUNG_CHO'!$E$6:$E$505))</x:f>
      </x:c>
      <x:c r="T316" s="39" t="str">
        <x:f>IF(A316="","",IF(N316="SETUP",0,MAX(0,(P316-O316)*1440-Q316-S316)))</x:f>
      </x:c>
      <x:c r="U316" s="25"/>
      <x:c r="V316" s="25"/>
      <x:c r="W316" s="25"/>
      <x:c r="X316" s="25"/>
      <x:c r="Y316" s="25"/>
      <x:c r="Z316" s="25"/>
      <x:c r="AA316" s="39" t="str">
        <x:f>IF(A316="","",U316-SUM(V316,X316:Z316))</x:f>
      </x:c>
      <x:c r="AB316" s="39" t="str">
        <x:f>IF(A316="","",IF(N316="SETUP",IFERROR(INDEX('04_KE_HOACH_CD'!$K$6:$K$305,MATCH(K316,'04_KE_HOACH_CD'!$G$6:$G$305,0)),0),IF(OR(N316="PRODUCTION",N316="REWORK"),IFERROR(INDEX('04_KE_HOACH_CD'!$L$6:$L$305,MATCH(K316,'04_KE_HOACH_CD'!$G$6:$G$305,0))*V316,0),0)))</x:f>
      </x:c>
      <x:c r="AC316" s="39" t="str">
        <x:f>IF(A316="","",MAX(0,(P316-O316)*1440-Q316))</x:f>
      </x:c>
      <x:c r="AD316" s="37" t="str">
        <x:f>IF(A316="","",IFERROR(AB316/AC316,0))</x:f>
      </x:c>
      <x:c r="AE316" s="33" t="str">
        <x:f>IF(A316="","",AC316/60*SUMIF(DM_NHAN_SU!$A$6:$A$105,L316,DM_NHAN_SU!$E$6:$E$105))</x:f>
      </x:c>
      <x:c r="AF316" s="33" t="str">
        <x:f>IF(A316="","",AC316/60*SUMIF(DM_MAY!$A$6:$A$105,M316,DM_MAY!$F$6:$F$105))</x:f>
      </x:c>
      <x:c r="AG316" s="33" t="str">
        <x:f>IF(A316="","",AE316+AF316)</x:f>
      </x:c>
      <x:c r="AH316" s="21"/>
      <x:c r="AI316" s="29" t="str">
        <x:f>IF(A316="","",IF(OR(B316="",D316="",E316="",I316="",L316="",N316="",O316="",P316=""),"Thiếu dữ liệu",IF(AND(OR(N316="PRODUCTION",N316="REWORK",N316="SETUP"),M316=""),"Thiếu máy",IF(P316&lt;O316,"Sai thời gian",IF(AA316&lt;&gt;0,"Sai cân đối SL","Hợp lệ")))))</x:f>
      </x:c>
      <x:c r="AJ316" s="21"/>
    </x:row>
    <x:row r="317">
      <x:c r="A317" s="21"/>
      <x:c r="B317" s="35"/>
      <x:c r="C317" s="21"/>
      <x:c r="D317" s="21"/>
      <x:c r="E317" s="21"/>
      <x:c r="F317" s="21"/>
      <x:c r="G317" s="21"/>
      <x:c r="H317" s="29" t="str">
        <x:f>IF(OR(D317="",E317=""),"",D317&amp;"|"&amp;E317&amp;"|"&amp;IF(F317="","00",F317)&amp;"|"&amp;IF(G317="","01",G317))</x:f>
      </x:c>
      <x:c r="I317" s="21"/>
      <x:c r="J317" s="29" t="str">
        <x:f>IF(K317="","",IFERROR(INDEX('04_KE_HOACH_CD'!$I$6:$I$305,MATCH(K317,'04_KE_HOACH_CD'!$G$6:$G$305,0)),""))</x:f>
      </x:c>
      <x:c r="K317" s="29" t="str">
        <x:f>IF(OR(H317="",I317=""),"",H317&amp;"|"&amp;TEXT(I317,"000"))</x:f>
      </x:c>
      <x:c r="L317" s="21"/>
      <x:c r="M317" s="21"/>
      <x:c r="N317" s="21"/>
      <x:c r="O317" s="43"/>
      <x:c r="P317" s="43"/>
      <x:c r="Q317" s="25"/>
      <x:c r="R317" s="25"/>
      <x:c r="S317" s="39" t="str">
        <x:f>IF(A317="","",SUMIF('07_DUNG_CHO'!$B$6:$B$505,A317,'07_DUNG_CHO'!$E$6:$E$505))</x:f>
      </x:c>
      <x:c r="T317" s="39" t="str">
        <x:f>IF(A317="","",IF(N317="SETUP",0,MAX(0,(P317-O317)*1440-Q317-S317)))</x:f>
      </x:c>
      <x:c r="U317" s="25"/>
      <x:c r="V317" s="25"/>
      <x:c r="W317" s="25"/>
      <x:c r="X317" s="25"/>
      <x:c r="Y317" s="25"/>
      <x:c r="Z317" s="25"/>
      <x:c r="AA317" s="39" t="str">
        <x:f>IF(A317="","",U317-SUM(V317,X317:Z317))</x:f>
      </x:c>
      <x:c r="AB317" s="39" t="str">
        <x:f>IF(A317="","",IF(N317="SETUP",IFERROR(INDEX('04_KE_HOACH_CD'!$K$6:$K$305,MATCH(K317,'04_KE_HOACH_CD'!$G$6:$G$305,0)),0),IF(OR(N317="PRODUCTION",N317="REWORK"),IFERROR(INDEX('04_KE_HOACH_CD'!$L$6:$L$305,MATCH(K317,'04_KE_HOACH_CD'!$G$6:$G$305,0))*V317,0),0)))</x:f>
      </x:c>
      <x:c r="AC317" s="39" t="str">
        <x:f>IF(A317="","",MAX(0,(P317-O317)*1440-Q317))</x:f>
      </x:c>
      <x:c r="AD317" s="37" t="str">
        <x:f>IF(A317="","",IFERROR(AB317/AC317,0))</x:f>
      </x:c>
      <x:c r="AE317" s="33" t="str">
        <x:f>IF(A317="","",AC317/60*SUMIF(DM_NHAN_SU!$A$6:$A$105,L317,DM_NHAN_SU!$E$6:$E$105))</x:f>
      </x:c>
      <x:c r="AF317" s="33" t="str">
        <x:f>IF(A317="","",AC317/60*SUMIF(DM_MAY!$A$6:$A$105,M317,DM_MAY!$F$6:$F$105))</x:f>
      </x:c>
      <x:c r="AG317" s="33" t="str">
        <x:f>IF(A317="","",AE317+AF317)</x:f>
      </x:c>
      <x:c r="AH317" s="21"/>
      <x:c r="AI317" s="29" t="str">
        <x:f>IF(A317="","",IF(OR(B317="",D317="",E317="",I317="",L317="",N317="",O317="",P317=""),"Thiếu dữ liệu",IF(AND(OR(N317="PRODUCTION",N317="REWORK",N317="SETUP"),M317=""),"Thiếu máy",IF(P317&lt;O317,"Sai thời gian",IF(AA317&lt;&gt;0,"Sai cân đối SL","Hợp lệ")))))</x:f>
      </x:c>
      <x:c r="AJ317" s="21"/>
    </x:row>
    <x:row r="318">
      <x:c r="A318" s="21"/>
      <x:c r="B318" s="35"/>
      <x:c r="C318" s="21"/>
      <x:c r="D318" s="21"/>
      <x:c r="E318" s="21"/>
      <x:c r="F318" s="21"/>
      <x:c r="G318" s="21"/>
      <x:c r="H318" s="29" t="str">
        <x:f>IF(OR(D318="",E318=""),"",D318&amp;"|"&amp;E318&amp;"|"&amp;IF(F318="","00",F318)&amp;"|"&amp;IF(G318="","01",G318))</x:f>
      </x:c>
      <x:c r="I318" s="21"/>
      <x:c r="J318" s="29" t="str">
        <x:f>IF(K318="","",IFERROR(INDEX('04_KE_HOACH_CD'!$I$6:$I$305,MATCH(K318,'04_KE_HOACH_CD'!$G$6:$G$305,0)),""))</x:f>
      </x:c>
      <x:c r="K318" s="29" t="str">
        <x:f>IF(OR(H318="",I318=""),"",H318&amp;"|"&amp;TEXT(I318,"000"))</x:f>
      </x:c>
      <x:c r="L318" s="21"/>
      <x:c r="M318" s="21"/>
      <x:c r="N318" s="21"/>
      <x:c r="O318" s="43"/>
      <x:c r="P318" s="43"/>
      <x:c r="Q318" s="25"/>
      <x:c r="R318" s="25"/>
      <x:c r="S318" s="39" t="str">
        <x:f>IF(A318="","",SUMIF('07_DUNG_CHO'!$B$6:$B$505,A318,'07_DUNG_CHO'!$E$6:$E$505))</x:f>
      </x:c>
      <x:c r="T318" s="39" t="str">
        <x:f>IF(A318="","",IF(N318="SETUP",0,MAX(0,(P318-O318)*1440-Q318-S318)))</x:f>
      </x:c>
      <x:c r="U318" s="25"/>
      <x:c r="V318" s="25"/>
      <x:c r="W318" s="25"/>
      <x:c r="X318" s="25"/>
      <x:c r="Y318" s="25"/>
      <x:c r="Z318" s="25"/>
      <x:c r="AA318" s="39" t="str">
        <x:f>IF(A318="","",U318-SUM(V318,X318:Z318))</x:f>
      </x:c>
      <x:c r="AB318" s="39" t="str">
        <x:f>IF(A318="","",IF(N318="SETUP",IFERROR(INDEX('04_KE_HOACH_CD'!$K$6:$K$305,MATCH(K318,'04_KE_HOACH_CD'!$G$6:$G$305,0)),0),IF(OR(N318="PRODUCTION",N318="REWORK"),IFERROR(INDEX('04_KE_HOACH_CD'!$L$6:$L$305,MATCH(K318,'04_KE_HOACH_CD'!$G$6:$G$305,0))*V318,0),0)))</x:f>
      </x:c>
      <x:c r="AC318" s="39" t="str">
        <x:f>IF(A318="","",MAX(0,(P318-O318)*1440-Q318))</x:f>
      </x:c>
      <x:c r="AD318" s="37" t="str">
        <x:f>IF(A318="","",IFERROR(AB318/AC318,0))</x:f>
      </x:c>
      <x:c r="AE318" s="33" t="str">
        <x:f>IF(A318="","",AC318/60*SUMIF(DM_NHAN_SU!$A$6:$A$105,L318,DM_NHAN_SU!$E$6:$E$105))</x:f>
      </x:c>
      <x:c r="AF318" s="33" t="str">
        <x:f>IF(A318="","",AC318/60*SUMIF(DM_MAY!$A$6:$A$105,M318,DM_MAY!$F$6:$F$105))</x:f>
      </x:c>
      <x:c r="AG318" s="33" t="str">
        <x:f>IF(A318="","",AE318+AF318)</x:f>
      </x:c>
      <x:c r="AH318" s="21"/>
      <x:c r="AI318" s="29" t="str">
        <x:f>IF(A318="","",IF(OR(B318="",D318="",E318="",I318="",L318="",N318="",O318="",P318=""),"Thiếu dữ liệu",IF(AND(OR(N318="PRODUCTION",N318="REWORK",N318="SETUP"),M318=""),"Thiếu máy",IF(P318&lt;O318,"Sai thời gian",IF(AA318&lt;&gt;0,"Sai cân đối SL","Hợp lệ")))))</x:f>
      </x:c>
      <x:c r="AJ318" s="21"/>
    </x:row>
    <x:row r="319">
      <x:c r="A319" s="21"/>
      <x:c r="B319" s="35"/>
      <x:c r="C319" s="21"/>
      <x:c r="D319" s="21"/>
      <x:c r="E319" s="21"/>
      <x:c r="F319" s="21"/>
      <x:c r="G319" s="21"/>
      <x:c r="H319" s="29" t="str">
        <x:f>IF(OR(D319="",E319=""),"",D319&amp;"|"&amp;E319&amp;"|"&amp;IF(F319="","00",F319)&amp;"|"&amp;IF(G319="","01",G319))</x:f>
      </x:c>
      <x:c r="I319" s="21"/>
      <x:c r="J319" s="29" t="str">
        <x:f>IF(K319="","",IFERROR(INDEX('04_KE_HOACH_CD'!$I$6:$I$305,MATCH(K319,'04_KE_HOACH_CD'!$G$6:$G$305,0)),""))</x:f>
      </x:c>
      <x:c r="K319" s="29" t="str">
        <x:f>IF(OR(H319="",I319=""),"",H319&amp;"|"&amp;TEXT(I319,"000"))</x:f>
      </x:c>
      <x:c r="L319" s="21"/>
      <x:c r="M319" s="21"/>
      <x:c r="N319" s="21"/>
      <x:c r="O319" s="43"/>
      <x:c r="P319" s="43"/>
      <x:c r="Q319" s="25"/>
      <x:c r="R319" s="25"/>
      <x:c r="S319" s="39" t="str">
        <x:f>IF(A319="","",SUMIF('07_DUNG_CHO'!$B$6:$B$505,A319,'07_DUNG_CHO'!$E$6:$E$505))</x:f>
      </x:c>
      <x:c r="T319" s="39" t="str">
        <x:f>IF(A319="","",IF(N319="SETUP",0,MAX(0,(P319-O319)*1440-Q319-S319)))</x:f>
      </x:c>
      <x:c r="U319" s="25"/>
      <x:c r="V319" s="25"/>
      <x:c r="W319" s="25"/>
      <x:c r="X319" s="25"/>
      <x:c r="Y319" s="25"/>
      <x:c r="Z319" s="25"/>
      <x:c r="AA319" s="39" t="str">
        <x:f>IF(A319="","",U319-SUM(V319,X319:Z319))</x:f>
      </x:c>
      <x:c r="AB319" s="39" t="str">
        <x:f>IF(A319="","",IF(N319="SETUP",IFERROR(INDEX('04_KE_HOACH_CD'!$K$6:$K$305,MATCH(K319,'04_KE_HOACH_CD'!$G$6:$G$305,0)),0),IF(OR(N319="PRODUCTION",N319="REWORK"),IFERROR(INDEX('04_KE_HOACH_CD'!$L$6:$L$305,MATCH(K319,'04_KE_HOACH_CD'!$G$6:$G$305,0))*V319,0),0)))</x:f>
      </x:c>
      <x:c r="AC319" s="39" t="str">
        <x:f>IF(A319="","",MAX(0,(P319-O319)*1440-Q319))</x:f>
      </x:c>
      <x:c r="AD319" s="37" t="str">
        <x:f>IF(A319="","",IFERROR(AB319/AC319,0))</x:f>
      </x:c>
      <x:c r="AE319" s="33" t="str">
        <x:f>IF(A319="","",AC319/60*SUMIF(DM_NHAN_SU!$A$6:$A$105,L319,DM_NHAN_SU!$E$6:$E$105))</x:f>
      </x:c>
      <x:c r="AF319" s="33" t="str">
        <x:f>IF(A319="","",AC319/60*SUMIF(DM_MAY!$A$6:$A$105,M319,DM_MAY!$F$6:$F$105))</x:f>
      </x:c>
      <x:c r="AG319" s="33" t="str">
        <x:f>IF(A319="","",AE319+AF319)</x:f>
      </x:c>
      <x:c r="AH319" s="21"/>
      <x:c r="AI319" s="29" t="str">
        <x:f>IF(A319="","",IF(OR(B319="",D319="",E319="",I319="",L319="",N319="",O319="",P319=""),"Thiếu dữ liệu",IF(AND(OR(N319="PRODUCTION",N319="REWORK",N319="SETUP"),M319=""),"Thiếu máy",IF(P319&lt;O319,"Sai thời gian",IF(AA319&lt;&gt;0,"Sai cân đối SL","Hợp lệ")))))</x:f>
      </x:c>
      <x:c r="AJ319" s="21"/>
    </x:row>
    <x:row r="320">
      <x:c r="A320" s="21"/>
      <x:c r="B320" s="35"/>
      <x:c r="C320" s="21"/>
      <x:c r="D320" s="21"/>
      <x:c r="E320" s="21"/>
      <x:c r="F320" s="21"/>
      <x:c r="G320" s="21"/>
      <x:c r="H320" s="29" t="str">
        <x:f>IF(OR(D320="",E320=""),"",D320&amp;"|"&amp;E320&amp;"|"&amp;IF(F320="","00",F320)&amp;"|"&amp;IF(G320="","01",G320))</x:f>
      </x:c>
      <x:c r="I320" s="21"/>
      <x:c r="J320" s="29" t="str">
        <x:f>IF(K320="","",IFERROR(INDEX('04_KE_HOACH_CD'!$I$6:$I$305,MATCH(K320,'04_KE_HOACH_CD'!$G$6:$G$305,0)),""))</x:f>
      </x:c>
      <x:c r="K320" s="29" t="str">
        <x:f>IF(OR(H320="",I320=""),"",H320&amp;"|"&amp;TEXT(I320,"000"))</x:f>
      </x:c>
      <x:c r="L320" s="21"/>
      <x:c r="M320" s="21"/>
      <x:c r="N320" s="21"/>
      <x:c r="O320" s="43"/>
      <x:c r="P320" s="43"/>
      <x:c r="Q320" s="25"/>
      <x:c r="R320" s="25"/>
      <x:c r="S320" s="39" t="str">
        <x:f>IF(A320="","",SUMIF('07_DUNG_CHO'!$B$6:$B$505,A320,'07_DUNG_CHO'!$E$6:$E$505))</x:f>
      </x:c>
      <x:c r="T320" s="39" t="str">
        <x:f>IF(A320="","",IF(N320="SETUP",0,MAX(0,(P320-O320)*1440-Q320-S320)))</x:f>
      </x:c>
      <x:c r="U320" s="25"/>
      <x:c r="V320" s="25"/>
      <x:c r="W320" s="25"/>
      <x:c r="X320" s="25"/>
      <x:c r="Y320" s="25"/>
      <x:c r="Z320" s="25"/>
      <x:c r="AA320" s="39" t="str">
        <x:f>IF(A320="","",U320-SUM(V320,X320:Z320))</x:f>
      </x:c>
      <x:c r="AB320" s="39" t="str">
        <x:f>IF(A320="","",IF(N320="SETUP",IFERROR(INDEX('04_KE_HOACH_CD'!$K$6:$K$305,MATCH(K320,'04_KE_HOACH_CD'!$G$6:$G$305,0)),0),IF(OR(N320="PRODUCTION",N320="REWORK"),IFERROR(INDEX('04_KE_HOACH_CD'!$L$6:$L$305,MATCH(K320,'04_KE_HOACH_CD'!$G$6:$G$305,0))*V320,0),0)))</x:f>
      </x:c>
      <x:c r="AC320" s="39" t="str">
        <x:f>IF(A320="","",MAX(0,(P320-O320)*1440-Q320))</x:f>
      </x:c>
      <x:c r="AD320" s="37" t="str">
        <x:f>IF(A320="","",IFERROR(AB320/AC320,0))</x:f>
      </x:c>
      <x:c r="AE320" s="33" t="str">
        <x:f>IF(A320="","",AC320/60*SUMIF(DM_NHAN_SU!$A$6:$A$105,L320,DM_NHAN_SU!$E$6:$E$105))</x:f>
      </x:c>
      <x:c r="AF320" s="33" t="str">
        <x:f>IF(A320="","",AC320/60*SUMIF(DM_MAY!$A$6:$A$105,M320,DM_MAY!$F$6:$F$105))</x:f>
      </x:c>
      <x:c r="AG320" s="33" t="str">
        <x:f>IF(A320="","",AE320+AF320)</x:f>
      </x:c>
      <x:c r="AH320" s="21"/>
      <x:c r="AI320" s="29" t="str">
        <x:f>IF(A320="","",IF(OR(B320="",D320="",E320="",I320="",L320="",N320="",O320="",P320=""),"Thiếu dữ liệu",IF(AND(OR(N320="PRODUCTION",N320="REWORK",N320="SETUP"),M320=""),"Thiếu máy",IF(P320&lt;O320,"Sai thời gian",IF(AA320&lt;&gt;0,"Sai cân đối SL","Hợp lệ")))))</x:f>
      </x:c>
      <x:c r="AJ320" s="21"/>
    </x:row>
    <x:row r="321">
      <x:c r="A321" s="21"/>
      <x:c r="B321" s="35"/>
      <x:c r="C321" s="21"/>
      <x:c r="D321" s="21"/>
      <x:c r="E321" s="21"/>
      <x:c r="F321" s="21"/>
      <x:c r="G321" s="21"/>
      <x:c r="H321" s="29" t="str">
        <x:f>IF(OR(D321="",E321=""),"",D321&amp;"|"&amp;E321&amp;"|"&amp;IF(F321="","00",F321)&amp;"|"&amp;IF(G321="","01",G321))</x:f>
      </x:c>
      <x:c r="I321" s="21"/>
      <x:c r="J321" s="29" t="str">
        <x:f>IF(K321="","",IFERROR(INDEX('04_KE_HOACH_CD'!$I$6:$I$305,MATCH(K321,'04_KE_HOACH_CD'!$G$6:$G$305,0)),""))</x:f>
      </x:c>
      <x:c r="K321" s="29" t="str">
        <x:f>IF(OR(H321="",I321=""),"",H321&amp;"|"&amp;TEXT(I321,"000"))</x:f>
      </x:c>
      <x:c r="L321" s="21"/>
      <x:c r="M321" s="21"/>
      <x:c r="N321" s="21"/>
      <x:c r="O321" s="43"/>
      <x:c r="P321" s="43"/>
      <x:c r="Q321" s="25"/>
      <x:c r="R321" s="25"/>
      <x:c r="S321" s="39" t="str">
        <x:f>IF(A321="","",SUMIF('07_DUNG_CHO'!$B$6:$B$505,A321,'07_DUNG_CHO'!$E$6:$E$505))</x:f>
      </x:c>
      <x:c r="T321" s="39" t="str">
        <x:f>IF(A321="","",IF(N321="SETUP",0,MAX(0,(P321-O321)*1440-Q321-S321)))</x:f>
      </x:c>
      <x:c r="U321" s="25"/>
      <x:c r="V321" s="25"/>
      <x:c r="W321" s="25"/>
      <x:c r="X321" s="25"/>
      <x:c r="Y321" s="25"/>
      <x:c r="Z321" s="25"/>
      <x:c r="AA321" s="39" t="str">
        <x:f>IF(A321="","",U321-SUM(V321,X321:Z321))</x:f>
      </x:c>
      <x:c r="AB321" s="39" t="str">
        <x:f>IF(A321="","",IF(N321="SETUP",IFERROR(INDEX('04_KE_HOACH_CD'!$K$6:$K$305,MATCH(K321,'04_KE_HOACH_CD'!$G$6:$G$305,0)),0),IF(OR(N321="PRODUCTION",N321="REWORK"),IFERROR(INDEX('04_KE_HOACH_CD'!$L$6:$L$305,MATCH(K321,'04_KE_HOACH_CD'!$G$6:$G$305,0))*V321,0),0)))</x:f>
      </x:c>
      <x:c r="AC321" s="39" t="str">
        <x:f>IF(A321="","",MAX(0,(P321-O321)*1440-Q321))</x:f>
      </x:c>
      <x:c r="AD321" s="37" t="str">
        <x:f>IF(A321="","",IFERROR(AB321/AC321,0))</x:f>
      </x:c>
      <x:c r="AE321" s="33" t="str">
        <x:f>IF(A321="","",AC321/60*SUMIF(DM_NHAN_SU!$A$6:$A$105,L321,DM_NHAN_SU!$E$6:$E$105))</x:f>
      </x:c>
      <x:c r="AF321" s="33" t="str">
        <x:f>IF(A321="","",AC321/60*SUMIF(DM_MAY!$A$6:$A$105,M321,DM_MAY!$F$6:$F$105))</x:f>
      </x:c>
      <x:c r="AG321" s="33" t="str">
        <x:f>IF(A321="","",AE321+AF321)</x:f>
      </x:c>
      <x:c r="AH321" s="21"/>
      <x:c r="AI321" s="29" t="str">
        <x:f>IF(A321="","",IF(OR(B321="",D321="",E321="",I321="",L321="",N321="",O321="",P321=""),"Thiếu dữ liệu",IF(AND(OR(N321="PRODUCTION",N321="REWORK",N321="SETUP"),M321=""),"Thiếu máy",IF(P321&lt;O321,"Sai thời gian",IF(AA321&lt;&gt;0,"Sai cân đối SL","Hợp lệ")))))</x:f>
      </x:c>
      <x:c r="AJ321" s="21"/>
    </x:row>
    <x:row r="322">
      <x:c r="A322" s="21"/>
      <x:c r="B322" s="35"/>
      <x:c r="C322" s="21"/>
      <x:c r="D322" s="21"/>
      <x:c r="E322" s="21"/>
      <x:c r="F322" s="21"/>
      <x:c r="G322" s="21"/>
      <x:c r="H322" s="29" t="str">
        <x:f>IF(OR(D322="",E322=""),"",D322&amp;"|"&amp;E322&amp;"|"&amp;IF(F322="","00",F322)&amp;"|"&amp;IF(G322="","01",G322))</x:f>
      </x:c>
      <x:c r="I322" s="21"/>
      <x:c r="J322" s="29" t="str">
        <x:f>IF(K322="","",IFERROR(INDEX('04_KE_HOACH_CD'!$I$6:$I$305,MATCH(K322,'04_KE_HOACH_CD'!$G$6:$G$305,0)),""))</x:f>
      </x:c>
      <x:c r="K322" s="29" t="str">
        <x:f>IF(OR(H322="",I322=""),"",H322&amp;"|"&amp;TEXT(I322,"000"))</x:f>
      </x:c>
      <x:c r="L322" s="21"/>
      <x:c r="M322" s="21"/>
      <x:c r="N322" s="21"/>
      <x:c r="O322" s="43"/>
      <x:c r="P322" s="43"/>
      <x:c r="Q322" s="25"/>
      <x:c r="R322" s="25"/>
      <x:c r="S322" s="39" t="str">
        <x:f>IF(A322="","",SUMIF('07_DUNG_CHO'!$B$6:$B$505,A322,'07_DUNG_CHO'!$E$6:$E$505))</x:f>
      </x:c>
      <x:c r="T322" s="39" t="str">
        <x:f>IF(A322="","",IF(N322="SETUP",0,MAX(0,(P322-O322)*1440-Q322-S322)))</x:f>
      </x:c>
      <x:c r="U322" s="25"/>
      <x:c r="V322" s="25"/>
      <x:c r="W322" s="25"/>
      <x:c r="X322" s="25"/>
      <x:c r="Y322" s="25"/>
      <x:c r="Z322" s="25"/>
      <x:c r="AA322" s="39" t="str">
        <x:f>IF(A322="","",U322-SUM(V322,X322:Z322))</x:f>
      </x:c>
      <x:c r="AB322" s="39" t="str">
        <x:f>IF(A322="","",IF(N322="SETUP",IFERROR(INDEX('04_KE_HOACH_CD'!$K$6:$K$305,MATCH(K322,'04_KE_HOACH_CD'!$G$6:$G$305,0)),0),IF(OR(N322="PRODUCTION",N322="REWORK"),IFERROR(INDEX('04_KE_HOACH_CD'!$L$6:$L$305,MATCH(K322,'04_KE_HOACH_CD'!$G$6:$G$305,0))*V322,0),0)))</x:f>
      </x:c>
      <x:c r="AC322" s="39" t="str">
        <x:f>IF(A322="","",MAX(0,(P322-O322)*1440-Q322))</x:f>
      </x:c>
      <x:c r="AD322" s="37" t="str">
        <x:f>IF(A322="","",IFERROR(AB322/AC322,0))</x:f>
      </x:c>
      <x:c r="AE322" s="33" t="str">
        <x:f>IF(A322="","",AC322/60*SUMIF(DM_NHAN_SU!$A$6:$A$105,L322,DM_NHAN_SU!$E$6:$E$105))</x:f>
      </x:c>
      <x:c r="AF322" s="33" t="str">
        <x:f>IF(A322="","",AC322/60*SUMIF(DM_MAY!$A$6:$A$105,M322,DM_MAY!$F$6:$F$105))</x:f>
      </x:c>
      <x:c r="AG322" s="33" t="str">
        <x:f>IF(A322="","",AE322+AF322)</x:f>
      </x:c>
      <x:c r="AH322" s="21"/>
      <x:c r="AI322" s="29" t="str">
        <x:f>IF(A322="","",IF(OR(B322="",D322="",E322="",I322="",L322="",N322="",O322="",P322=""),"Thiếu dữ liệu",IF(AND(OR(N322="PRODUCTION",N322="REWORK",N322="SETUP"),M322=""),"Thiếu máy",IF(P322&lt;O322,"Sai thời gian",IF(AA322&lt;&gt;0,"Sai cân đối SL","Hợp lệ")))))</x:f>
      </x:c>
      <x:c r="AJ322" s="21"/>
    </x:row>
    <x:row r="323">
      <x:c r="A323" s="21"/>
      <x:c r="B323" s="35"/>
      <x:c r="C323" s="21"/>
      <x:c r="D323" s="21"/>
      <x:c r="E323" s="21"/>
      <x:c r="F323" s="21"/>
      <x:c r="G323" s="21"/>
      <x:c r="H323" s="29" t="str">
        <x:f>IF(OR(D323="",E323=""),"",D323&amp;"|"&amp;E323&amp;"|"&amp;IF(F323="","00",F323)&amp;"|"&amp;IF(G323="","01",G323))</x:f>
      </x:c>
      <x:c r="I323" s="21"/>
      <x:c r="J323" s="29" t="str">
        <x:f>IF(K323="","",IFERROR(INDEX('04_KE_HOACH_CD'!$I$6:$I$305,MATCH(K323,'04_KE_HOACH_CD'!$G$6:$G$305,0)),""))</x:f>
      </x:c>
      <x:c r="K323" s="29" t="str">
        <x:f>IF(OR(H323="",I323=""),"",H323&amp;"|"&amp;TEXT(I323,"000"))</x:f>
      </x:c>
      <x:c r="L323" s="21"/>
      <x:c r="M323" s="21"/>
      <x:c r="N323" s="21"/>
      <x:c r="O323" s="43"/>
      <x:c r="P323" s="43"/>
      <x:c r="Q323" s="25"/>
      <x:c r="R323" s="25"/>
      <x:c r="S323" s="39" t="str">
        <x:f>IF(A323="","",SUMIF('07_DUNG_CHO'!$B$6:$B$505,A323,'07_DUNG_CHO'!$E$6:$E$505))</x:f>
      </x:c>
      <x:c r="T323" s="39" t="str">
        <x:f>IF(A323="","",IF(N323="SETUP",0,MAX(0,(P323-O323)*1440-Q323-S323)))</x:f>
      </x:c>
      <x:c r="U323" s="25"/>
      <x:c r="V323" s="25"/>
      <x:c r="W323" s="25"/>
      <x:c r="X323" s="25"/>
      <x:c r="Y323" s="25"/>
      <x:c r="Z323" s="25"/>
      <x:c r="AA323" s="39" t="str">
        <x:f>IF(A323="","",U323-SUM(V323,X323:Z323))</x:f>
      </x:c>
      <x:c r="AB323" s="39" t="str">
        <x:f>IF(A323="","",IF(N323="SETUP",IFERROR(INDEX('04_KE_HOACH_CD'!$K$6:$K$305,MATCH(K323,'04_KE_HOACH_CD'!$G$6:$G$305,0)),0),IF(OR(N323="PRODUCTION",N323="REWORK"),IFERROR(INDEX('04_KE_HOACH_CD'!$L$6:$L$305,MATCH(K323,'04_KE_HOACH_CD'!$G$6:$G$305,0))*V323,0),0)))</x:f>
      </x:c>
      <x:c r="AC323" s="39" t="str">
        <x:f>IF(A323="","",MAX(0,(P323-O323)*1440-Q323))</x:f>
      </x:c>
      <x:c r="AD323" s="37" t="str">
        <x:f>IF(A323="","",IFERROR(AB323/AC323,0))</x:f>
      </x:c>
      <x:c r="AE323" s="33" t="str">
        <x:f>IF(A323="","",AC323/60*SUMIF(DM_NHAN_SU!$A$6:$A$105,L323,DM_NHAN_SU!$E$6:$E$105))</x:f>
      </x:c>
      <x:c r="AF323" s="33" t="str">
        <x:f>IF(A323="","",AC323/60*SUMIF(DM_MAY!$A$6:$A$105,M323,DM_MAY!$F$6:$F$105))</x:f>
      </x:c>
      <x:c r="AG323" s="33" t="str">
        <x:f>IF(A323="","",AE323+AF323)</x:f>
      </x:c>
      <x:c r="AH323" s="21"/>
      <x:c r="AI323" s="29" t="str">
        <x:f>IF(A323="","",IF(OR(B323="",D323="",E323="",I323="",L323="",N323="",O323="",P323=""),"Thiếu dữ liệu",IF(AND(OR(N323="PRODUCTION",N323="REWORK",N323="SETUP"),M323=""),"Thiếu máy",IF(P323&lt;O323,"Sai thời gian",IF(AA323&lt;&gt;0,"Sai cân đối SL","Hợp lệ")))))</x:f>
      </x:c>
      <x:c r="AJ323" s="21"/>
    </x:row>
    <x:row r="324">
      <x:c r="A324" s="21"/>
      <x:c r="B324" s="35"/>
      <x:c r="C324" s="21"/>
      <x:c r="D324" s="21"/>
      <x:c r="E324" s="21"/>
      <x:c r="F324" s="21"/>
      <x:c r="G324" s="21"/>
      <x:c r="H324" s="29" t="str">
        <x:f>IF(OR(D324="",E324=""),"",D324&amp;"|"&amp;E324&amp;"|"&amp;IF(F324="","00",F324)&amp;"|"&amp;IF(G324="","01",G324))</x:f>
      </x:c>
      <x:c r="I324" s="21"/>
      <x:c r="J324" s="29" t="str">
        <x:f>IF(K324="","",IFERROR(INDEX('04_KE_HOACH_CD'!$I$6:$I$305,MATCH(K324,'04_KE_HOACH_CD'!$G$6:$G$305,0)),""))</x:f>
      </x:c>
      <x:c r="K324" s="29" t="str">
        <x:f>IF(OR(H324="",I324=""),"",H324&amp;"|"&amp;TEXT(I324,"000"))</x:f>
      </x:c>
      <x:c r="L324" s="21"/>
      <x:c r="M324" s="21"/>
      <x:c r="N324" s="21"/>
      <x:c r="O324" s="43"/>
      <x:c r="P324" s="43"/>
      <x:c r="Q324" s="25"/>
      <x:c r="R324" s="25"/>
      <x:c r="S324" s="39" t="str">
        <x:f>IF(A324="","",SUMIF('07_DUNG_CHO'!$B$6:$B$505,A324,'07_DUNG_CHO'!$E$6:$E$505))</x:f>
      </x:c>
      <x:c r="T324" s="39" t="str">
        <x:f>IF(A324="","",IF(N324="SETUP",0,MAX(0,(P324-O324)*1440-Q324-S324)))</x:f>
      </x:c>
      <x:c r="U324" s="25"/>
      <x:c r="V324" s="25"/>
      <x:c r="W324" s="25"/>
      <x:c r="X324" s="25"/>
      <x:c r="Y324" s="25"/>
      <x:c r="Z324" s="25"/>
      <x:c r="AA324" s="39" t="str">
        <x:f>IF(A324="","",U324-SUM(V324,X324:Z324))</x:f>
      </x:c>
      <x:c r="AB324" s="39" t="str">
        <x:f>IF(A324="","",IF(N324="SETUP",IFERROR(INDEX('04_KE_HOACH_CD'!$K$6:$K$305,MATCH(K324,'04_KE_HOACH_CD'!$G$6:$G$305,0)),0),IF(OR(N324="PRODUCTION",N324="REWORK"),IFERROR(INDEX('04_KE_HOACH_CD'!$L$6:$L$305,MATCH(K324,'04_KE_HOACH_CD'!$G$6:$G$305,0))*V324,0),0)))</x:f>
      </x:c>
      <x:c r="AC324" s="39" t="str">
        <x:f>IF(A324="","",MAX(0,(P324-O324)*1440-Q324))</x:f>
      </x:c>
      <x:c r="AD324" s="37" t="str">
        <x:f>IF(A324="","",IFERROR(AB324/AC324,0))</x:f>
      </x:c>
      <x:c r="AE324" s="33" t="str">
        <x:f>IF(A324="","",AC324/60*SUMIF(DM_NHAN_SU!$A$6:$A$105,L324,DM_NHAN_SU!$E$6:$E$105))</x:f>
      </x:c>
      <x:c r="AF324" s="33" t="str">
        <x:f>IF(A324="","",AC324/60*SUMIF(DM_MAY!$A$6:$A$105,M324,DM_MAY!$F$6:$F$105))</x:f>
      </x:c>
      <x:c r="AG324" s="33" t="str">
        <x:f>IF(A324="","",AE324+AF324)</x:f>
      </x:c>
      <x:c r="AH324" s="21"/>
      <x:c r="AI324" s="29" t="str">
        <x:f>IF(A324="","",IF(OR(B324="",D324="",E324="",I324="",L324="",N324="",O324="",P324=""),"Thiếu dữ liệu",IF(AND(OR(N324="PRODUCTION",N324="REWORK",N324="SETUP"),M324=""),"Thiếu máy",IF(P324&lt;O324,"Sai thời gian",IF(AA324&lt;&gt;0,"Sai cân đối SL","Hợp lệ")))))</x:f>
      </x:c>
      <x:c r="AJ324" s="21"/>
    </x:row>
    <x:row r="325">
      <x:c r="A325" s="21"/>
      <x:c r="B325" s="35"/>
      <x:c r="C325" s="21"/>
      <x:c r="D325" s="21"/>
      <x:c r="E325" s="21"/>
      <x:c r="F325" s="21"/>
      <x:c r="G325" s="21"/>
      <x:c r="H325" s="29" t="str">
        <x:f>IF(OR(D325="",E325=""),"",D325&amp;"|"&amp;E325&amp;"|"&amp;IF(F325="","00",F325)&amp;"|"&amp;IF(G325="","01",G325))</x:f>
      </x:c>
      <x:c r="I325" s="21"/>
      <x:c r="J325" s="29" t="str">
        <x:f>IF(K325="","",IFERROR(INDEX('04_KE_HOACH_CD'!$I$6:$I$305,MATCH(K325,'04_KE_HOACH_CD'!$G$6:$G$305,0)),""))</x:f>
      </x:c>
      <x:c r="K325" s="29" t="str">
        <x:f>IF(OR(H325="",I325=""),"",H325&amp;"|"&amp;TEXT(I325,"000"))</x:f>
      </x:c>
      <x:c r="L325" s="21"/>
      <x:c r="M325" s="21"/>
      <x:c r="N325" s="21"/>
      <x:c r="O325" s="43"/>
      <x:c r="P325" s="43"/>
      <x:c r="Q325" s="25"/>
      <x:c r="R325" s="25"/>
      <x:c r="S325" s="39" t="str">
        <x:f>IF(A325="","",SUMIF('07_DUNG_CHO'!$B$6:$B$505,A325,'07_DUNG_CHO'!$E$6:$E$505))</x:f>
      </x:c>
      <x:c r="T325" s="39" t="str">
        <x:f>IF(A325="","",IF(N325="SETUP",0,MAX(0,(P325-O325)*1440-Q325-S325)))</x:f>
      </x:c>
      <x:c r="U325" s="25"/>
      <x:c r="V325" s="25"/>
      <x:c r="W325" s="25"/>
      <x:c r="X325" s="25"/>
      <x:c r="Y325" s="25"/>
      <x:c r="Z325" s="25"/>
      <x:c r="AA325" s="39" t="str">
        <x:f>IF(A325="","",U325-SUM(V325,X325:Z325))</x:f>
      </x:c>
      <x:c r="AB325" s="39" t="str">
        <x:f>IF(A325="","",IF(N325="SETUP",IFERROR(INDEX('04_KE_HOACH_CD'!$K$6:$K$305,MATCH(K325,'04_KE_HOACH_CD'!$G$6:$G$305,0)),0),IF(OR(N325="PRODUCTION",N325="REWORK"),IFERROR(INDEX('04_KE_HOACH_CD'!$L$6:$L$305,MATCH(K325,'04_KE_HOACH_CD'!$G$6:$G$305,0))*V325,0),0)))</x:f>
      </x:c>
      <x:c r="AC325" s="39" t="str">
        <x:f>IF(A325="","",MAX(0,(P325-O325)*1440-Q325))</x:f>
      </x:c>
      <x:c r="AD325" s="37" t="str">
        <x:f>IF(A325="","",IFERROR(AB325/AC325,0))</x:f>
      </x:c>
      <x:c r="AE325" s="33" t="str">
        <x:f>IF(A325="","",AC325/60*SUMIF(DM_NHAN_SU!$A$6:$A$105,L325,DM_NHAN_SU!$E$6:$E$105))</x:f>
      </x:c>
      <x:c r="AF325" s="33" t="str">
        <x:f>IF(A325="","",AC325/60*SUMIF(DM_MAY!$A$6:$A$105,M325,DM_MAY!$F$6:$F$105))</x:f>
      </x:c>
      <x:c r="AG325" s="33" t="str">
        <x:f>IF(A325="","",AE325+AF325)</x:f>
      </x:c>
      <x:c r="AH325" s="21"/>
      <x:c r="AI325" s="29" t="str">
        <x:f>IF(A325="","",IF(OR(B325="",D325="",E325="",I325="",L325="",N325="",O325="",P325=""),"Thiếu dữ liệu",IF(AND(OR(N325="PRODUCTION",N325="REWORK",N325="SETUP"),M325=""),"Thiếu máy",IF(P325&lt;O325,"Sai thời gian",IF(AA325&lt;&gt;0,"Sai cân đối SL","Hợp lệ")))))</x:f>
      </x:c>
      <x:c r="AJ325" s="21"/>
    </x:row>
    <x:row r="326">
      <x:c r="A326" s="21"/>
      <x:c r="B326" s="35"/>
      <x:c r="C326" s="21"/>
      <x:c r="D326" s="21"/>
      <x:c r="E326" s="21"/>
      <x:c r="F326" s="21"/>
      <x:c r="G326" s="21"/>
      <x:c r="H326" s="29" t="str">
        <x:f>IF(OR(D326="",E326=""),"",D326&amp;"|"&amp;E326&amp;"|"&amp;IF(F326="","00",F326)&amp;"|"&amp;IF(G326="","01",G326))</x:f>
      </x:c>
      <x:c r="I326" s="21"/>
      <x:c r="J326" s="29" t="str">
        <x:f>IF(K326="","",IFERROR(INDEX('04_KE_HOACH_CD'!$I$6:$I$305,MATCH(K326,'04_KE_HOACH_CD'!$G$6:$G$305,0)),""))</x:f>
      </x:c>
      <x:c r="K326" s="29" t="str">
        <x:f>IF(OR(H326="",I326=""),"",H326&amp;"|"&amp;TEXT(I326,"000"))</x:f>
      </x:c>
      <x:c r="L326" s="21"/>
      <x:c r="M326" s="21"/>
      <x:c r="N326" s="21"/>
      <x:c r="O326" s="43"/>
      <x:c r="P326" s="43"/>
      <x:c r="Q326" s="25"/>
      <x:c r="R326" s="25"/>
      <x:c r="S326" s="39" t="str">
        <x:f>IF(A326="","",SUMIF('07_DUNG_CHO'!$B$6:$B$505,A326,'07_DUNG_CHO'!$E$6:$E$505))</x:f>
      </x:c>
      <x:c r="T326" s="39" t="str">
        <x:f>IF(A326="","",IF(N326="SETUP",0,MAX(0,(P326-O326)*1440-Q326-S326)))</x:f>
      </x:c>
      <x:c r="U326" s="25"/>
      <x:c r="V326" s="25"/>
      <x:c r="W326" s="25"/>
      <x:c r="X326" s="25"/>
      <x:c r="Y326" s="25"/>
      <x:c r="Z326" s="25"/>
      <x:c r="AA326" s="39" t="str">
        <x:f>IF(A326="","",U326-SUM(V326,X326:Z326))</x:f>
      </x:c>
      <x:c r="AB326" s="39" t="str">
        <x:f>IF(A326="","",IF(N326="SETUP",IFERROR(INDEX('04_KE_HOACH_CD'!$K$6:$K$305,MATCH(K326,'04_KE_HOACH_CD'!$G$6:$G$305,0)),0),IF(OR(N326="PRODUCTION",N326="REWORK"),IFERROR(INDEX('04_KE_HOACH_CD'!$L$6:$L$305,MATCH(K326,'04_KE_HOACH_CD'!$G$6:$G$305,0))*V326,0),0)))</x:f>
      </x:c>
      <x:c r="AC326" s="39" t="str">
        <x:f>IF(A326="","",MAX(0,(P326-O326)*1440-Q326))</x:f>
      </x:c>
      <x:c r="AD326" s="37" t="str">
        <x:f>IF(A326="","",IFERROR(AB326/AC326,0))</x:f>
      </x:c>
      <x:c r="AE326" s="33" t="str">
        <x:f>IF(A326="","",AC326/60*SUMIF(DM_NHAN_SU!$A$6:$A$105,L326,DM_NHAN_SU!$E$6:$E$105))</x:f>
      </x:c>
      <x:c r="AF326" s="33" t="str">
        <x:f>IF(A326="","",AC326/60*SUMIF(DM_MAY!$A$6:$A$105,M326,DM_MAY!$F$6:$F$105))</x:f>
      </x:c>
      <x:c r="AG326" s="33" t="str">
        <x:f>IF(A326="","",AE326+AF326)</x:f>
      </x:c>
      <x:c r="AH326" s="21"/>
      <x:c r="AI326" s="29" t="str">
        <x:f>IF(A326="","",IF(OR(B326="",D326="",E326="",I326="",L326="",N326="",O326="",P326=""),"Thiếu dữ liệu",IF(AND(OR(N326="PRODUCTION",N326="REWORK",N326="SETUP"),M326=""),"Thiếu máy",IF(P326&lt;O326,"Sai thời gian",IF(AA326&lt;&gt;0,"Sai cân đối SL","Hợp lệ")))))</x:f>
      </x:c>
      <x:c r="AJ326" s="21"/>
    </x:row>
    <x:row r="327">
      <x:c r="A327" s="21"/>
      <x:c r="B327" s="35"/>
      <x:c r="C327" s="21"/>
      <x:c r="D327" s="21"/>
      <x:c r="E327" s="21"/>
      <x:c r="F327" s="21"/>
      <x:c r="G327" s="21"/>
      <x:c r="H327" s="29" t="str">
        <x:f>IF(OR(D327="",E327=""),"",D327&amp;"|"&amp;E327&amp;"|"&amp;IF(F327="","00",F327)&amp;"|"&amp;IF(G327="","01",G327))</x:f>
      </x:c>
      <x:c r="I327" s="21"/>
      <x:c r="J327" s="29" t="str">
        <x:f>IF(K327="","",IFERROR(INDEX('04_KE_HOACH_CD'!$I$6:$I$305,MATCH(K327,'04_KE_HOACH_CD'!$G$6:$G$305,0)),""))</x:f>
      </x:c>
      <x:c r="K327" s="29" t="str">
        <x:f>IF(OR(H327="",I327=""),"",H327&amp;"|"&amp;TEXT(I327,"000"))</x:f>
      </x:c>
      <x:c r="L327" s="21"/>
      <x:c r="M327" s="21"/>
      <x:c r="N327" s="21"/>
      <x:c r="O327" s="43"/>
      <x:c r="P327" s="43"/>
      <x:c r="Q327" s="25"/>
      <x:c r="R327" s="25"/>
      <x:c r="S327" s="39" t="str">
        <x:f>IF(A327="","",SUMIF('07_DUNG_CHO'!$B$6:$B$505,A327,'07_DUNG_CHO'!$E$6:$E$505))</x:f>
      </x:c>
      <x:c r="T327" s="39" t="str">
        <x:f>IF(A327="","",IF(N327="SETUP",0,MAX(0,(P327-O327)*1440-Q327-S327)))</x:f>
      </x:c>
      <x:c r="U327" s="25"/>
      <x:c r="V327" s="25"/>
      <x:c r="W327" s="25"/>
      <x:c r="X327" s="25"/>
      <x:c r="Y327" s="25"/>
      <x:c r="Z327" s="25"/>
      <x:c r="AA327" s="39" t="str">
        <x:f>IF(A327="","",U327-SUM(V327,X327:Z327))</x:f>
      </x:c>
      <x:c r="AB327" s="39" t="str">
        <x:f>IF(A327="","",IF(N327="SETUP",IFERROR(INDEX('04_KE_HOACH_CD'!$K$6:$K$305,MATCH(K327,'04_KE_HOACH_CD'!$G$6:$G$305,0)),0),IF(OR(N327="PRODUCTION",N327="REWORK"),IFERROR(INDEX('04_KE_HOACH_CD'!$L$6:$L$305,MATCH(K327,'04_KE_HOACH_CD'!$G$6:$G$305,0))*V327,0),0)))</x:f>
      </x:c>
      <x:c r="AC327" s="39" t="str">
        <x:f>IF(A327="","",MAX(0,(P327-O327)*1440-Q327))</x:f>
      </x:c>
      <x:c r="AD327" s="37" t="str">
        <x:f>IF(A327="","",IFERROR(AB327/AC327,0))</x:f>
      </x:c>
      <x:c r="AE327" s="33" t="str">
        <x:f>IF(A327="","",AC327/60*SUMIF(DM_NHAN_SU!$A$6:$A$105,L327,DM_NHAN_SU!$E$6:$E$105))</x:f>
      </x:c>
      <x:c r="AF327" s="33" t="str">
        <x:f>IF(A327="","",AC327/60*SUMIF(DM_MAY!$A$6:$A$105,M327,DM_MAY!$F$6:$F$105))</x:f>
      </x:c>
      <x:c r="AG327" s="33" t="str">
        <x:f>IF(A327="","",AE327+AF327)</x:f>
      </x:c>
      <x:c r="AH327" s="21"/>
      <x:c r="AI327" s="29" t="str">
        <x:f>IF(A327="","",IF(OR(B327="",D327="",E327="",I327="",L327="",N327="",O327="",P327=""),"Thiếu dữ liệu",IF(AND(OR(N327="PRODUCTION",N327="REWORK",N327="SETUP"),M327=""),"Thiếu máy",IF(P327&lt;O327,"Sai thời gian",IF(AA327&lt;&gt;0,"Sai cân đối SL","Hợp lệ")))))</x:f>
      </x:c>
      <x:c r="AJ327" s="21"/>
    </x:row>
    <x:row r="328">
      <x:c r="A328" s="21"/>
      <x:c r="B328" s="35"/>
      <x:c r="C328" s="21"/>
      <x:c r="D328" s="21"/>
      <x:c r="E328" s="21"/>
      <x:c r="F328" s="21"/>
      <x:c r="G328" s="21"/>
      <x:c r="H328" s="29" t="str">
        <x:f>IF(OR(D328="",E328=""),"",D328&amp;"|"&amp;E328&amp;"|"&amp;IF(F328="","00",F328)&amp;"|"&amp;IF(G328="","01",G328))</x:f>
      </x:c>
      <x:c r="I328" s="21"/>
      <x:c r="J328" s="29" t="str">
        <x:f>IF(K328="","",IFERROR(INDEX('04_KE_HOACH_CD'!$I$6:$I$305,MATCH(K328,'04_KE_HOACH_CD'!$G$6:$G$305,0)),""))</x:f>
      </x:c>
      <x:c r="K328" s="29" t="str">
        <x:f>IF(OR(H328="",I328=""),"",H328&amp;"|"&amp;TEXT(I328,"000"))</x:f>
      </x:c>
      <x:c r="L328" s="21"/>
      <x:c r="M328" s="21"/>
      <x:c r="N328" s="21"/>
      <x:c r="O328" s="43"/>
      <x:c r="P328" s="43"/>
      <x:c r="Q328" s="25"/>
      <x:c r="R328" s="25"/>
      <x:c r="S328" s="39" t="str">
        <x:f>IF(A328="","",SUMIF('07_DUNG_CHO'!$B$6:$B$505,A328,'07_DUNG_CHO'!$E$6:$E$505))</x:f>
      </x:c>
      <x:c r="T328" s="39" t="str">
        <x:f>IF(A328="","",IF(N328="SETUP",0,MAX(0,(P328-O328)*1440-Q328-S328)))</x:f>
      </x:c>
      <x:c r="U328" s="25"/>
      <x:c r="V328" s="25"/>
      <x:c r="W328" s="25"/>
      <x:c r="X328" s="25"/>
      <x:c r="Y328" s="25"/>
      <x:c r="Z328" s="25"/>
      <x:c r="AA328" s="39" t="str">
        <x:f>IF(A328="","",U328-SUM(V328,X328:Z328))</x:f>
      </x:c>
      <x:c r="AB328" s="39" t="str">
        <x:f>IF(A328="","",IF(N328="SETUP",IFERROR(INDEX('04_KE_HOACH_CD'!$K$6:$K$305,MATCH(K328,'04_KE_HOACH_CD'!$G$6:$G$305,0)),0),IF(OR(N328="PRODUCTION",N328="REWORK"),IFERROR(INDEX('04_KE_HOACH_CD'!$L$6:$L$305,MATCH(K328,'04_KE_HOACH_CD'!$G$6:$G$305,0))*V328,0),0)))</x:f>
      </x:c>
      <x:c r="AC328" s="39" t="str">
        <x:f>IF(A328="","",MAX(0,(P328-O328)*1440-Q328))</x:f>
      </x:c>
      <x:c r="AD328" s="37" t="str">
        <x:f>IF(A328="","",IFERROR(AB328/AC328,0))</x:f>
      </x:c>
      <x:c r="AE328" s="33" t="str">
        <x:f>IF(A328="","",AC328/60*SUMIF(DM_NHAN_SU!$A$6:$A$105,L328,DM_NHAN_SU!$E$6:$E$105))</x:f>
      </x:c>
      <x:c r="AF328" s="33" t="str">
        <x:f>IF(A328="","",AC328/60*SUMIF(DM_MAY!$A$6:$A$105,M328,DM_MAY!$F$6:$F$105))</x:f>
      </x:c>
      <x:c r="AG328" s="33" t="str">
        <x:f>IF(A328="","",AE328+AF328)</x:f>
      </x:c>
      <x:c r="AH328" s="21"/>
      <x:c r="AI328" s="29" t="str">
        <x:f>IF(A328="","",IF(OR(B328="",D328="",E328="",I328="",L328="",N328="",O328="",P328=""),"Thiếu dữ liệu",IF(AND(OR(N328="PRODUCTION",N328="REWORK",N328="SETUP"),M328=""),"Thiếu máy",IF(P328&lt;O328,"Sai thời gian",IF(AA328&lt;&gt;0,"Sai cân đối SL","Hợp lệ")))))</x:f>
      </x:c>
      <x:c r="AJ328" s="21"/>
    </x:row>
    <x:row r="329">
      <x:c r="A329" s="21"/>
      <x:c r="B329" s="35"/>
      <x:c r="C329" s="21"/>
      <x:c r="D329" s="21"/>
      <x:c r="E329" s="21"/>
      <x:c r="F329" s="21"/>
      <x:c r="G329" s="21"/>
      <x:c r="H329" s="29" t="str">
        <x:f>IF(OR(D329="",E329=""),"",D329&amp;"|"&amp;E329&amp;"|"&amp;IF(F329="","00",F329)&amp;"|"&amp;IF(G329="","01",G329))</x:f>
      </x:c>
      <x:c r="I329" s="21"/>
      <x:c r="J329" s="29" t="str">
        <x:f>IF(K329="","",IFERROR(INDEX('04_KE_HOACH_CD'!$I$6:$I$305,MATCH(K329,'04_KE_HOACH_CD'!$G$6:$G$305,0)),""))</x:f>
      </x:c>
      <x:c r="K329" s="29" t="str">
        <x:f>IF(OR(H329="",I329=""),"",H329&amp;"|"&amp;TEXT(I329,"000"))</x:f>
      </x:c>
      <x:c r="L329" s="21"/>
      <x:c r="M329" s="21"/>
      <x:c r="N329" s="21"/>
      <x:c r="O329" s="43"/>
      <x:c r="P329" s="43"/>
      <x:c r="Q329" s="25"/>
      <x:c r="R329" s="25"/>
      <x:c r="S329" s="39" t="str">
        <x:f>IF(A329="","",SUMIF('07_DUNG_CHO'!$B$6:$B$505,A329,'07_DUNG_CHO'!$E$6:$E$505))</x:f>
      </x:c>
      <x:c r="T329" s="39" t="str">
        <x:f>IF(A329="","",IF(N329="SETUP",0,MAX(0,(P329-O329)*1440-Q329-S329)))</x:f>
      </x:c>
      <x:c r="U329" s="25"/>
      <x:c r="V329" s="25"/>
      <x:c r="W329" s="25"/>
      <x:c r="X329" s="25"/>
      <x:c r="Y329" s="25"/>
      <x:c r="Z329" s="25"/>
      <x:c r="AA329" s="39" t="str">
        <x:f>IF(A329="","",U329-SUM(V329,X329:Z329))</x:f>
      </x:c>
      <x:c r="AB329" s="39" t="str">
        <x:f>IF(A329="","",IF(N329="SETUP",IFERROR(INDEX('04_KE_HOACH_CD'!$K$6:$K$305,MATCH(K329,'04_KE_HOACH_CD'!$G$6:$G$305,0)),0),IF(OR(N329="PRODUCTION",N329="REWORK"),IFERROR(INDEX('04_KE_HOACH_CD'!$L$6:$L$305,MATCH(K329,'04_KE_HOACH_CD'!$G$6:$G$305,0))*V329,0),0)))</x:f>
      </x:c>
      <x:c r="AC329" s="39" t="str">
        <x:f>IF(A329="","",MAX(0,(P329-O329)*1440-Q329))</x:f>
      </x:c>
      <x:c r="AD329" s="37" t="str">
        <x:f>IF(A329="","",IFERROR(AB329/AC329,0))</x:f>
      </x:c>
      <x:c r="AE329" s="33" t="str">
        <x:f>IF(A329="","",AC329/60*SUMIF(DM_NHAN_SU!$A$6:$A$105,L329,DM_NHAN_SU!$E$6:$E$105))</x:f>
      </x:c>
      <x:c r="AF329" s="33" t="str">
        <x:f>IF(A329="","",AC329/60*SUMIF(DM_MAY!$A$6:$A$105,M329,DM_MAY!$F$6:$F$105))</x:f>
      </x:c>
      <x:c r="AG329" s="33" t="str">
        <x:f>IF(A329="","",AE329+AF329)</x:f>
      </x:c>
      <x:c r="AH329" s="21"/>
      <x:c r="AI329" s="29" t="str">
        <x:f>IF(A329="","",IF(OR(B329="",D329="",E329="",I329="",L329="",N329="",O329="",P329=""),"Thiếu dữ liệu",IF(AND(OR(N329="PRODUCTION",N329="REWORK",N329="SETUP"),M329=""),"Thiếu máy",IF(P329&lt;O329,"Sai thời gian",IF(AA329&lt;&gt;0,"Sai cân đối SL","Hợp lệ")))))</x:f>
      </x:c>
      <x:c r="AJ329" s="21"/>
    </x:row>
    <x:row r="330">
      <x:c r="A330" s="21"/>
      <x:c r="B330" s="35"/>
      <x:c r="C330" s="21"/>
      <x:c r="D330" s="21"/>
      <x:c r="E330" s="21"/>
      <x:c r="F330" s="21"/>
      <x:c r="G330" s="21"/>
      <x:c r="H330" s="29" t="str">
        <x:f>IF(OR(D330="",E330=""),"",D330&amp;"|"&amp;E330&amp;"|"&amp;IF(F330="","00",F330)&amp;"|"&amp;IF(G330="","01",G330))</x:f>
      </x:c>
      <x:c r="I330" s="21"/>
      <x:c r="J330" s="29" t="str">
        <x:f>IF(K330="","",IFERROR(INDEX('04_KE_HOACH_CD'!$I$6:$I$305,MATCH(K330,'04_KE_HOACH_CD'!$G$6:$G$305,0)),""))</x:f>
      </x:c>
      <x:c r="K330" s="29" t="str">
        <x:f>IF(OR(H330="",I330=""),"",H330&amp;"|"&amp;TEXT(I330,"000"))</x:f>
      </x:c>
      <x:c r="L330" s="21"/>
      <x:c r="M330" s="21"/>
      <x:c r="N330" s="21"/>
      <x:c r="O330" s="43"/>
      <x:c r="P330" s="43"/>
      <x:c r="Q330" s="25"/>
      <x:c r="R330" s="25"/>
      <x:c r="S330" s="39" t="str">
        <x:f>IF(A330="","",SUMIF('07_DUNG_CHO'!$B$6:$B$505,A330,'07_DUNG_CHO'!$E$6:$E$505))</x:f>
      </x:c>
      <x:c r="T330" s="39" t="str">
        <x:f>IF(A330="","",IF(N330="SETUP",0,MAX(0,(P330-O330)*1440-Q330-S330)))</x:f>
      </x:c>
      <x:c r="U330" s="25"/>
      <x:c r="V330" s="25"/>
      <x:c r="W330" s="25"/>
      <x:c r="X330" s="25"/>
      <x:c r="Y330" s="25"/>
      <x:c r="Z330" s="25"/>
      <x:c r="AA330" s="39" t="str">
        <x:f>IF(A330="","",U330-SUM(V330,X330:Z330))</x:f>
      </x:c>
      <x:c r="AB330" s="39" t="str">
        <x:f>IF(A330="","",IF(N330="SETUP",IFERROR(INDEX('04_KE_HOACH_CD'!$K$6:$K$305,MATCH(K330,'04_KE_HOACH_CD'!$G$6:$G$305,0)),0),IF(OR(N330="PRODUCTION",N330="REWORK"),IFERROR(INDEX('04_KE_HOACH_CD'!$L$6:$L$305,MATCH(K330,'04_KE_HOACH_CD'!$G$6:$G$305,0))*V330,0),0)))</x:f>
      </x:c>
      <x:c r="AC330" s="39" t="str">
        <x:f>IF(A330="","",MAX(0,(P330-O330)*1440-Q330))</x:f>
      </x:c>
      <x:c r="AD330" s="37" t="str">
        <x:f>IF(A330="","",IFERROR(AB330/AC330,0))</x:f>
      </x:c>
      <x:c r="AE330" s="33" t="str">
        <x:f>IF(A330="","",AC330/60*SUMIF(DM_NHAN_SU!$A$6:$A$105,L330,DM_NHAN_SU!$E$6:$E$105))</x:f>
      </x:c>
      <x:c r="AF330" s="33" t="str">
        <x:f>IF(A330="","",AC330/60*SUMIF(DM_MAY!$A$6:$A$105,M330,DM_MAY!$F$6:$F$105))</x:f>
      </x:c>
      <x:c r="AG330" s="33" t="str">
        <x:f>IF(A330="","",AE330+AF330)</x:f>
      </x:c>
      <x:c r="AH330" s="21"/>
      <x:c r="AI330" s="29" t="str">
        <x:f>IF(A330="","",IF(OR(B330="",D330="",E330="",I330="",L330="",N330="",O330="",P330=""),"Thiếu dữ liệu",IF(AND(OR(N330="PRODUCTION",N330="REWORK",N330="SETUP"),M330=""),"Thiếu máy",IF(P330&lt;O330,"Sai thời gian",IF(AA330&lt;&gt;0,"Sai cân đối SL","Hợp lệ")))))</x:f>
      </x:c>
      <x:c r="AJ330" s="21"/>
    </x:row>
    <x:row r="331">
      <x:c r="A331" s="21"/>
      <x:c r="B331" s="35"/>
      <x:c r="C331" s="21"/>
      <x:c r="D331" s="21"/>
      <x:c r="E331" s="21"/>
      <x:c r="F331" s="21"/>
      <x:c r="G331" s="21"/>
      <x:c r="H331" s="29" t="str">
        <x:f>IF(OR(D331="",E331=""),"",D331&amp;"|"&amp;E331&amp;"|"&amp;IF(F331="","00",F331)&amp;"|"&amp;IF(G331="","01",G331))</x:f>
      </x:c>
      <x:c r="I331" s="21"/>
      <x:c r="J331" s="29" t="str">
        <x:f>IF(K331="","",IFERROR(INDEX('04_KE_HOACH_CD'!$I$6:$I$305,MATCH(K331,'04_KE_HOACH_CD'!$G$6:$G$305,0)),""))</x:f>
      </x:c>
      <x:c r="K331" s="29" t="str">
        <x:f>IF(OR(H331="",I331=""),"",H331&amp;"|"&amp;TEXT(I331,"000"))</x:f>
      </x:c>
      <x:c r="L331" s="21"/>
      <x:c r="M331" s="21"/>
      <x:c r="N331" s="21"/>
      <x:c r="O331" s="43"/>
      <x:c r="P331" s="43"/>
      <x:c r="Q331" s="25"/>
      <x:c r="R331" s="25"/>
      <x:c r="S331" s="39" t="str">
        <x:f>IF(A331="","",SUMIF('07_DUNG_CHO'!$B$6:$B$505,A331,'07_DUNG_CHO'!$E$6:$E$505))</x:f>
      </x:c>
      <x:c r="T331" s="39" t="str">
        <x:f>IF(A331="","",IF(N331="SETUP",0,MAX(0,(P331-O331)*1440-Q331-S331)))</x:f>
      </x:c>
      <x:c r="U331" s="25"/>
      <x:c r="V331" s="25"/>
      <x:c r="W331" s="25"/>
      <x:c r="X331" s="25"/>
      <x:c r="Y331" s="25"/>
      <x:c r="Z331" s="25"/>
      <x:c r="AA331" s="39" t="str">
        <x:f>IF(A331="","",U331-SUM(V331,X331:Z331))</x:f>
      </x:c>
      <x:c r="AB331" s="39" t="str">
        <x:f>IF(A331="","",IF(N331="SETUP",IFERROR(INDEX('04_KE_HOACH_CD'!$K$6:$K$305,MATCH(K331,'04_KE_HOACH_CD'!$G$6:$G$305,0)),0),IF(OR(N331="PRODUCTION",N331="REWORK"),IFERROR(INDEX('04_KE_HOACH_CD'!$L$6:$L$305,MATCH(K331,'04_KE_HOACH_CD'!$G$6:$G$305,0))*V331,0),0)))</x:f>
      </x:c>
      <x:c r="AC331" s="39" t="str">
        <x:f>IF(A331="","",MAX(0,(P331-O331)*1440-Q331))</x:f>
      </x:c>
      <x:c r="AD331" s="37" t="str">
        <x:f>IF(A331="","",IFERROR(AB331/AC331,0))</x:f>
      </x:c>
      <x:c r="AE331" s="33" t="str">
        <x:f>IF(A331="","",AC331/60*SUMIF(DM_NHAN_SU!$A$6:$A$105,L331,DM_NHAN_SU!$E$6:$E$105))</x:f>
      </x:c>
      <x:c r="AF331" s="33" t="str">
        <x:f>IF(A331="","",AC331/60*SUMIF(DM_MAY!$A$6:$A$105,M331,DM_MAY!$F$6:$F$105))</x:f>
      </x:c>
      <x:c r="AG331" s="33" t="str">
        <x:f>IF(A331="","",AE331+AF331)</x:f>
      </x:c>
      <x:c r="AH331" s="21"/>
      <x:c r="AI331" s="29" t="str">
        <x:f>IF(A331="","",IF(OR(B331="",D331="",E331="",I331="",L331="",N331="",O331="",P331=""),"Thiếu dữ liệu",IF(AND(OR(N331="PRODUCTION",N331="REWORK",N331="SETUP"),M331=""),"Thiếu máy",IF(P331&lt;O331,"Sai thời gian",IF(AA331&lt;&gt;0,"Sai cân đối SL","Hợp lệ")))))</x:f>
      </x:c>
      <x:c r="AJ331" s="21"/>
    </x:row>
    <x:row r="332">
      <x:c r="A332" s="21"/>
      <x:c r="B332" s="35"/>
      <x:c r="C332" s="21"/>
      <x:c r="D332" s="21"/>
      <x:c r="E332" s="21"/>
      <x:c r="F332" s="21"/>
      <x:c r="G332" s="21"/>
      <x:c r="H332" s="29" t="str">
        <x:f>IF(OR(D332="",E332=""),"",D332&amp;"|"&amp;E332&amp;"|"&amp;IF(F332="","00",F332)&amp;"|"&amp;IF(G332="","01",G332))</x:f>
      </x:c>
      <x:c r="I332" s="21"/>
      <x:c r="J332" s="29" t="str">
        <x:f>IF(K332="","",IFERROR(INDEX('04_KE_HOACH_CD'!$I$6:$I$305,MATCH(K332,'04_KE_HOACH_CD'!$G$6:$G$305,0)),""))</x:f>
      </x:c>
      <x:c r="K332" s="29" t="str">
        <x:f>IF(OR(H332="",I332=""),"",H332&amp;"|"&amp;TEXT(I332,"000"))</x:f>
      </x:c>
      <x:c r="L332" s="21"/>
      <x:c r="M332" s="21"/>
      <x:c r="N332" s="21"/>
      <x:c r="O332" s="43"/>
      <x:c r="P332" s="43"/>
      <x:c r="Q332" s="25"/>
      <x:c r="R332" s="25"/>
      <x:c r="S332" s="39" t="str">
        <x:f>IF(A332="","",SUMIF('07_DUNG_CHO'!$B$6:$B$505,A332,'07_DUNG_CHO'!$E$6:$E$505))</x:f>
      </x:c>
      <x:c r="T332" s="39" t="str">
        <x:f>IF(A332="","",IF(N332="SETUP",0,MAX(0,(P332-O332)*1440-Q332-S332)))</x:f>
      </x:c>
      <x:c r="U332" s="25"/>
      <x:c r="V332" s="25"/>
      <x:c r="W332" s="25"/>
      <x:c r="X332" s="25"/>
      <x:c r="Y332" s="25"/>
      <x:c r="Z332" s="25"/>
      <x:c r="AA332" s="39" t="str">
        <x:f>IF(A332="","",U332-SUM(V332,X332:Z332))</x:f>
      </x:c>
      <x:c r="AB332" s="39" t="str">
        <x:f>IF(A332="","",IF(N332="SETUP",IFERROR(INDEX('04_KE_HOACH_CD'!$K$6:$K$305,MATCH(K332,'04_KE_HOACH_CD'!$G$6:$G$305,0)),0),IF(OR(N332="PRODUCTION",N332="REWORK"),IFERROR(INDEX('04_KE_HOACH_CD'!$L$6:$L$305,MATCH(K332,'04_KE_HOACH_CD'!$G$6:$G$305,0))*V332,0),0)))</x:f>
      </x:c>
      <x:c r="AC332" s="39" t="str">
        <x:f>IF(A332="","",MAX(0,(P332-O332)*1440-Q332))</x:f>
      </x:c>
      <x:c r="AD332" s="37" t="str">
        <x:f>IF(A332="","",IFERROR(AB332/AC332,0))</x:f>
      </x:c>
      <x:c r="AE332" s="33" t="str">
        <x:f>IF(A332="","",AC332/60*SUMIF(DM_NHAN_SU!$A$6:$A$105,L332,DM_NHAN_SU!$E$6:$E$105))</x:f>
      </x:c>
      <x:c r="AF332" s="33" t="str">
        <x:f>IF(A332="","",AC332/60*SUMIF(DM_MAY!$A$6:$A$105,M332,DM_MAY!$F$6:$F$105))</x:f>
      </x:c>
      <x:c r="AG332" s="33" t="str">
        <x:f>IF(A332="","",AE332+AF332)</x:f>
      </x:c>
      <x:c r="AH332" s="21"/>
      <x:c r="AI332" s="29" t="str">
        <x:f>IF(A332="","",IF(OR(B332="",D332="",E332="",I332="",L332="",N332="",O332="",P332=""),"Thiếu dữ liệu",IF(AND(OR(N332="PRODUCTION",N332="REWORK",N332="SETUP"),M332=""),"Thiếu máy",IF(P332&lt;O332,"Sai thời gian",IF(AA332&lt;&gt;0,"Sai cân đối SL","Hợp lệ")))))</x:f>
      </x:c>
      <x:c r="AJ332" s="21"/>
    </x:row>
    <x:row r="333">
      <x:c r="A333" s="21"/>
      <x:c r="B333" s="35"/>
      <x:c r="C333" s="21"/>
      <x:c r="D333" s="21"/>
      <x:c r="E333" s="21"/>
      <x:c r="F333" s="21"/>
      <x:c r="G333" s="21"/>
      <x:c r="H333" s="29" t="str">
        <x:f>IF(OR(D333="",E333=""),"",D333&amp;"|"&amp;E333&amp;"|"&amp;IF(F333="","00",F333)&amp;"|"&amp;IF(G333="","01",G333))</x:f>
      </x:c>
      <x:c r="I333" s="21"/>
      <x:c r="J333" s="29" t="str">
        <x:f>IF(K333="","",IFERROR(INDEX('04_KE_HOACH_CD'!$I$6:$I$305,MATCH(K333,'04_KE_HOACH_CD'!$G$6:$G$305,0)),""))</x:f>
      </x:c>
      <x:c r="K333" s="29" t="str">
        <x:f>IF(OR(H333="",I333=""),"",H333&amp;"|"&amp;TEXT(I333,"000"))</x:f>
      </x:c>
      <x:c r="L333" s="21"/>
      <x:c r="M333" s="21"/>
      <x:c r="N333" s="21"/>
      <x:c r="O333" s="43"/>
      <x:c r="P333" s="43"/>
      <x:c r="Q333" s="25"/>
      <x:c r="R333" s="25"/>
      <x:c r="S333" s="39" t="str">
        <x:f>IF(A333="","",SUMIF('07_DUNG_CHO'!$B$6:$B$505,A333,'07_DUNG_CHO'!$E$6:$E$505))</x:f>
      </x:c>
      <x:c r="T333" s="39" t="str">
        <x:f>IF(A333="","",IF(N333="SETUP",0,MAX(0,(P333-O333)*1440-Q333-S333)))</x:f>
      </x:c>
      <x:c r="U333" s="25"/>
      <x:c r="V333" s="25"/>
      <x:c r="W333" s="25"/>
      <x:c r="X333" s="25"/>
      <x:c r="Y333" s="25"/>
      <x:c r="Z333" s="25"/>
      <x:c r="AA333" s="39" t="str">
        <x:f>IF(A333="","",U333-SUM(V333,X333:Z333))</x:f>
      </x:c>
      <x:c r="AB333" s="39" t="str">
        <x:f>IF(A333="","",IF(N333="SETUP",IFERROR(INDEX('04_KE_HOACH_CD'!$K$6:$K$305,MATCH(K333,'04_KE_HOACH_CD'!$G$6:$G$305,0)),0),IF(OR(N333="PRODUCTION",N333="REWORK"),IFERROR(INDEX('04_KE_HOACH_CD'!$L$6:$L$305,MATCH(K333,'04_KE_HOACH_CD'!$G$6:$G$305,0))*V333,0),0)))</x:f>
      </x:c>
      <x:c r="AC333" s="39" t="str">
        <x:f>IF(A333="","",MAX(0,(P333-O333)*1440-Q333))</x:f>
      </x:c>
      <x:c r="AD333" s="37" t="str">
        <x:f>IF(A333="","",IFERROR(AB333/AC333,0))</x:f>
      </x:c>
      <x:c r="AE333" s="33" t="str">
        <x:f>IF(A333="","",AC333/60*SUMIF(DM_NHAN_SU!$A$6:$A$105,L333,DM_NHAN_SU!$E$6:$E$105))</x:f>
      </x:c>
      <x:c r="AF333" s="33" t="str">
        <x:f>IF(A333="","",AC333/60*SUMIF(DM_MAY!$A$6:$A$105,M333,DM_MAY!$F$6:$F$105))</x:f>
      </x:c>
      <x:c r="AG333" s="33" t="str">
        <x:f>IF(A333="","",AE333+AF333)</x:f>
      </x:c>
      <x:c r="AH333" s="21"/>
      <x:c r="AI333" s="29" t="str">
        <x:f>IF(A333="","",IF(OR(B333="",D333="",E333="",I333="",L333="",N333="",O333="",P333=""),"Thiếu dữ liệu",IF(AND(OR(N333="PRODUCTION",N333="REWORK",N333="SETUP"),M333=""),"Thiếu máy",IF(P333&lt;O333,"Sai thời gian",IF(AA333&lt;&gt;0,"Sai cân đối SL","Hợp lệ")))))</x:f>
      </x:c>
      <x:c r="AJ333" s="21"/>
    </x:row>
    <x:row r="334">
      <x:c r="A334" s="21"/>
      <x:c r="B334" s="35"/>
      <x:c r="C334" s="21"/>
      <x:c r="D334" s="21"/>
      <x:c r="E334" s="21"/>
      <x:c r="F334" s="21"/>
      <x:c r="G334" s="21"/>
      <x:c r="H334" s="29" t="str">
        <x:f>IF(OR(D334="",E334=""),"",D334&amp;"|"&amp;E334&amp;"|"&amp;IF(F334="","00",F334)&amp;"|"&amp;IF(G334="","01",G334))</x:f>
      </x:c>
      <x:c r="I334" s="21"/>
      <x:c r="J334" s="29" t="str">
        <x:f>IF(K334="","",IFERROR(INDEX('04_KE_HOACH_CD'!$I$6:$I$305,MATCH(K334,'04_KE_HOACH_CD'!$G$6:$G$305,0)),""))</x:f>
      </x:c>
      <x:c r="K334" s="29" t="str">
        <x:f>IF(OR(H334="",I334=""),"",H334&amp;"|"&amp;TEXT(I334,"000"))</x:f>
      </x:c>
      <x:c r="L334" s="21"/>
      <x:c r="M334" s="21"/>
      <x:c r="N334" s="21"/>
      <x:c r="O334" s="43"/>
      <x:c r="P334" s="43"/>
      <x:c r="Q334" s="25"/>
      <x:c r="R334" s="25"/>
      <x:c r="S334" s="39" t="str">
        <x:f>IF(A334="","",SUMIF('07_DUNG_CHO'!$B$6:$B$505,A334,'07_DUNG_CHO'!$E$6:$E$505))</x:f>
      </x:c>
      <x:c r="T334" s="39" t="str">
        <x:f>IF(A334="","",IF(N334="SETUP",0,MAX(0,(P334-O334)*1440-Q334-S334)))</x:f>
      </x:c>
      <x:c r="U334" s="25"/>
      <x:c r="V334" s="25"/>
      <x:c r="W334" s="25"/>
      <x:c r="X334" s="25"/>
      <x:c r="Y334" s="25"/>
      <x:c r="Z334" s="25"/>
      <x:c r="AA334" s="39" t="str">
        <x:f>IF(A334="","",U334-SUM(V334,X334:Z334))</x:f>
      </x:c>
      <x:c r="AB334" s="39" t="str">
        <x:f>IF(A334="","",IF(N334="SETUP",IFERROR(INDEX('04_KE_HOACH_CD'!$K$6:$K$305,MATCH(K334,'04_KE_HOACH_CD'!$G$6:$G$305,0)),0),IF(OR(N334="PRODUCTION",N334="REWORK"),IFERROR(INDEX('04_KE_HOACH_CD'!$L$6:$L$305,MATCH(K334,'04_KE_HOACH_CD'!$G$6:$G$305,0))*V334,0),0)))</x:f>
      </x:c>
      <x:c r="AC334" s="39" t="str">
        <x:f>IF(A334="","",MAX(0,(P334-O334)*1440-Q334))</x:f>
      </x:c>
      <x:c r="AD334" s="37" t="str">
        <x:f>IF(A334="","",IFERROR(AB334/AC334,0))</x:f>
      </x:c>
      <x:c r="AE334" s="33" t="str">
        <x:f>IF(A334="","",AC334/60*SUMIF(DM_NHAN_SU!$A$6:$A$105,L334,DM_NHAN_SU!$E$6:$E$105))</x:f>
      </x:c>
      <x:c r="AF334" s="33" t="str">
        <x:f>IF(A334="","",AC334/60*SUMIF(DM_MAY!$A$6:$A$105,M334,DM_MAY!$F$6:$F$105))</x:f>
      </x:c>
      <x:c r="AG334" s="33" t="str">
        <x:f>IF(A334="","",AE334+AF334)</x:f>
      </x:c>
      <x:c r="AH334" s="21"/>
      <x:c r="AI334" s="29" t="str">
        <x:f>IF(A334="","",IF(OR(B334="",D334="",E334="",I334="",L334="",N334="",O334="",P334=""),"Thiếu dữ liệu",IF(AND(OR(N334="PRODUCTION",N334="REWORK",N334="SETUP"),M334=""),"Thiếu máy",IF(P334&lt;O334,"Sai thời gian",IF(AA334&lt;&gt;0,"Sai cân đối SL","Hợp lệ")))))</x:f>
      </x:c>
      <x:c r="AJ334" s="21"/>
    </x:row>
    <x:row r="335">
      <x:c r="A335" s="21"/>
      <x:c r="B335" s="35"/>
      <x:c r="C335" s="21"/>
      <x:c r="D335" s="21"/>
      <x:c r="E335" s="21"/>
      <x:c r="F335" s="21"/>
      <x:c r="G335" s="21"/>
      <x:c r="H335" s="29" t="str">
        <x:f>IF(OR(D335="",E335=""),"",D335&amp;"|"&amp;E335&amp;"|"&amp;IF(F335="","00",F335)&amp;"|"&amp;IF(G335="","01",G335))</x:f>
      </x:c>
      <x:c r="I335" s="21"/>
      <x:c r="J335" s="29" t="str">
        <x:f>IF(K335="","",IFERROR(INDEX('04_KE_HOACH_CD'!$I$6:$I$305,MATCH(K335,'04_KE_HOACH_CD'!$G$6:$G$305,0)),""))</x:f>
      </x:c>
      <x:c r="K335" s="29" t="str">
        <x:f>IF(OR(H335="",I335=""),"",H335&amp;"|"&amp;TEXT(I335,"000"))</x:f>
      </x:c>
      <x:c r="L335" s="21"/>
      <x:c r="M335" s="21"/>
      <x:c r="N335" s="21"/>
      <x:c r="O335" s="43"/>
      <x:c r="P335" s="43"/>
      <x:c r="Q335" s="25"/>
      <x:c r="R335" s="25"/>
      <x:c r="S335" s="39" t="str">
        <x:f>IF(A335="","",SUMIF('07_DUNG_CHO'!$B$6:$B$505,A335,'07_DUNG_CHO'!$E$6:$E$505))</x:f>
      </x:c>
      <x:c r="T335" s="39" t="str">
        <x:f>IF(A335="","",IF(N335="SETUP",0,MAX(0,(P335-O335)*1440-Q335-S335)))</x:f>
      </x:c>
      <x:c r="U335" s="25"/>
      <x:c r="V335" s="25"/>
      <x:c r="W335" s="25"/>
      <x:c r="X335" s="25"/>
      <x:c r="Y335" s="25"/>
      <x:c r="Z335" s="25"/>
      <x:c r="AA335" s="39" t="str">
        <x:f>IF(A335="","",U335-SUM(V335,X335:Z335))</x:f>
      </x:c>
      <x:c r="AB335" s="39" t="str">
        <x:f>IF(A335="","",IF(N335="SETUP",IFERROR(INDEX('04_KE_HOACH_CD'!$K$6:$K$305,MATCH(K335,'04_KE_HOACH_CD'!$G$6:$G$305,0)),0),IF(OR(N335="PRODUCTION",N335="REWORK"),IFERROR(INDEX('04_KE_HOACH_CD'!$L$6:$L$305,MATCH(K335,'04_KE_HOACH_CD'!$G$6:$G$305,0))*V335,0),0)))</x:f>
      </x:c>
      <x:c r="AC335" s="39" t="str">
        <x:f>IF(A335="","",MAX(0,(P335-O335)*1440-Q335))</x:f>
      </x:c>
      <x:c r="AD335" s="37" t="str">
        <x:f>IF(A335="","",IFERROR(AB335/AC335,0))</x:f>
      </x:c>
      <x:c r="AE335" s="33" t="str">
        <x:f>IF(A335="","",AC335/60*SUMIF(DM_NHAN_SU!$A$6:$A$105,L335,DM_NHAN_SU!$E$6:$E$105))</x:f>
      </x:c>
      <x:c r="AF335" s="33" t="str">
        <x:f>IF(A335="","",AC335/60*SUMIF(DM_MAY!$A$6:$A$105,M335,DM_MAY!$F$6:$F$105))</x:f>
      </x:c>
      <x:c r="AG335" s="33" t="str">
        <x:f>IF(A335="","",AE335+AF335)</x:f>
      </x:c>
      <x:c r="AH335" s="21"/>
      <x:c r="AI335" s="29" t="str">
        <x:f>IF(A335="","",IF(OR(B335="",D335="",E335="",I335="",L335="",N335="",O335="",P335=""),"Thiếu dữ liệu",IF(AND(OR(N335="PRODUCTION",N335="REWORK",N335="SETUP"),M335=""),"Thiếu máy",IF(P335&lt;O335,"Sai thời gian",IF(AA335&lt;&gt;0,"Sai cân đối SL","Hợp lệ")))))</x:f>
      </x:c>
      <x:c r="AJ335" s="21"/>
    </x:row>
    <x:row r="336">
      <x:c r="A336" s="21"/>
      <x:c r="B336" s="35"/>
      <x:c r="C336" s="21"/>
      <x:c r="D336" s="21"/>
      <x:c r="E336" s="21"/>
      <x:c r="F336" s="21"/>
      <x:c r="G336" s="21"/>
      <x:c r="H336" s="29" t="str">
        <x:f>IF(OR(D336="",E336=""),"",D336&amp;"|"&amp;E336&amp;"|"&amp;IF(F336="","00",F336)&amp;"|"&amp;IF(G336="","01",G336))</x:f>
      </x:c>
      <x:c r="I336" s="21"/>
      <x:c r="J336" s="29" t="str">
        <x:f>IF(K336="","",IFERROR(INDEX('04_KE_HOACH_CD'!$I$6:$I$305,MATCH(K336,'04_KE_HOACH_CD'!$G$6:$G$305,0)),""))</x:f>
      </x:c>
      <x:c r="K336" s="29" t="str">
        <x:f>IF(OR(H336="",I336=""),"",H336&amp;"|"&amp;TEXT(I336,"000"))</x:f>
      </x:c>
      <x:c r="L336" s="21"/>
      <x:c r="M336" s="21"/>
      <x:c r="N336" s="21"/>
      <x:c r="O336" s="43"/>
      <x:c r="P336" s="43"/>
      <x:c r="Q336" s="25"/>
      <x:c r="R336" s="25"/>
      <x:c r="S336" s="39" t="str">
        <x:f>IF(A336="","",SUMIF('07_DUNG_CHO'!$B$6:$B$505,A336,'07_DUNG_CHO'!$E$6:$E$505))</x:f>
      </x:c>
      <x:c r="T336" s="39" t="str">
        <x:f>IF(A336="","",IF(N336="SETUP",0,MAX(0,(P336-O336)*1440-Q336-S336)))</x:f>
      </x:c>
      <x:c r="U336" s="25"/>
      <x:c r="V336" s="25"/>
      <x:c r="W336" s="25"/>
      <x:c r="X336" s="25"/>
      <x:c r="Y336" s="25"/>
      <x:c r="Z336" s="25"/>
      <x:c r="AA336" s="39" t="str">
        <x:f>IF(A336="","",U336-SUM(V336,X336:Z336))</x:f>
      </x:c>
      <x:c r="AB336" s="39" t="str">
        <x:f>IF(A336="","",IF(N336="SETUP",IFERROR(INDEX('04_KE_HOACH_CD'!$K$6:$K$305,MATCH(K336,'04_KE_HOACH_CD'!$G$6:$G$305,0)),0),IF(OR(N336="PRODUCTION",N336="REWORK"),IFERROR(INDEX('04_KE_HOACH_CD'!$L$6:$L$305,MATCH(K336,'04_KE_HOACH_CD'!$G$6:$G$305,0))*V336,0),0)))</x:f>
      </x:c>
      <x:c r="AC336" s="39" t="str">
        <x:f>IF(A336="","",MAX(0,(P336-O336)*1440-Q336))</x:f>
      </x:c>
      <x:c r="AD336" s="37" t="str">
        <x:f>IF(A336="","",IFERROR(AB336/AC336,0))</x:f>
      </x:c>
      <x:c r="AE336" s="33" t="str">
        <x:f>IF(A336="","",AC336/60*SUMIF(DM_NHAN_SU!$A$6:$A$105,L336,DM_NHAN_SU!$E$6:$E$105))</x:f>
      </x:c>
      <x:c r="AF336" s="33" t="str">
        <x:f>IF(A336="","",AC336/60*SUMIF(DM_MAY!$A$6:$A$105,M336,DM_MAY!$F$6:$F$105))</x:f>
      </x:c>
      <x:c r="AG336" s="33" t="str">
        <x:f>IF(A336="","",AE336+AF336)</x:f>
      </x:c>
      <x:c r="AH336" s="21"/>
      <x:c r="AI336" s="29" t="str">
        <x:f>IF(A336="","",IF(OR(B336="",D336="",E336="",I336="",L336="",N336="",O336="",P336=""),"Thiếu dữ liệu",IF(AND(OR(N336="PRODUCTION",N336="REWORK",N336="SETUP"),M336=""),"Thiếu máy",IF(P336&lt;O336,"Sai thời gian",IF(AA336&lt;&gt;0,"Sai cân đối SL","Hợp lệ")))))</x:f>
      </x:c>
      <x:c r="AJ336" s="21"/>
    </x:row>
    <x:row r="337">
      <x:c r="A337" s="21"/>
      <x:c r="B337" s="35"/>
      <x:c r="C337" s="21"/>
      <x:c r="D337" s="21"/>
      <x:c r="E337" s="21"/>
      <x:c r="F337" s="21"/>
      <x:c r="G337" s="21"/>
      <x:c r="H337" s="29" t="str">
        <x:f>IF(OR(D337="",E337=""),"",D337&amp;"|"&amp;E337&amp;"|"&amp;IF(F337="","00",F337)&amp;"|"&amp;IF(G337="","01",G337))</x:f>
      </x:c>
      <x:c r="I337" s="21"/>
      <x:c r="J337" s="29" t="str">
        <x:f>IF(K337="","",IFERROR(INDEX('04_KE_HOACH_CD'!$I$6:$I$305,MATCH(K337,'04_KE_HOACH_CD'!$G$6:$G$305,0)),""))</x:f>
      </x:c>
      <x:c r="K337" s="29" t="str">
        <x:f>IF(OR(H337="",I337=""),"",H337&amp;"|"&amp;TEXT(I337,"000"))</x:f>
      </x:c>
      <x:c r="L337" s="21"/>
      <x:c r="M337" s="21"/>
      <x:c r="N337" s="21"/>
      <x:c r="O337" s="43"/>
      <x:c r="P337" s="43"/>
      <x:c r="Q337" s="25"/>
      <x:c r="R337" s="25"/>
      <x:c r="S337" s="39" t="str">
        <x:f>IF(A337="","",SUMIF('07_DUNG_CHO'!$B$6:$B$505,A337,'07_DUNG_CHO'!$E$6:$E$505))</x:f>
      </x:c>
      <x:c r="T337" s="39" t="str">
        <x:f>IF(A337="","",IF(N337="SETUP",0,MAX(0,(P337-O337)*1440-Q337-S337)))</x:f>
      </x:c>
      <x:c r="U337" s="25"/>
      <x:c r="V337" s="25"/>
      <x:c r="W337" s="25"/>
      <x:c r="X337" s="25"/>
      <x:c r="Y337" s="25"/>
      <x:c r="Z337" s="25"/>
      <x:c r="AA337" s="39" t="str">
        <x:f>IF(A337="","",U337-SUM(V337,X337:Z337))</x:f>
      </x:c>
      <x:c r="AB337" s="39" t="str">
        <x:f>IF(A337="","",IF(N337="SETUP",IFERROR(INDEX('04_KE_HOACH_CD'!$K$6:$K$305,MATCH(K337,'04_KE_HOACH_CD'!$G$6:$G$305,0)),0),IF(OR(N337="PRODUCTION",N337="REWORK"),IFERROR(INDEX('04_KE_HOACH_CD'!$L$6:$L$305,MATCH(K337,'04_KE_HOACH_CD'!$G$6:$G$305,0))*V337,0),0)))</x:f>
      </x:c>
      <x:c r="AC337" s="39" t="str">
        <x:f>IF(A337="","",MAX(0,(P337-O337)*1440-Q337))</x:f>
      </x:c>
      <x:c r="AD337" s="37" t="str">
        <x:f>IF(A337="","",IFERROR(AB337/AC337,0))</x:f>
      </x:c>
      <x:c r="AE337" s="33" t="str">
        <x:f>IF(A337="","",AC337/60*SUMIF(DM_NHAN_SU!$A$6:$A$105,L337,DM_NHAN_SU!$E$6:$E$105))</x:f>
      </x:c>
      <x:c r="AF337" s="33" t="str">
        <x:f>IF(A337="","",AC337/60*SUMIF(DM_MAY!$A$6:$A$105,M337,DM_MAY!$F$6:$F$105))</x:f>
      </x:c>
      <x:c r="AG337" s="33" t="str">
        <x:f>IF(A337="","",AE337+AF337)</x:f>
      </x:c>
      <x:c r="AH337" s="21"/>
      <x:c r="AI337" s="29" t="str">
        <x:f>IF(A337="","",IF(OR(B337="",D337="",E337="",I337="",L337="",N337="",O337="",P337=""),"Thiếu dữ liệu",IF(AND(OR(N337="PRODUCTION",N337="REWORK",N337="SETUP"),M337=""),"Thiếu máy",IF(P337&lt;O337,"Sai thời gian",IF(AA337&lt;&gt;0,"Sai cân đối SL","Hợp lệ")))))</x:f>
      </x:c>
      <x:c r="AJ337" s="21"/>
    </x:row>
    <x:row r="338">
      <x:c r="A338" s="21"/>
      <x:c r="B338" s="35"/>
      <x:c r="C338" s="21"/>
      <x:c r="D338" s="21"/>
      <x:c r="E338" s="21"/>
      <x:c r="F338" s="21"/>
      <x:c r="G338" s="21"/>
      <x:c r="H338" s="29" t="str">
        <x:f>IF(OR(D338="",E338=""),"",D338&amp;"|"&amp;E338&amp;"|"&amp;IF(F338="","00",F338)&amp;"|"&amp;IF(G338="","01",G338))</x:f>
      </x:c>
      <x:c r="I338" s="21"/>
      <x:c r="J338" s="29" t="str">
        <x:f>IF(K338="","",IFERROR(INDEX('04_KE_HOACH_CD'!$I$6:$I$305,MATCH(K338,'04_KE_HOACH_CD'!$G$6:$G$305,0)),""))</x:f>
      </x:c>
      <x:c r="K338" s="29" t="str">
        <x:f>IF(OR(H338="",I338=""),"",H338&amp;"|"&amp;TEXT(I338,"000"))</x:f>
      </x:c>
      <x:c r="L338" s="21"/>
      <x:c r="M338" s="21"/>
      <x:c r="N338" s="21"/>
      <x:c r="O338" s="43"/>
      <x:c r="P338" s="43"/>
      <x:c r="Q338" s="25"/>
      <x:c r="R338" s="25"/>
      <x:c r="S338" s="39" t="str">
        <x:f>IF(A338="","",SUMIF('07_DUNG_CHO'!$B$6:$B$505,A338,'07_DUNG_CHO'!$E$6:$E$505))</x:f>
      </x:c>
      <x:c r="T338" s="39" t="str">
        <x:f>IF(A338="","",IF(N338="SETUP",0,MAX(0,(P338-O338)*1440-Q338-S338)))</x:f>
      </x:c>
      <x:c r="U338" s="25"/>
      <x:c r="V338" s="25"/>
      <x:c r="W338" s="25"/>
      <x:c r="X338" s="25"/>
      <x:c r="Y338" s="25"/>
      <x:c r="Z338" s="25"/>
      <x:c r="AA338" s="39" t="str">
        <x:f>IF(A338="","",U338-SUM(V338,X338:Z338))</x:f>
      </x:c>
      <x:c r="AB338" s="39" t="str">
        <x:f>IF(A338="","",IF(N338="SETUP",IFERROR(INDEX('04_KE_HOACH_CD'!$K$6:$K$305,MATCH(K338,'04_KE_HOACH_CD'!$G$6:$G$305,0)),0),IF(OR(N338="PRODUCTION",N338="REWORK"),IFERROR(INDEX('04_KE_HOACH_CD'!$L$6:$L$305,MATCH(K338,'04_KE_HOACH_CD'!$G$6:$G$305,0))*V338,0),0)))</x:f>
      </x:c>
      <x:c r="AC338" s="39" t="str">
        <x:f>IF(A338="","",MAX(0,(P338-O338)*1440-Q338))</x:f>
      </x:c>
      <x:c r="AD338" s="37" t="str">
        <x:f>IF(A338="","",IFERROR(AB338/AC338,0))</x:f>
      </x:c>
      <x:c r="AE338" s="33" t="str">
        <x:f>IF(A338="","",AC338/60*SUMIF(DM_NHAN_SU!$A$6:$A$105,L338,DM_NHAN_SU!$E$6:$E$105))</x:f>
      </x:c>
      <x:c r="AF338" s="33" t="str">
        <x:f>IF(A338="","",AC338/60*SUMIF(DM_MAY!$A$6:$A$105,M338,DM_MAY!$F$6:$F$105))</x:f>
      </x:c>
      <x:c r="AG338" s="33" t="str">
        <x:f>IF(A338="","",AE338+AF338)</x:f>
      </x:c>
      <x:c r="AH338" s="21"/>
      <x:c r="AI338" s="29" t="str">
        <x:f>IF(A338="","",IF(OR(B338="",D338="",E338="",I338="",L338="",N338="",O338="",P338=""),"Thiếu dữ liệu",IF(AND(OR(N338="PRODUCTION",N338="REWORK",N338="SETUP"),M338=""),"Thiếu máy",IF(P338&lt;O338,"Sai thời gian",IF(AA338&lt;&gt;0,"Sai cân đối SL","Hợp lệ")))))</x:f>
      </x:c>
      <x:c r="AJ338" s="21"/>
    </x:row>
    <x:row r="339">
      <x:c r="A339" s="21"/>
      <x:c r="B339" s="35"/>
      <x:c r="C339" s="21"/>
      <x:c r="D339" s="21"/>
      <x:c r="E339" s="21"/>
      <x:c r="F339" s="21"/>
      <x:c r="G339" s="21"/>
      <x:c r="H339" s="29" t="str">
        <x:f>IF(OR(D339="",E339=""),"",D339&amp;"|"&amp;E339&amp;"|"&amp;IF(F339="","00",F339)&amp;"|"&amp;IF(G339="","01",G339))</x:f>
      </x:c>
      <x:c r="I339" s="21"/>
      <x:c r="J339" s="29" t="str">
        <x:f>IF(K339="","",IFERROR(INDEX('04_KE_HOACH_CD'!$I$6:$I$305,MATCH(K339,'04_KE_HOACH_CD'!$G$6:$G$305,0)),""))</x:f>
      </x:c>
      <x:c r="K339" s="29" t="str">
        <x:f>IF(OR(H339="",I339=""),"",H339&amp;"|"&amp;TEXT(I339,"000"))</x:f>
      </x:c>
      <x:c r="L339" s="21"/>
      <x:c r="M339" s="21"/>
      <x:c r="N339" s="21"/>
      <x:c r="O339" s="43"/>
      <x:c r="P339" s="43"/>
      <x:c r="Q339" s="25"/>
      <x:c r="R339" s="25"/>
      <x:c r="S339" s="39" t="str">
        <x:f>IF(A339="","",SUMIF('07_DUNG_CHO'!$B$6:$B$505,A339,'07_DUNG_CHO'!$E$6:$E$505))</x:f>
      </x:c>
      <x:c r="T339" s="39" t="str">
        <x:f>IF(A339="","",IF(N339="SETUP",0,MAX(0,(P339-O339)*1440-Q339-S339)))</x:f>
      </x:c>
      <x:c r="U339" s="25"/>
      <x:c r="V339" s="25"/>
      <x:c r="W339" s="25"/>
      <x:c r="X339" s="25"/>
      <x:c r="Y339" s="25"/>
      <x:c r="Z339" s="25"/>
      <x:c r="AA339" s="39" t="str">
        <x:f>IF(A339="","",U339-SUM(V339,X339:Z339))</x:f>
      </x:c>
      <x:c r="AB339" s="39" t="str">
        <x:f>IF(A339="","",IF(N339="SETUP",IFERROR(INDEX('04_KE_HOACH_CD'!$K$6:$K$305,MATCH(K339,'04_KE_HOACH_CD'!$G$6:$G$305,0)),0),IF(OR(N339="PRODUCTION",N339="REWORK"),IFERROR(INDEX('04_KE_HOACH_CD'!$L$6:$L$305,MATCH(K339,'04_KE_HOACH_CD'!$G$6:$G$305,0))*V339,0),0)))</x:f>
      </x:c>
      <x:c r="AC339" s="39" t="str">
        <x:f>IF(A339="","",MAX(0,(P339-O339)*1440-Q339))</x:f>
      </x:c>
      <x:c r="AD339" s="37" t="str">
        <x:f>IF(A339="","",IFERROR(AB339/AC339,0))</x:f>
      </x:c>
      <x:c r="AE339" s="33" t="str">
        <x:f>IF(A339="","",AC339/60*SUMIF(DM_NHAN_SU!$A$6:$A$105,L339,DM_NHAN_SU!$E$6:$E$105))</x:f>
      </x:c>
      <x:c r="AF339" s="33" t="str">
        <x:f>IF(A339="","",AC339/60*SUMIF(DM_MAY!$A$6:$A$105,M339,DM_MAY!$F$6:$F$105))</x:f>
      </x:c>
      <x:c r="AG339" s="33" t="str">
        <x:f>IF(A339="","",AE339+AF339)</x:f>
      </x:c>
      <x:c r="AH339" s="21"/>
      <x:c r="AI339" s="29" t="str">
        <x:f>IF(A339="","",IF(OR(B339="",D339="",E339="",I339="",L339="",N339="",O339="",P339=""),"Thiếu dữ liệu",IF(AND(OR(N339="PRODUCTION",N339="REWORK",N339="SETUP"),M339=""),"Thiếu máy",IF(P339&lt;O339,"Sai thời gian",IF(AA339&lt;&gt;0,"Sai cân đối SL","Hợp lệ")))))</x:f>
      </x:c>
      <x:c r="AJ339" s="21"/>
    </x:row>
    <x:row r="340">
      <x:c r="A340" s="21"/>
      <x:c r="B340" s="35"/>
      <x:c r="C340" s="21"/>
      <x:c r="D340" s="21"/>
      <x:c r="E340" s="21"/>
      <x:c r="F340" s="21"/>
      <x:c r="G340" s="21"/>
      <x:c r="H340" s="29" t="str">
        <x:f>IF(OR(D340="",E340=""),"",D340&amp;"|"&amp;E340&amp;"|"&amp;IF(F340="","00",F340)&amp;"|"&amp;IF(G340="","01",G340))</x:f>
      </x:c>
      <x:c r="I340" s="21"/>
      <x:c r="J340" s="29" t="str">
        <x:f>IF(K340="","",IFERROR(INDEX('04_KE_HOACH_CD'!$I$6:$I$305,MATCH(K340,'04_KE_HOACH_CD'!$G$6:$G$305,0)),""))</x:f>
      </x:c>
      <x:c r="K340" s="29" t="str">
        <x:f>IF(OR(H340="",I340=""),"",H340&amp;"|"&amp;TEXT(I340,"000"))</x:f>
      </x:c>
      <x:c r="L340" s="21"/>
      <x:c r="M340" s="21"/>
      <x:c r="N340" s="21"/>
      <x:c r="O340" s="43"/>
      <x:c r="P340" s="43"/>
      <x:c r="Q340" s="25"/>
      <x:c r="R340" s="25"/>
      <x:c r="S340" s="39" t="str">
        <x:f>IF(A340="","",SUMIF('07_DUNG_CHO'!$B$6:$B$505,A340,'07_DUNG_CHO'!$E$6:$E$505))</x:f>
      </x:c>
      <x:c r="T340" s="39" t="str">
        <x:f>IF(A340="","",IF(N340="SETUP",0,MAX(0,(P340-O340)*1440-Q340-S340)))</x:f>
      </x:c>
      <x:c r="U340" s="25"/>
      <x:c r="V340" s="25"/>
      <x:c r="W340" s="25"/>
      <x:c r="X340" s="25"/>
      <x:c r="Y340" s="25"/>
      <x:c r="Z340" s="25"/>
      <x:c r="AA340" s="39" t="str">
        <x:f>IF(A340="","",U340-SUM(V340,X340:Z340))</x:f>
      </x:c>
      <x:c r="AB340" s="39" t="str">
        <x:f>IF(A340="","",IF(N340="SETUP",IFERROR(INDEX('04_KE_HOACH_CD'!$K$6:$K$305,MATCH(K340,'04_KE_HOACH_CD'!$G$6:$G$305,0)),0),IF(OR(N340="PRODUCTION",N340="REWORK"),IFERROR(INDEX('04_KE_HOACH_CD'!$L$6:$L$305,MATCH(K340,'04_KE_HOACH_CD'!$G$6:$G$305,0))*V340,0),0)))</x:f>
      </x:c>
      <x:c r="AC340" s="39" t="str">
        <x:f>IF(A340="","",MAX(0,(P340-O340)*1440-Q340))</x:f>
      </x:c>
      <x:c r="AD340" s="37" t="str">
        <x:f>IF(A340="","",IFERROR(AB340/AC340,0))</x:f>
      </x:c>
      <x:c r="AE340" s="33" t="str">
        <x:f>IF(A340="","",AC340/60*SUMIF(DM_NHAN_SU!$A$6:$A$105,L340,DM_NHAN_SU!$E$6:$E$105))</x:f>
      </x:c>
      <x:c r="AF340" s="33" t="str">
        <x:f>IF(A340="","",AC340/60*SUMIF(DM_MAY!$A$6:$A$105,M340,DM_MAY!$F$6:$F$105))</x:f>
      </x:c>
      <x:c r="AG340" s="33" t="str">
        <x:f>IF(A340="","",AE340+AF340)</x:f>
      </x:c>
      <x:c r="AH340" s="21"/>
      <x:c r="AI340" s="29" t="str">
        <x:f>IF(A340="","",IF(OR(B340="",D340="",E340="",I340="",L340="",N340="",O340="",P340=""),"Thiếu dữ liệu",IF(AND(OR(N340="PRODUCTION",N340="REWORK",N340="SETUP"),M340=""),"Thiếu máy",IF(P340&lt;O340,"Sai thời gian",IF(AA340&lt;&gt;0,"Sai cân đối SL","Hợp lệ")))))</x:f>
      </x:c>
      <x:c r="AJ340" s="21"/>
    </x:row>
    <x:row r="341">
      <x:c r="A341" s="21"/>
      <x:c r="B341" s="35"/>
      <x:c r="C341" s="21"/>
      <x:c r="D341" s="21"/>
      <x:c r="E341" s="21"/>
      <x:c r="F341" s="21"/>
      <x:c r="G341" s="21"/>
      <x:c r="H341" s="29" t="str">
        <x:f>IF(OR(D341="",E341=""),"",D341&amp;"|"&amp;E341&amp;"|"&amp;IF(F341="","00",F341)&amp;"|"&amp;IF(G341="","01",G341))</x:f>
      </x:c>
      <x:c r="I341" s="21"/>
      <x:c r="J341" s="29" t="str">
        <x:f>IF(K341="","",IFERROR(INDEX('04_KE_HOACH_CD'!$I$6:$I$305,MATCH(K341,'04_KE_HOACH_CD'!$G$6:$G$305,0)),""))</x:f>
      </x:c>
      <x:c r="K341" s="29" t="str">
        <x:f>IF(OR(H341="",I341=""),"",H341&amp;"|"&amp;TEXT(I341,"000"))</x:f>
      </x:c>
      <x:c r="L341" s="21"/>
      <x:c r="M341" s="21"/>
      <x:c r="N341" s="21"/>
      <x:c r="O341" s="43"/>
      <x:c r="P341" s="43"/>
      <x:c r="Q341" s="25"/>
      <x:c r="R341" s="25"/>
      <x:c r="S341" s="39" t="str">
        <x:f>IF(A341="","",SUMIF('07_DUNG_CHO'!$B$6:$B$505,A341,'07_DUNG_CHO'!$E$6:$E$505))</x:f>
      </x:c>
      <x:c r="T341" s="39" t="str">
        <x:f>IF(A341="","",IF(N341="SETUP",0,MAX(0,(P341-O341)*1440-Q341-S341)))</x:f>
      </x:c>
      <x:c r="U341" s="25"/>
      <x:c r="V341" s="25"/>
      <x:c r="W341" s="25"/>
      <x:c r="X341" s="25"/>
      <x:c r="Y341" s="25"/>
      <x:c r="Z341" s="25"/>
      <x:c r="AA341" s="39" t="str">
        <x:f>IF(A341="","",U341-SUM(V341,X341:Z341))</x:f>
      </x:c>
      <x:c r="AB341" s="39" t="str">
        <x:f>IF(A341="","",IF(N341="SETUP",IFERROR(INDEX('04_KE_HOACH_CD'!$K$6:$K$305,MATCH(K341,'04_KE_HOACH_CD'!$G$6:$G$305,0)),0),IF(OR(N341="PRODUCTION",N341="REWORK"),IFERROR(INDEX('04_KE_HOACH_CD'!$L$6:$L$305,MATCH(K341,'04_KE_HOACH_CD'!$G$6:$G$305,0))*V341,0),0)))</x:f>
      </x:c>
      <x:c r="AC341" s="39" t="str">
        <x:f>IF(A341="","",MAX(0,(P341-O341)*1440-Q341))</x:f>
      </x:c>
      <x:c r="AD341" s="37" t="str">
        <x:f>IF(A341="","",IFERROR(AB341/AC341,0))</x:f>
      </x:c>
      <x:c r="AE341" s="33" t="str">
        <x:f>IF(A341="","",AC341/60*SUMIF(DM_NHAN_SU!$A$6:$A$105,L341,DM_NHAN_SU!$E$6:$E$105))</x:f>
      </x:c>
      <x:c r="AF341" s="33" t="str">
        <x:f>IF(A341="","",AC341/60*SUMIF(DM_MAY!$A$6:$A$105,M341,DM_MAY!$F$6:$F$105))</x:f>
      </x:c>
      <x:c r="AG341" s="33" t="str">
        <x:f>IF(A341="","",AE341+AF341)</x:f>
      </x:c>
      <x:c r="AH341" s="21"/>
      <x:c r="AI341" s="29" t="str">
        <x:f>IF(A341="","",IF(OR(B341="",D341="",E341="",I341="",L341="",N341="",O341="",P341=""),"Thiếu dữ liệu",IF(AND(OR(N341="PRODUCTION",N341="REWORK",N341="SETUP"),M341=""),"Thiếu máy",IF(P341&lt;O341,"Sai thời gian",IF(AA341&lt;&gt;0,"Sai cân đối SL","Hợp lệ")))))</x:f>
      </x:c>
      <x:c r="AJ341" s="21"/>
    </x:row>
    <x:row r="342">
      <x:c r="A342" s="21"/>
      <x:c r="B342" s="35"/>
      <x:c r="C342" s="21"/>
      <x:c r="D342" s="21"/>
      <x:c r="E342" s="21"/>
      <x:c r="F342" s="21"/>
      <x:c r="G342" s="21"/>
      <x:c r="H342" s="29" t="str">
        <x:f>IF(OR(D342="",E342=""),"",D342&amp;"|"&amp;E342&amp;"|"&amp;IF(F342="","00",F342)&amp;"|"&amp;IF(G342="","01",G342))</x:f>
      </x:c>
      <x:c r="I342" s="21"/>
      <x:c r="J342" s="29" t="str">
        <x:f>IF(K342="","",IFERROR(INDEX('04_KE_HOACH_CD'!$I$6:$I$305,MATCH(K342,'04_KE_HOACH_CD'!$G$6:$G$305,0)),""))</x:f>
      </x:c>
      <x:c r="K342" s="29" t="str">
        <x:f>IF(OR(H342="",I342=""),"",H342&amp;"|"&amp;TEXT(I342,"000"))</x:f>
      </x:c>
      <x:c r="L342" s="21"/>
      <x:c r="M342" s="21"/>
      <x:c r="N342" s="21"/>
      <x:c r="O342" s="43"/>
      <x:c r="P342" s="43"/>
      <x:c r="Q342" s="25"/>
      <x:c r="R342" s="25"/>
      <x:c r="S342" s="39" t="str">
        <x:f>IF(A342="","",SUMIF('07_DUNG_CHO'!$B$6:$B$505,A342,'07_DUNG_CHO'!$E$6:$E$505))</x:f>
      </x:c>
      <x:c r="T342" s="39" t="str">
        <x:f>IF(A342="","",IF(N342="SETUP",0,MAX(0,(P342-O342)*1440-Q342-S342)))</x:f>
      </x:c>
      <x:c r="U342" s="25"/>
      <x:c r="V342" s="25"/>
      <x:c r="W342" s="25"/>
      <x:c r="X342" s="25"/>
      <x:c r="Y342" s="25"/>
      <x:c r="Z342" s="25"/>
      <x:c r="AA342" s="39" t="str">
        <x:f>IF(A342="","",U342-SUM(V342,X342:Z342))</x:f>
      </x:c>
      <x:c r="AB342" s="39" t="str">
        <x:f>IF(A342="","",IF(N342="SETUP",IFERROR(INDEX('04_KE_HOACH_CD'!$K$6:$K$305,MATCH(K342,'04_KE_HOACH_CD'!$G$6:$G$305,0)),0),IF(OR(N342="PRODUCTION",N342="REWORK"),IFERROR(INDEX('04_KE_HOACH_CD'!$L$6:$L$305,MATCH(K342,'04_KE_HOACH_CD'!$G$6:$G$305,0))*V342,0),0)))</x:f>
      </x:c>
      <x:c r="AC342" s="39" t="str">
        <x:f>IF(A342="","",MAX(0,(P342-O342)*1440-Q342))</x:f>
      </x:c>
      <x:c r="AD342" s="37" t="str">
        <x:f>IF(A342="","",IFERROR(AB342/AC342,0))</x:f>
      </x:c>
      <x:c r="AE342" s="33" t="str">
        <x:f>IF(A342="","",AC342/60*SUMIF(DM_NHAN_SU!$A$6:$A$105,L342,DM_NHAN_SU!$E$6:$E$105))</x:f>
      </x:c>
      <x:c r="AF342" s="33" t="str">
        <x:f>IF(A342="","",AC342/60*SUMIF(DM_MAY!$A$6:$A$105,M342,DM_MAY!$F$6:$F$105))</x:f>
      </x:c>
      <x:c r="AG342" s="33" t="str">
        <x:f>IF(A342="","",AE342+AF342)</x:f>
      </x:c>
      <x:c r="AH342" s="21"/>
      <x:c r="AI342" s="29" t="str">
        <x:f>IF(A342="","",IF(OR(B342="",D342="",E342="",I342="",L342="",N342="",O342="",P342=""),"Thiếu dữ liệu",IF(AND(OR(N342="PRODUCTION",N342="REWORK",N342="SETUP"),M342=""),"Thiếu máy",IF(P342&lt;O342,"Sai thời gian",IF(AA342&lt;&gt;0,"Sai cân đối SL","Hợp lệ")))))</x:f>
      </x:c>
      <x:c r="AJ342" s="21"/>
    </x:row>
    <x:row r="343">
      <x:c r="A343" s="21"/>
      <x:c r="B343" s="35"/>
      <x:c r="C343" s="21"/>
      <x:c r="D343" s="21"/>
      <x:c r="E343" s="21"/>
      <x:c r="F343" s="21"/>
      <x:c r="G343" s="21"/>
      <x:c r="H343" s="29" t="str">
        <x:f>IF(OR(D343="",E343=""),"",D343&amp;"|"&amp;E343&amp;"|"&amp;IF(F343="","00",F343)&amp;"|"&amp;IF(G343="","01",G343))</x:f>
      </x:c>
      <x:c r="I343" s="21"/>
      <x:c r="J343" s="29" t="str">
        <x:f>IF(K343="","",IFERROR(INDEX('04_KE_HOACH_CD'!$I$6:$I$305,MATCH(K343,'04_KE_HOACH_CD'!$G$6:$G$305,0)),""))</x:f>
      </x:c>
      <x:c r="K343" s="29" t="str">
        <x:f>IF(OR(H343="",I343=""),"",H343&amp;"|"&amp;TEXT(I343,"000"))</x:f>
      </x:c>
      <x:c r="L343" s="21"/>
      <x:c r="M343" s="21"/>
      <x:c r="N343" s="21"/>
      <x:c r="O343" s="43"/>
      <x:c r="P343" s="43"/>
      <x:c r="Q343" s="25"/>
      <x:c r="R343" s="25"/>
      <x:c r="S343" s="39" t="str">
        <x:f>IF(A343="","",SUMIF('07_DUNG_CHO'!$B$6:$B$505,A343,'07_DUNG_CHO'!$E$6:$E$505))</x:f>
      </x:c>
      <x:c r="T343" s="39" t="str">
        <x:f>IF(A343="","",IF(N343="SETUP",0,MAX(0,(P343-O343)*1440-Q343-S343)))</x:f>
      </x:c>
      <x:c r="U343" s="25"/>
      <x:c r="V343" s="25"/>
      <x:c r="W343" s="25"/>
      <x:c r="X343" s="25"/>
      <x:c r="Y343" s="25"/>
      <x:c r="Z343" s="25"/>
      <x:c r="AA343" s="39" t="str">
        <x:f>IF(A343="","",U343-SUM(V343,X343:Z343))</x:f>
      </x:c>
      <x:c r="AB343" s="39" t="str">
        <x:f>IF(A343="","",IF(N343="SETUP",IFERROR(INDEX('04_KE_HOACH_CD'!$K$6:$K$305,MATCH(K343,'04_KE_HOACH_CD'!$G$6:$G$305,0)),0),IF(OR(N343="PRODUCTION",N343="REWORK"),IFERROR(INDEX('04_KE_HOACH_CD'!$L$6:$L$305,MATCH(K343,'04_KE_HOACH_CD'!$G$6:$G$305,0))*V343,0),0)))</x:f>
      </x:c>
      <x:c r="AC343" s="39" t="str">
        <x:f>IF(A343="","",MAX(0,(P343-O343)*1440-Q343))</x:f>
      </x:c>
      <x:c r="AD343" s="37" t="str">
        <x:f>IF(A343="","",IFERROR(AB343/AC343,0))</x:f>
      </x:c>
      <x:c r="AE343" s="33" t="str">
        <x:f>IF(A343="","",AC343/60*SUMIF(DM_NHAN_SU!$A$6:$A$105,L343,DM_NHAN_SU!$E$6:$E$105))</x:f>
      </x:c>
      <x:c r="AF343" s="33" t="str">
        <x:f>IF(A343="","",AC343/60*SUMIF(DM_MAY!$A$6:$A$105,M343,DM_MAY!$F$6:$F$105))</x:f>
      </x:c>
      <x:c r="AG343" s="33" t="str">
        <x:f>IF(A343="","",AE343+AF343)</x:f>
      </x:c>
      <x:c r="AH343" s="21"/>
      <x:c r="AI343" s="29" t="str">
        <x:f>IF(A343="","",IF(OR(B343="",D343="",E343="",I343="",L343="",N343="",O343="",P343=""),"Thiếu dữ liệu",IF(AND(OR(N343="PRODUCTION",N343="REWORK",N343="SETUP"),M343=""),"Thiếu máy",IF(P343&lt;O343,"Sai thời gian",IF(AA343&lt;&gt;0,"Sai cân đối SL","Hợp lệ")))))</x:f>
      </x:c>
      <x:c r="AJ343" s="21"/>
    </x:row>
    <x:row r="344">
      <x:c r="A344" s="21"/>
      <x:c r="B344" s="35"/>
      <x:c r="C344" s="21"/>
      <x:c r="D344" s="21"/>
      <x:c r="E344" s="21"/>
      <x:c r="F344" s="21"/>
      <x:c r="G344" s="21"/>
      <x:c r="H344" s="29" t="str">
        <x:f>IF(OR(D344="",E344=""),"",D344&amp;"|"&amp;E344&amp;"|"&amp;IF(F344="","00",F344)&amp;"|"&amp;IF(G344="","01",G344))</x:f>
      </x:c>
      <x:c r="I344" s="21"/>
      <x:c r="J344" s="29" t="str">
        <x:f>IF(K344="","",IFERROR(INDEX('04_KE_HOACH_CD'!$I$6:$I$305,MATCH(K344,'04_KE_HOACH_CD'!$G$6:$G$305,0)),""))</x:f>
      </x:c>
      <x:c r="K344" s="29" t="str">
        <x:f>IF(OR(H344="",I344=""),"",H344&amp;"|"&amp;TEXT(I344,"000"))</x:f>
      </x:c>
      <x:c r="L344" s="21"/>
      <x:c r="M344" s="21"/>
      <x:c r="N344" s="21"/>
      <x:c r="O344" s="43"/>
      <x:c r="P344" s="43"/>
      <x:c r="Q344" s="25"/>
      <x:c r="R344" s="25"/>
      <x:c r="S344" s="39" t="str">
        <x:f>IF(A344="","",SUMIF('07_DUNG_CHO'!$B$6:$B$505,A344,'07_DUNG_CHO'!$E$6:$E$505))</x:f>
      </x:c>
      <x:c r="T344" s="39" t="str">
        <x:f>IF(A344="","",IF(N344="SETUP",0,MAX(0,(P344-O344)*1440-Q344-S344)))</x:f>
      </x:c>
      <x:c r="U344" s="25"/>
      <x:c r="V344" s="25"/>
      <x:c r="W344" s="25"/>
      <x:c r="X344" s="25"/>
      <x:c r="Y344" s="25"/>
      <x:c r="Z344" s="25"/>
      <x:c r="AA344" s="39" t="str">
        <x:f>IF(A344="","",U344-SUM(V344,X344:Z344))</x:f>
      </x:c>
      <x:c r="AB344" s="39" t="str">
        <x:f>IF(A344="","",IF(N344="SETUP",IFERROR(INDEX('04_KE_HOACH_CD'!$K$6:$K$305,MATCH(K344,'04_KE_HOACH_CD'!$G$6:$G$305,0)),0),IF(OR(N344="PRODUCTION",N344="REWORK"),IFERROR(INDEX('04_KE_HOACH_CD'!$L$6:$L$305,MATCH(K344,'04_KE_HOACH_CD'!$G$6:$G$305,0))*V344,0),0)))</x:f>
      </x:c>
      <x:c r="AC344" s="39" t="str">
        <x:f>IF(A344="","",MAX(0,(P344-O344)*1440-Q344))</x:f>
      </x:c>
      <x:c r="AD344" s="37" t="str">
        <x:f>IF(A344="","",IFERROR(AB344/AC344,0))</x:f>
      </x:c>
      <x:c r="AE344" s="33" t="str">
        <x:f>IF(A344="","",AC344/60*SUMIF(DM_NHAN_SU!$A$6:$A$105,L344,DM_NHAN_SU!$E$6:$E$105))</x:f>
      </x:c>
      <x:c r="AF344" s="33" t="str">
        <x:f>IF(A344="","",AC344/60*SUMIF(DM_MAY!$A$6:$A$105,M344,DM_MAY!$F$6:$F$105))</x:f>
      </x:c>
      <x:c r="AG344" s="33" t="str">
        <x:f>IF(A344="","",AE344+AF344)</x:f>
      </x:c>
      <x:c r="AH344" s="21"/>
      <x:c r="AI344" s="29" t="str">
        <x:f>IF(A344="","",IF(OR(B344="",D344="",E344="",I344="",L344="",N344="",O344="",P344=""),"Thiếu dữ liệu",IF(AND(OR(N344="PRODUCTION",N344="REWORK",N344="SETUP"),M344=""),"Thiếu máy",IF(P344&lt;O344,"Sai thời gian",IF(AA344&lt;&gt;0,"Sai cân đối SL","Hợp lệ")))))</x:f>
      </x:c>
      <x:c r="AJ344" s="21"/>
    </x:row>
    <x:row r="345">
      <x:c r="A345" s="21"/>
      <x:c r="B345" s="35"/>
      <x:c r="C345" s="21"/>
      <x:c r="D345" s="21"/>
      <x:c r="E345" s="21"/>
      <x:c r="F345" s="21"/>
      <x:c r="G345" s="21"/>
      <x:c r="H345" s="29" t="str">
        <x:f>IF(OR(D345="",E345=""),"",D345&amp;"|"&amp;E345&amp;"|"&amp;IF(F345="","00",F345)&amp;"|"&amp;IF(G345="","01",G345))</x:f>
      </x:c>
      <x:c r="I345" s="21"/>
      <x:c r="J345" s="29" t="str">
        <x:f>IF(K345="","",IFERROR(INDEX('04_KE_HOACH_CD'!$I$6:$I$305,MATCH(K345,'04_KE_HOACH_CD'!$G$6:$G$305,0)),""))</x:f>
      </x:c>
      <x:c r="K345" s="29" t="str">
        <x:f>IF(OR(H345="",I345=""),"",H345&amp;"|"&amp;TEXT(I345,"000"))</x:f>
      </x:c>
      <x:c r="L345" s="21"/>
      <x:c r="M345" s="21"/>
      <x:c r="N345" s="21"/>
      <x:c r="O345" s="43"/>
      <x:c r="P345" s="43"/>
      <x:c r="Q345" s="25"/>
      <x:c r="R345" s="25"/>
      <x:c r="S345" s="39" t="str">
        <x:f>IF(A345="","",SUMIF('07_DUNG_CHO'!$B$6:$B$505,A345,'07_DUNG_CHO'!$E$6:$E$505))</x:f>
      </x:c>
      <x:c r="T345" s="39" t="str">
        <x:f>IF(A345="","",IF(N345="SETUP",0,MAX(0,(P345-O345)*1440-Q345-S345)))</x:f>
      </x:c>
      <x:c r="U345" s="25"/>
      <x:c r="V345" s="25"/>
      <x:c r="W345" s="25"/>
      <x:c r="X345" s="25"/>
      <x:c r="Y345" s="25"/>
      <x:c r="Z345" s="25"/>
      <x:c r="AA345" s="39" t="str">
        <x:f>IF(A345="","",U345-SUM(V345,X345:Z345))</x:f>
      </x:c>
      <x:c r="AB345" s="39" t="str">
        <x:f>IF(A345="","",IF(N345="SETUP",IFERROR(INDEX('04_KE_HOACH_CD'!$K$6:$K$305,MATCH(K345,'04_KE_HOACH_CD'!$G$6:$G$305,0)),0),IF(OR(N345="PRODUCTION",N345="REWORK"),IFERROR(INDEX('04_KE_HOACH_CD'!$L$6:$L$305,MATCH(K345,'04_KE_HOACH_CD'!$G$6:$G$305,0))*V345,0),0)))</x:f>
      </x:c>
      <x:c r="AC345" s="39" t="str">
        <x:f>IF(A345="","",MAX(0,(P345-O345)*1440-Q345))</x:f>
      </x:c>
      <x:c r="AD345" s="37" t="str">
        <x:f>IF(A345="","",IFERROR(AB345/AC345,0))</x:f>
      </x:c>
      <x:c r="AE345" s="33" t="str">
        <x:f>IF(A345="","",AC345/60*SUMIF(DM_NHAN_SU!$A$6:$A$105,L345,DM_NHAN_SU!$E$6:$E$105))</x:f>
      </x:c>
      <x:c r="AF345" s="33" t="str">
        <x:f>IF(A345="","",AC345/60*SUMIF(DM_MAY!$A$6:$A$105,M345,DM_MAY!$F$6:$F$105))</x:f>
      </x:c>
      <x:c r="AG345" s="33" t="str">
        <x:f>IF(A345="","",AE345+AF345)</x:f>
      </x:c>
      <x:c r="AH345" s="21"/>
      <x:c r="AI345" s="29" t="str">
        <x:f>IF(A345="","",IF(OR(B345="",D345="",E345="",I345="",L345="",N345="",O345="",P345=""),"Thiếu dữ liệu",IF(AND(OR(N345="PRODUCTION",N345="REWORK",N345="SETUP"),M345=""),"Thiếu máy",IF(P345&lt;O345,"Sai thời gian",IF(AA345&lt;&gt;0,"Sai cân đối SL","Hợp lệ")))))</x:f>
      </x:c>
      <x:c r="AJ345" s="21"/>
    </x:row>
    <x:row r="346">
      <x:c r="A346" s="21"/>
      <x:c r="B346" s="35"/>
      <x:c r="C346" s="21"/>
      <x:c r="D346" s="21"/>
      <x:c r="E346" s="21"/>
      <x:c r="F346" s="21"/>
      <x:c r="G346" s="21"/>
      <x:c r="H346" s="29" t="str">
        <x:f>IF(OR(D346="",E346=""),"",D346&amp;"|"&amp;E346&amp;"|"&amp;IF(F346="","00",F346)&amp;"|"&amp;IF(G346="","01",G346))</x:f>
      </x:c>
      <x:c r="I346" s="21"/>
      <x:c r="J346" s="29" t="str">
        <x:f>IF(K346="","",IFERROR(INDEX('04_KE_HOACH_CD'!$I$6:$I$305,MATCH(K346,'04_KE_HOACH_CD'!$G$6:$G$305,0)),""))</x:f>
      </x:c>
      <x:c r="K346" s="29" t="str">
        <x:f>IF(OR(H346="",I346=""),"",H346&amp;"|"&amp;TEXT(I346,"000"))</x:f>
      </x:c>
      <x:c r="L346" s="21"/>
      <x:c r="M346" s="21"/>
      <x:c r="N346" s="21"/>
      <x:c r="O346" s="43"/>
      <x:c r="P346" s="43"/>
      <x:c r="Q346" s="25"/>
      <x:c r="R346" s="25"/>
      <x:c r="S346" s="39" t="str">
        <x:f>IF(A346="","",SUMIF('07_DUNG_CHO'!$B$6:$B$505,A346,'07_DUNG_CHO'!$E$6:$E$505))</x:f>
      </x:c>
      <x:c r="T346" s="39" t="str">
        <x:f>IF(A346="","",IF(N346="SETUP",0,MAX(0,(P346-O346)*1440-Q346-S346)))</x:f>
      </x:c>
      <x:c r="U346" s="25"/>
      <x:c r="V346" s="25"/>
      <x:c r="W346" s="25"/>
      <x:c r="X346" s="25"/>
      <x:c r="Y346" s="25"/>
      <x:c r="Z346" s="25"/>
      <x:c r="AA346" s="39" t="str">
        <x:f>IF(A346="","",U346-SUM(V346,X346:Z346))</x:f>
      </x:c>
      <x:c r="AB346" s="39" t="str">
        <x:f>IF(A346="","",IF(N346="SETUP",IFERROR(INDEX('04_KE_HOACH_CD'!$K$6:$K$305,MATCH(K346,'04_KE_HOACH_CD'!$G$6:$G$305,0)),0),IF(OR(N346="PRODUCTION",N346="REWORK"),IFERROR(INDEX('04_KE_HOACH_CD'!$L$6:$L$305,MATCH(K346,'04_KE_HOACH_CD'!$G$6:$G$305,0))*V346,0),0)))</x:f>
      </x:c>
      <x:c r="AC346" s="39" t="str">
        <x:f>IF(A346="","",MAX(0,(P346-O346)*1440-Q346))</x:f>
      </x:c>
      <x:c r="AD346" s="37" t="str">
        <x:f>IF(A346="","",IFERROR(AB346/AC346,0))</x:f>
      </x:c>
      <x:c r="AE346" s="33" t="str">
        <x:f>IF(A346="","",AC346/60*SUMIF(DM_NHAN_SU!$A$6:$A$105,L346,DM_NHAN_SU!$E$6:$E$105))</x:f>
      </x:c>
      <x:c r="AF346" s="33" t="str">
        <x:f>IF(A346="","",AC346/60*SUMIF(DM_MAY!$A$6:$A$105,M346,DM_MAY!$F$6:$F$105))</x:f>
      </x:c>
      <x:c r="AG346" s="33" t="str">
        <x:f>IF(A346="","",AE346+AF346)</x:f>
      </x:c>
      <x:c r="AH346" s="21"/>
      <x:c r="AI346" s="29" t="str">
        <x:f>IF(A346="","",IF(OR(B346="",D346="",E346="",I346="",L346="",N346="",O346="",P346=""),"Thiếu dữ liệu",IF(AND(OR(N346="PRODUCTION",N346="REWORK",N346="SETUP"),M346=""),"Thiếu máy",IF(P346&lt;O346,"Sai thời gian",IF(AA346&lt;&gt;0,"Sai cân đối SL","Hợp lệ")))))</x:f>
      </x:c>
      <x:c r="AJ346" s="21"/>
    </x:row>
    <x:row r="347">
      <x:c r="A347" s="21"/>
      <x:c r="B347" s="35"/>
      <x:c r="C347" s="21"/>
      <x:c r="D347" s="21"/>
      <x:c r="E347" s="21"/>
      <x:c r="F347" s="21"/>
      <x:c r="G347" s="21"/>
      <x:c r="H347" s="29" t="str">
        <x:f>IF(OR(D347="",E347=""),"",D347&amp;"|"&amp;E347&amp;"|"&amp;IF(F347="","00",F347)&amp;"|"&amp;IF(G347="","01",G347))</x:f>
      </x:c>
      <x:c r="I347" s="21"/>
      <x:c r="J347" s="29" t="str">
        <x:f>IF(K347="","",IFERROR(INDEX('04_KE_HOACH_CD'!$I$6:$I$305,MATCH(K347,'04_KE_HOACH_CD'!$G$6:$G$305,0)),""))</x:f>
      </x:c>
      <x:c r="K347" s="29" t="str">
        <x:f>IF(OR(H347="",I347=""),"",H347&amp;"|"&amp;TEXT(I347,"000"))</x:f>
      </x:c>
      <x:c r="L347" s="21"/>
      <x:c r="M347" s="21"/>
      <x:c r="N347" s="21"/>
      <x:c r="O347" s="43"/>
      <x:c r="P347" s="43"/>
      <x:c r="Q347" s="25"/>
      <x:c r="R347" s="25"/>
      <x:c r="S347" s="39" t="str">
        <x:f>IF(A347="","",SUMIF('07_DUNG_CHO'!$B$6:$B$505,A347,'07_DUNG_CHO'!$E$6:$E$505))</x:f>
      </x:c>
      <x:c r="T347" s="39" t="str">
        <x:f>IF(A347="","",IF(N347="SETUP",0,MAX(0,(P347-O347)*1440-Q347-S347)))</x:f>
      </x:c>
      <x:c r="U347" s="25"/>
      <x:c r="V347" s="25"/>
      <x:c r="W347" s="25"/>
      <x:c r="X347" s="25"/>
      <x:c r="Y347" s="25"/>
      <x:c r="Z347" s="25"/>
      <x:c r="AA347" s="39" t="str">
        <x:f>IF(A347="","",U347-SUM(V347,X347:Z347))</x:f>
      </x:c>
      <x:c r="AB347" s="39" t="str">
        <x:f>IF(A347="","",IF(N347="SETUP",IFERROR(INDEX('04_KE_HOACH_CD'!$K$6:$K$305,MATCH(K347,'04_KE_HOACH_CD'!$G$6:$G$305,0)),0),IF(OR(N347="PRODUCTION",N347="REWORK"),IFERROR(INDEX('04_KE_HOACH_CD'!$L$6:$L$305,MATCH(K347,'04_KE_HOACH_CD'!$G$6:$G$305,0))*V347,0),0)))</x:f>
      </x:c>
      <x:c r="AC347" s="39" t="str">
        <x:f>IF(A347="","",MAX(0,(P347-O347)*1440-Q347))</x:f>
      </x:c>
      <x:c r="AD347" s="37" t="str">
        <x:f>IF(A347="","",IFERROR(AB347/AC347,0))</x:f>
      </x:c>
      <x:c r="AE347" s="33" t="str">
        <x:f>IF(A347="","",AC347/60*SUMIF(DM_NHAN_SU!$A$6:$A$105,L347,DM_NHAN_SU!$E$6:$E$105))</x:f>
      </x:c>
      <x:c r="AF347" s="33" t="str">
        <x:f>IF(A347="","",AC347/60*SUMIF(DM_MAY!$A$6:$A$105,M347,DM_MAY!$F$6:$F$105))</x:f>
      </x:c>
      <x:c r="AG347" s="33" t="str">
        <x:f>IF(A347="","",AE347+AF347)</x:f>
      </x:c>
      <x:c r="AH347" s="21"/>
      <x:c r="AI347" s="29" t="str">
        <x:f>IF(A347="","",IF(OR(B347="",D347="",E347="",I347="",L347="",N347="",O347="",P347=""),"Thiếu dữ liệu",IF(AND(OR(N347="PRODUCTION",N347="REWORK",N347="SETUP"),M347=""),"Thiếu máy",IF(P347&lt;O347,"Sai thời gian",IF(AA347&lt;&gt;0,"Sai cân đối SL","Hợp lệ")))))</x:f>
      </x:c>
      <x:c r="AJ347" s="21"/>
    </x:row>
    <x:row r="348">
      <x:c r="A348" s="21"/>
      <x:c r="B348" s="35"/>
      <x:c r="C348" s="21"/>
      <x:c r="D348" s="21"/>
      <x:c r="E348" s="21"/>
      <x:c r="F348" s="21"/>
      <x:c r="G348" s="21"/>
      <x:c r="H348" s="29" t="str">
        <x:f>IF(OR(D348="",E348=""),"",D348&amp;"|"&amp;E348&amp;"|"&amp;IF(F348="","00",F348)&amp;"|"&amp;IF(G348="","01",G348))</x:f>
      </x:c>
      <x:c r="I348" s="21"/>
      <x:c r="J348" s="29" t="str">
        <x:f>IF(K348="","",IFERROR(INDEX('04_KE_HOACH_CD'!$I$6:$I$305,MATCH(K348,'04_KE_HOACH_CD'!$G$6:$G$305,0)),""))</x:f>
      </x:c>
      <x:c r="K348" s="29" t="str">
        <x:f>IF(OR(H348="",I348=""),"",H348&amp;"|"&amp;TEXT(I348,"000"))</x:f>
      </x:c>
      <x:c r="L348" s="21"/>
      <x:c r="M348" s="21"/>
      <x:c r="N348" s="21"/>
      <x:c r="O348" s="43"/>
      <x:c r="P348" s="43"/>
      <x:c r="Q348" s="25"/>
      <x:c r="R348" s="25"/>
      <x:c r="S348" s="39" t="str">
        <x:f>IF(A348="","",SUMIF('07_DUNG_CHO'!$B$6:$B$505,A348,'07_DUNG_CHO'!$E$6:$E$505))</x:f>
      </x:c>
      <x:c r="T348" s="39" t="str">
        <x:f>IF(A348="","",IF(N348="SETUP",0,MAX(0,(P348-O348)*1440-Q348-S348)))</x:f>
      </x:c>
      <x:c r="U348" s="25"/>
      <x:c r="V348" s="25"/>
      <x:c r="W348" s="25"/>
      <x:c r="X348" s="25"/>
      <x:c r="Y348" s="25"/>
      <x:c r="Z348" s="25"/>
      <x:c r="AA348" s="39" t="str">
        <x:f>IF(A348="","",U348-SUM(V348,X348:Z348))</x:f>
      </x:c>
      <x:c r="AB348" s="39" t="str">
        <x:f>IF(A348="","",IF(N348="SETUP",IFERROR(INDEX('04_KE_HOACH_CD'!$K$6:$K$305,MATCH(K348,'04_KE_HOACH_CD'!$G$6:$G$305,0)),0),IF(OR(N348="PRODUCTION",N348="REWORK"),IFERROR(INDEX('04_KE_HOACH_CD'!$L$6:$L$305,MATCH(K348,'04_KE_HOACH_CD'!$G$6:$G$305,0))*V348,0),0)))</x:f>
      </x:c>
      <x:c r="AC348" s="39" t="str">
        <x:f>IF(A348="","",MAX(0,(P348-O348)*1440-Q348))</x:f>
      </x:c>
      <x:c r="AD348" s="37" t="str">
        <x:f>IF(A348="","",IFERROR(AB348/AC348,0))</x:f>
      </x:c>
      <x:c r="AE348" s="33" t="str">
        <x:f>IF(A348="","",AC348/60*SUMIF(DM_NHAN_SU!$A$6:$A$105,L348,DM_NHAN_SU!$E$6:$E$105))</x:f>
      </x:c>
      <x:c r="AF348" s="33" t="str">
        <x:f>IF(A348="","",AC348/60*SUMIF(DM_MAY!$A$6:$A$105,M348,DM_MAY!$F$6:$F$105))</x:f>
      </x:c>
      <x:c r="AG348" s="33" t="str">
        <x:f>IF(A348="","",AE348+AF348)</x:f>
      </x:c>
      <x:c r="AH348" s="21"/>
      <x:c r="AI348" s="29" t="str">
        <x:f>IF(A348="","",IF(OR(B348="",D348="",E348="",I348="",L348="",N348="",O348="",P348=""),"Thiếu dữ liệu",IF(AND(OR(N348="PRODUCTION",N348="REWORK",N348="SETUP"),M348=""),"Thiếu máy",IF(P348&lt;O348,"Sai thời gian",IF(AA348&lt;&gt;0,"Sai cân đối SL","Hợp lệ")))))</x:f>
      </x:c>
      <x:c r="AJ348" s="21"/>
    </x:row>
    <x:row r="349">
      <x:c r="A349" s="21"/>
      <x:c r="B349" s="35"/>
      <x:c r="C349" s="21"/>
      <x:c r="D349" s="21"/>
      <x:c r="E349" s="21"/>
      <x:c r="F349" s="21"/>
      <x:c r="G349" s="21"/>
      <x:c r="H349" s="29" t="str">
        <x:f>IF(OR(D349="",E349=""),"",D349&amp;"|"&amp;E349&amp;"|"&amp;IF(F349="","00",F349)&amp;"|"&amp;IF(G349="","01",G349))</x:f>
      </x:c>
      <x:c r="I349" s="21"/>
      <x:c r="J349" s="29" t="str">
        <x:f>IF(K349="","",IFERROR(INDEX('04_KE_HOACH_CD'!$I$6:$I$305,MATCH(K349,'04_KE_HOACH_CD'!$G$6:$G$305,0)),""))</x:f>
      </x:c>
      <x:c r="K349" s="29" t="str">
        <x:f>IF(OR(H349="",I349=""),"",H349&amp;"|"&amp;TEXT(I349,"000"))</x:f>
      </x:c>
      <x:c r="L349" s="21"/>
      <x:c r="M349" s="21"/>
      <x:c r="N349" s="21"/>
      <x:c r="O349" s="43"/>
      <x:c r="P349" s="43"/>
      <x:c r="Q349" s="25"/>
      <x:c r="R349" s="25"/>
      <x:c r="S349" s="39" t="str">
        <x:f>IF(A349="","",SUMIF('07_DUNG_CHO'!$B$6:$B$505,A349,'07_DUNG_CHO'!$E$6:$E$505))</x:f>
      </x:c>
      <x:c r="T349" s="39" t="str">
        <x:f>IF(A349="","",IF(N349="SETUP",0,MAX(0,(P349-O349)*1440-Q349-S349)))</x:f>
      </x:c>
      <x:c r="U349" s="25"/>
      <x:c r="V349" s="25"/>
      <x:c r="W349" s="25"/>
      <x:c r="X349" s="25"/>
      <x:c r="Y349" s="25"/>
      <x:c r="Z349" s="25"/>
      <x:c r="AA349" s="39" t="str">
        <x:f>IF(A349="","",U349-SUM(V349,X349:Z349))</x:f>
      </x:c>
      <x:c r="AB349" s="39" t="str">
        <x:f>IF(A349="","",IF(N349="SETUP",IFERROR(INDEX('04_KE_HOACH_CD'!$K$6:$K$305,MATCH(K349,'04_KE_HOACH_CD'!$G$6:$G$305,0)),0),IF(OR(N349="PRODUCTION",N349="REWORK"),IFERROR(INDEX('04_KE_HOACH_CD'!$L$6:$L$305,MATCH(K349,'04_KE_HOACH_CD'!$G$6:$G$305,0))*V349,0),0)))</x:f>
      </x:c>
      <x:c r="AC349" s="39" t="str">
        <x:f>IF(A349="","",MAX(0,(P349-O349)*1440-Q349))</x:f>
      </x:c>
      <x:c r="AD349" s="37" t="str">
        <x:f>IF(A349="","",IFERROR(AB349/AC349,0))</x:f>
      </x:c>
      <x:c r="AE349" s="33" t="str">
        <x:f>IF(A349="","",AC349/60*SUMIF(DM_NHAN_SU!$A$6:$A$105,L349,DM_NHAN_SU!$E$6:$E$105))</x:f>
      </x:c>
      <x:c r="AF349" s="33" t="str">
        <x:f>IF(A349="","",AC349/60*SUMIF(DM_MAY!$A$6:$A$105,M349,DM_MAY!$F$6:$F$105))</x:f>
      </x:c>
      <x:c r="AG349" s="33" t="str">
        <x:f>IF(A349="","",AE349+AF349)</x:f>
      </x:c>
      <x:c r="AH349" s="21"/>
      <x:c r="AI349" s="29" t="str">
        <x:f>IF(A349="","",IF(OR(B349="",D349="",E349="",I349="",L349="",N349="",O349="",P349=""),"Thiếu dữ liệu",IF(AND(OR(N349="PRODUCTION",N349="REWORK",N349="SETUP"),M349=""),"Thiếu máy",IF(P349&lt;O349,"Sai thời gian",IF(AA349&lt;&gt;0,"Sai cân đối SL","Hợp lệ")))))</x:f>
      </x:c>
      <x:c r="AJ349" s="21"/>
    </x:row>
    <x:row r="350">
      <x:c r="A350" s="21"/>
      <x:c r="B350" s="35"/>
      <x:c r="C350" s="21"/>
      <x:c r="D350" s="21"/>
      <x:c r="E350" s="21"/>
      <x:c r="F350" s="21"/>
      <x:c r="G350" s="21"/>
      <x:c r="H350" s="29" t="str">
        <x:f>IF(OR(D350="",E350=""),"",D350&amp;"|"&amp;E350&amp;"|"&amp;IF(F350="","00",F350)&amp;"|"&amp;IF(G350="","01",G350))</x:f>
      </x:c>
      <x:c r="I350" s="21"/>
      <x:c r="J350" s="29" t="str">
        <x:f>IF(K350="","",IFERROR(INDEX('04_KE_HOACH_CD'!$I$6:$I$305,MATCH(K350,'04_KE_HOACH_CD'!$G$6:$G$305,0)),""))</x:f>
      </x:c>
      <x:c r="K350" s="29" t="str">
        <x:f>IF(OR(H350="",I350=""),"",H350&amp;"|"&amp;TEXT(I350,"000"))</x:f>
      </x:c>
      <x:c r="L350" s="21"/>
      <x:c r="M350" s="21"/>
      <x:c r="N350" s="21"/>
      <x:c r="O350" s="43"/>
      <x:c r="P350" s="43"/>
      <x:c r="Q350" s="25"/>
      <x:c r="R350" s="25"/>
      <x:c r="S350" s="39" t="str">
        <x:f>IF(A350="","",SUMIF('07_DUNG_CHO'!$B$6:$B$505,A350,'07_DUNG_CHO'!$E$6:$E$505))</x:f>
      </x:c>
      <x:c r="T350" s="39" t="str">
        <x:f>IF(A350="","",IF(N350="SETUP",0,MAX(0,(P350-O350)*1440-Q350-S350)))</x:f>
      </x:c>
      <x:c r="U350" s="25"/>
      <x:c r="V350" s="25"/>
      <x:c r="W350" s="25"/>
      <x:c r="X350" s="25"/>
      <x:c r="Y350" s="25"/>
      <x:c r="Z350" s="25"/>
      <x:c r="AA350" s="39" t="str">
        <x:f>IF(A350="","",U350-SUM(V350,X350:Z350))</x:f>
      </x:c>
      <x:c r="AB350" s="39" t="str">
        <x:f>IF(A350="","",IF(N350="SETUP",IFERROR(INDEX('04_KE_HOACH_CD'!$K$6:$K$305,MATCH(K350,'04_KE_HOACH_CD'!$G$6:$G$305,0)),0),IF(OR(N350="PRODUCTION",N350="REWORK"),IFERROR(INDEX('04_KE_HOACH_CD'!$L$6:$L$305,MATCH(K350,'04_KE_HOACH_CD'!$G$6:$G$305,0))*V350,0),0)))</x:f>
      </x:c>
      <x:c r="AC350" s="39" t="str">
        <x:f>IF(A350="","",MAX(0,(P350-O350)*1440-Q350))</x:f>
      </x:c>
      <x:c r="AD350" s="37" t="str">
        <x:f>IF(A350="","",IFERROR(AB350/AC350,0))</x:f>
      </x:c>
      <x:c r="AE350" s="33" t="str">
        <x:f>IF(A350="","",AC350/60*SUMIF(DM_NHAN_SU!$A$6:$A$105,L350,DM_NHAN_SU!$E$6:$E$105))</x:f>
      </x:c>
      <x:c r="AF350" s="33" t="str">
        <x:f>IF(A350="","",AC350/60*SUMIF(DM_MAY!$A$6:$A$105,M350,DM_MAY!$F$6:$F$105))</x:f>
      </x:c>
      <x:c r="AG350" s="33" t="str">
        <x:f>IF(A350="","",AE350+AF350)</x:f>
      </x:c>
      <x:c r="AH350" s="21"/>
      <x:c r="AI350" s="29" t="str">
        <x:f>IF(A350="","",IF(OR(B350="",D350="",E350="",I350="",L350="",N350="",O350="",P350=""),"Thiếu dữ liệu",IF(AND(OR(N350="PRODUCTION",N350="REWORK",N350="SETUP"),M350=""),"Thiếu máy",IF(P350&lt;O350,"Sai thời gian",IF(AA350&lt;&gt;0,"Sai cân đối SL","Hợp lệ")))))</x:f>
      </x:c>
      <x:c r="AJ350" s="21"/>
    </x:row>
    <x:row r="351">
      <x:c r="A351" s="21"/>
      <x:c r="B351" s="35"/>
      <x:c r="C351" s="21"/>
      <x:c r="D351" s="21"/>
      <x:c r="E351" s="21"/>
      <x:c r="F351" s="21"/>
      <x:c r="G351" s="21"/>
      <x:c r="H351" s="29" t="str">
        <x:f>IF(OR(D351="",E351=""),"",D351&amp;"|"&amp;E351&amp;"|"&amp;IF(F351="","00",F351)&amp;"|"&amp;IF(G351="","01",G351))</x:f>
      </x:c>
      <x:c r="I351" s="21"/>
      <x:c r="J351" s="29" t="str">
        <x:f>IF(K351="","",IFERROR(INDEX('04_KE_HOACH_CD'!$I$6:$I$305,MATCH(K351,'04_KE_HOACH_CD'!$G$6:$G$305,0)),""))</x:f>
      </x:c>
      <x:c r="K351" s="29" t="str">
        <x:f>IF(OR(H351="",I351=""),"",H351&amp;"|"&amp;TEXT(I351,"000"))</x:f>
      </x:c>
      <x:c r="L351" s="21"/>
      <x:c r="M351" s="21"/>
      <x:c r="N351" s="21"/>
      <x:c r="O351" s="43"/>
      <x:c r="P351" s="43"/>
      <x:c r="Q351" s="25"/>
      <x:c r="R351" s="25"/>
      <x:c r="S351" s="39" t="str">
        <x:f>IF(A351="","",SUMIF('07_DUNG_CHO'!$B$6:$B$505,A351,'07_DUNG_CHO'!$E$6:$E$505))</x:f>
      </x:c>
      <x:c r="T351" s="39" t="str">
        <x:f>IF(A351="","",IF(N351="SETUP",0,MAX(0,(P351-O351)*1440-Q351-S351)))</x:f>
      </x:c>
      <x:c r="U351" s="25"/>
      <x:c r="V351" s="25"/>
      <x:c r="W351" s="25"/>
      <x:c r="X351" s="25"/>
      <x:c r="Y351" s="25"/>
      <x:c r="Z351" s="25"/>
      <x:c r="AA351" s="39" t="str">
        <x:f>IF(A351="","",U351-SUM(V351,X351:Z351))</x:f>
      </x:c>
      <x:c r="AB351" s="39" t="str">
        <x:f>IF(A351="","",IF(N351="SETUP",IFERROR(INDEX('04_KE_HOACH_CD'!$K$6:$K$305,MATCH(K351,'04_KE_HOACH_CD'!$G$6:$G$305,0)),0),IF(OR(N351="PRODUCTION",N351="REWORK"),IFERROR(INDEX('04_KE_HOACH_CD'!$L$6:$L$305,MATCH(K351,'04_KE_HOACH_CD'!$G$6:$G$305,0))*V351,0),0)))</x:f>
      </x:c>
      <x:c r="AC351" s="39" t="str">
        <x:f>IF(A351="","",MAX(0,(P351-O351)*1440-Q351))</x:f>
      </x:c>
      <x:c r="AD351" s="37" t="str">
        <x:f>IF(A351="","",IFERROR(AB351/AC351,0))</x:f>
      </x:c>
      <x:c r="AE351" s="33" t="str">
        <x:f>IF(A351="","",AC351/60*SUMIF(DM_NHAN_SU!$A$6:$A$105,L351,DM_NHAN_SU!$E$6:$E$105))</x:f>
      </x:c>
      <x:c r="AF351" s="33" t="str">
        <x:f>IF(A351="","",AC351/60*SUMIF(DM_MAY!$A$6:$A$105,M351,DM_MAY!$F$6:$F$105))</x:f>
      </x:c>
      <x:c r="AG351" s="33" t="str">
        <x:f>IF(A351="","",AE351+AF351)</x:f>
      </x:c>
      <x:c r="AH351" s="21"/>
      <x:c r="AI351" s="29" t="str">
        <x:f>IF(A351="","",IF(OR(B351="",D351="",E351="",I351="",L351="",N351="",O351="",P351=""),"Thiếu dữ liệu",IF(AND(OR(N351="PRODUCTION",N351="REWORK",N351="SETUP"),M351=""),"Thiếu máy",IF(P351&lt;O351,"Sai thời gian",IF(AA351&lt;&gt;0,"Sai cân đối SL","Hợp lệ")))))</x:f>
      </x:c>
      <x:c r="AJ351" s="21"/>
    </x:row>
    <x:row r="352">
      <x:c r="A352" s="21"/>
      <x:c r="B352" s="35"/>
      <x:c r="C352" s="21"/>
      <x:c r="D352" s="21"/>
      <x:c r="E352" s="21"/>
      <x:c r="F352" s="21"/>
      <x:c r="G352" s="21"/>
      <x:c r="H352" s="29" t="str">
        <x:f>IF(OR(D352="",E352=""),"",D352&amp;"|"&amp;E352&amp;"|"&amp;IF(F352="","00",F352)&amp;"|"&amp;IF(G352="","01",G352))</x:f>
      </x:c>
      <x:c r="I352" s="21"/>
      <x:c r="J352" s="29" t="str">
        <x:f>IF(K352="","",IFERROR(INDEX('04_KE_HOACH_CD'!$I$6:$I$305,MATCH(K352,'04_KE_HOACH_CD'!$G$6:$G$305,0)),""))</x:f>
      </x:c>
      <x:c r="K352" s="29" t="str">
        <x:f>IF(OR(H352="",I352=""),"",H352&amp;"|"&amp;TEXT(I352,"000"))</x:f>
      </x:c>
      <x:c r="L352" s="21"/>
      <x:c r="M352" s="21"/>
      <x:c r="N352" s="21"/>
      <x:c r="O352" s="43"/>
      <x:c r="P352" s="43"/>
      <x:c r="Q352" s="25"/>
      <x:c r="R352" s="25"/>
      <x:c r="S352" s="39" t="str">
        <x:f>IF(A352="","",SUMIF('07_DUNG_CHO'!$B$6:$B$505,A352,'07_DUNG_CHO'!$E$6:$E$505))</x:f>
      </x:c>
      <x:c r="T352" s="39" t="str">
        <x:f>IF(A352="","",IF(N352="SETUP",0,MAX(0,(P352-O352)*1440-Q352-S352)))</x:f>
      </x:c>
      <x:c r="U352" s="25"/>
      <x:c r="V352" s="25"/>
      <x:c r="W352" s="25"/>
      <x:c r="X352" s="25"/>
      <x:c r="Y352" s="25"/>
      <x:c r="Z352" s="25"/>
      <x:c r="AA352" s="39" t="str">
        <x:f>IF(A352="","",U352-SUM(V352,X352:Z352))</x:f>
      </x:c>
      <x:c r="AB352" s="39" t="str">
        <x:f>IF(A352="","",IF(N352="SETUP",IFERROR(INDEX('04_KE_HOACH_CD'!$K$6:$K$305,MATCH(K352,'04_KE_HOACH_CD'!$G$6:$G$305,0)),0),IF(OR(N352="PRODUCTION",N352="REWORK"),IFERROR(INDEX('04_KE_HOACH_CD'!$L$6:$L$305,MATCH(K352,'04_KE_HOACH_CD'!$G$6:$G$305,0))*V352,0),0)))</x:f>
      </x:c>
      <x:c r="AC352" s="39" t="str">
        <x:f>IF(A352="","",MAX(0,(P352-O352)*1440-Q352))</x:f>
      </x:c>
      <x:c r="AD352" s="37" t="str">
        <x:f>IF(A352="","",IFERROR(AB352/AC352,0))</x:f>
      </x:c>
      <x:c r="AE352" s="33" t="str">
        <x:f>IF(A352="","",AC352/60*SUMIF(DM_NHAN_SU!$A$6:$A$105,L352,DM_NHAN_SU!$E$6:$E$105))</x:f>
      </x:c>
      <x:c r="AF352" s="33" t="str">
        <x:f>IF(A352="","",AC352/60*SUMIF(DM_MAY!$A$6:$A$105,M352,DM_MAY!$F$6:$F$105))</x:f>
      </x:c>
      <x:c r="AG352" s="33" t="str">
        <x:f>IF(A352="","",AE352+AF352)</x:f>
      </x:c>
      <x:c r="AH352" s="21"/>
      <x:c r="AI352" s="29" t="str">
        <x:f>IF(A352="","",IF(OR(B352="",D352="",E352="",I352="",L352="",N352="",O352="",P352=""),"Thiếu dữ liệu",IF(AND(OR(N352="PRODUCTION",N352="REWORK",N352="SETUP"),M352=""),"Thiếu máy",IF(P352&lt;O352,"Sai thời gian",IF(AA352&lt;&gt;0,"Sai cân đối SL","Hợp lệ")))))</x:f>
      </x:c>
      <x:c r="AJ352" s="21"/>
    </x:row>
    <x:row r="353">
      <x:c r="A353" s="21"/>
      <x:c r="B353" s="35"/>
      <x:c r="C353" s="21"/>
      <x:c r="D353" s="21"/>
      <x:c r="E353" s="21"/>
      <x:c r="F353" s="21"/>
      <x:c r="G353" s="21"/>
      <x:c r="H353" s="29" t="str">
        <x:f>IF(OR(D353="",E353=""),"",D353&amp;"|"&amp;E353&amp;"|"&amp;IF(F353="","00",F353)&amp;"|"&amp;IF(G353="","01",G353))</x:f>
      </x:c>
      <x:c r="I353" s="21"/>
      <x:c r="J353" s="29" t="str">
        <x:f>IF(K353="","",IFERROR(INDEX('04_KE_HOACH_CD'!$I$6:$I$305,MATCH(K353,'04_KE_HOACH_CD'!$G$6:$G$305,0)),""))</x:f>
      </x:c>
      <x:c r="K353" s="29" t="str">
        <x:f>IF(OR(H353="",I353=""),"",H353&amp;"|"&amp;TEXT(I353,"000"))</x:f>
      </x:c>
      <x:c r="L353" s="21"/>
      <x:c r="M353" s="21"/>
      <x:c r="N353" s="21"/>
      <x:c r="O353" s="43"/>
      <x:c r="P353" s="43"/>
      <x:c r="Q353" s="25"/>
      <x:c r="R353" s="25"/>
      <x:c r="S353" s="39" t="str">
        <x:f>IF(A353="","",SUMIF('07_DUNG_CHO'!$B$6:$B$505,A353,'07_DUNG_CHO'!$E$6:$E$505))</x:f>
      </x:c>
      <x:c r="T353" s="39" t="str">
        <x:f>IF(A353="","",IF(N353="SETUP",0,MAX(0,(P353-O353)*1440-Q353-S353)))</x:f>
      </x:c>
      <x:c r="U353" s="25"/>
      <x:c r="V353" s="25"/>
      <x:c r="W353" s="25"/>
      <x:c r="X353" s="25"/>
      <x:c r="Y353" s="25"/>
      <x:c r="Z353" s="25"/>
      <x:c r="AA353" s="39" t="str">
        <x:f>IF(A353="","",U353-SUM(V353,X353:Z353))</x:f>
      </x:c>
      <x:c r="AB353" s="39" t="str">
        <x:f>IF(A353="","",IF(N353="SETUP",IFERROR(INDEX('04_KE_HOACH_CD'!$K$6:$K$305,MATCH(K353,'04_KE_HOACH_CD'!$G$6:$G$305,0)),0),IF(OR(N353="PRODUCTION",N353="REWORK"),IFERROR(INDEX('04_KE_HOACH_CD'!$L$6:$L$305,MATCH(K353,'04_KE_HOACH_CD'!$G$6:$G$305,0))*V353,0),0)))</x:f>
      </x:c>
      <x:c r="AC353" s="39" t="str">
        <x:f>IF(A353="","",MAX(0,(P353-O353)*1440-Q353))</x:f>
      </x:c>
      <x:c r="AD353" s="37" t="str">
        <x:f>IF(A353="","",IFERROR(AB353/AC353,0))</x:f>
      </x:c>
      <x:c r="AE353" s="33" t="str">
        <x:f>IF(A353="","",AC353/60*SUMIF(DM_NHAN_SU!$A$6:$A$105,L353,DM_NHAN_SU!$E$6:$E$105))</x:f>
      </x:c>
      <x:c r="AF353" s="33" t="str">
        <x:f>IF(A353="","",AC353/60*SUMIF(DM_MAY!$A$6:$A$105,M353,DM_MAY!$F$6:$F$105))</x:f>
      </x:c>
      <x:c r="AG353" s="33" t="str">
        <x:f>IF(A353="","",AE353+AF353)</x:f>
      </x:c>
      <x:c r="AH353" s="21"/>
      <x:c r="AI353" s="29" t="str">
        <x:f>IF(A353="","",IF(OR(B353="",D353="",E353="",I353="",L353="",N353="",O353="",P353=""),"Thiếu dữ liệu",IF(AND(OR(N353="PRODUCTION",N353="REWORK",N353="SETUP"),M353=""),"Thiếu máy",IF(P353&lt;O353,"Sai thời gian",IF(AA353&lt;&gt;0,"Sai cân đối SL","Hợp lệ")))))</x:f>
      </x:c>
      <x:c r="AJ353" s="21"/>
    </x:row>
    <x:row r="354">
      <x:c r="A354" s="21"/>
      <x:c r="B354" s="35"/>
      <x:c r="C354" s="21"/>
      <x:c r="D354" s="21"/>
      <x:c r="E354" s="21"/>
      <x:c r="F354" s="21"/>
      <x:c r="G354" s="21"/>
      <x:c r="H354" s="29" t="str">
        <x:f>IF(OR(D354="",E354=""),"",D354&amp;"|"&amp;E354&amp;"|"&amp;IF(F354="","00",F354)&amp;"|"&amp;IF(G354="","01",G354))</x:f>
      </x:c>
      <x:c r="I354" s="21"/>
      <x:c r="J354" s="29" t="str">
        <x:f>IF(K354="","",IFERROR(INDEX('04_KE_HOACH_CD'!$I$6:$I$305,MATCH(K354,'04_KE_HOACH_CD'!$G$6:$G$305,0)),""))</x:f>
      </x:c>
      <x:c r="K354" s="29" t="str">
        <x:f>IF(OR(H354="",I354=""),"",H354&amp;"|"&amp;TEXT(I354,"000"))</x:f>
      </x:c>
      <x:c r="L354" s="21"/>
      <x:c r="M354" s="21"/>
      <x:c r="N354" s="21"/>
      <x:c r="O354" s="43"/>
      <x:c r="P354" s="43"/>
      <x:c r="Q354" s="25"/>
      <x:c r="R354" s="25"/>
      <x:c r="S354" s="39" t="str">
        <x:f>IF(A354="","",SUMIF('07_DUNG_CHO'!$B$6:$B$505,A354,'07_DUNG_CHO'!$E$6:$E$505))</x:f>
      </x:c>
      <x:c r="T354" s="39" t="str">
        <x:f>IF(A354="","",IF(N354="SETUP",0,MAX(0,(P354-O354)*1440-Q354-S354)))</x:f>
      </x:c>
      <x:c r="U354" s="25"/>
      <x:c r="V354" s="25"/>
      <x:c r="W354" s="25"/>
      <x:c r="X354" s="25"/>
      <x:c r="Y354" s="25"/>
      <x:c r="Z354" s="25"/>
      <x:c r="AA354" s="39" t="str">
        <x:f>IF(A354="","",U354-SUM(V354,X354:Z354))</x:f>
      </x:c>
      <x:c r="AB354" s="39" t="str">
        <x:f>IF(A354="","",IF(N354="SETUP",IFERROR(INDEX('04_KE_HOACH_CD'!$K$6:$K$305,MATCH(K354,'04_KE_HOACH_CD'!$G$6:$G$305,0)),0),IF(OR(N354="PRODUCTION",N354="REWORK"),IFERROR(INDEX('04_KE_HOACH_CD'!$L$6:$L$305,MATCH(K354,'04_KE_HOACH_CD'!$G$6:$G$305,0))*V354,0),0)))</x:f>
      </x:c>
      <x:c r="AC354" s="39" t="str">
        <x:f>IF(A354="","",MAX(0,(P354-O354)*1440-Q354))</x:f>
      </x:c>
      <x:c r="AD354" s="37" t="str">
        <x:f>IF(A354="","",IFERROR(AB354/AC354,0))</x:f>
      </x:c>
      <x:c r="AE354" s="33" t="str">
        <x:f>IF(A354="","",AC354/60*SUMIF(DM_NHAN_SU!$A$6:$A$105,L354,DM_NHAN_SU!$E$6:$E$105))</x:f>
      </x:c>
      <x:c r="AF354" s="33" t="str">
        <x:f>IF(A354="","",AC354/60*SUMIF(DM_MAY!$A$6:$A$105,M354,DM_MAY!$F$6:$F$105))</x:f>
      </x:c>
      <x:c r="AG354" s="33" t="str">
        <x:f>IF(A354="","",AE354+AF354)</x:f>
      </x:c>
      <x:c r="AH354" s="21"/>
      <x:c r="AI354" s="29" t="str">
        <x:f>IF(A354="","",IF(OR(B354="",D354="",E354="",I354="",L354="",N354="",O354="",P354=""),"Thiếu dữ liệu",IF(AND(OR(N354="PRODUCTION",N354="REWORK",N354="SETUP"),M354=""),"Thiếu máy",IF(P354&lt;O354,"Sai thời gian",IF(AA354&lt;&gt;0,"Sai cân đối SL","Hợp lệ")))))</x:f>
      </x:c>
      <x:c r="AJ354" s="21"/>
    </x:row>
    <x:row r="355">
      <x:c r="A355" s="21"/>
      <x:c r="B355" s="35"/>
      <x:c r="C355" s="21"/>
      <x:c r="D355" s="21"/>
      <x:c r="E355" s="21"/>
      <x:c r="F355" s="21"/>
      <x:c r="G355" s="21"/>
      <x:c r="H355" s="29" t="str">
        <x:f>IF(OR(D355="",E355=""),"",D355&amp;"|"&amp;E355&amp;"|"&amp;IF(F355="","00",F355)&amp;"|"&amp;IF(G355="","01",G355))</x:f>
      </x:c>
      <x:c r="I355" s="21"/>
      <x:c r="J355" s="29" t="str">
        <x:f>IF(K355="","",IFERROR(INDEX('04_KE_HOACH_CD'!$I$6:$I$305,MATCH(K355,'04_KE_HOACH_CD'!$G$6:$G$305,0)),""))</x:f>
      </x:c>
      <x:c r="K355" s="29" t="str">
        <x:f>IF(OR(H355="",I355=""),"",H355&amp;"|"&amp;TEXT(I355,"000"))</x:f>
      </x:c>
      <x:c r="L355" s="21"/>
      <x:c r="M355" s="21"/>
      <x:c r="N355" s="21"/>
      <x:c r="O355" s="43"/>
      <x:c r="P355" s="43"/>
      <x:c r="Q355" s="25"/>
      <x:c r="R355" s="25"/>
      <x:c r="S355" s="39" t="str">
        <x:f>IF(A355="","",SUMIF('07_DUNG_CHO'!$B$6:$B$505,A355,'07_DUNG_CHO'!$E$6:$E$505))</x:f>
      </x:c>
      <x:c r="T355" s="39" t="str">
        <x:f>IF(A355="","",IF(N355="SETUP",0,MAX(0,(P355-O355)*1440-Q355-S355)))</x:f>
      </x:c>
      <x:c r="U355" s="25"/>
      <x:c r="V355" s="25"/>
      <x:c r="W355" s="25"/>
      <x:c r="X355" s="25"/>
      <x:c r="Y355" s="25"/>
      <x:c r="Z355" s="25"/>
      <x:c r="AA355" s="39" t="str">
        <x:f>IF(A355="","",U355-SUM(V355,X355:Z355))</x:f>
      </x:c>
      <x:c r="AB355" s="39" t="str">
        <x:f>IF(A355="","",IF(N355="SETUP",IFERROR(INDEX('04_KE_HOACH_CD'!$K$6:$K$305,MATCH(K355,'04_KE_HOACH_CD'!$G$6:$G$305,0)),0),IF(OR(N355="PRODUCTION",N355="REWORK"),IFERROR(INDEX('04_KE_HOACH_CD'!$L$6:$L$305,MATCH(K355,'04_KE_HOACH_CD'!$G$6:$G$305,0))*V355,0),0)))</x:f>
      </x:c>
      <x:c r="AC355" s="39" t="str">
        <x:f>IF(A355="","",MAX(0,(P355-O355)*1440-Q355))</x:f>
      </x:c>
      <x:c r="AD355" s="37" t="str">
        <x:f>IF(A355="","",IFERROR(AB355/AC355,0))</x:f>
      </x:c>
      <x:c r="AE355" s="33" t="str">
        <x:f>IF(A355="","",AC355/60*SUMIF(DM_NHAN_SU!$A$6:$A$105,L355,DM_NHAN_SU!$E$6:$E$105))</x:f>
      </x:c>
      <x:c r="AF355" s="33" t="str">
        <x:f>IF(A355="","",AC355/60*SUMIF(DM_MAY!$A$6:$A$105,M355,DM_MAY!$F$6:$F$105))</x:f>
      </x:c>
      <x:c r="AG355" s="33" t="str">
        <x:f>IF(A355="","",AE355+AF355)</x:f>
      </x:c>
      <x:c r="AH355" s="21"/>
      <x:c r="AI355" s="29" t="str">
        <x:f>IF(A355="","",IF(OR(B355="",D355="",E355="",I355="",L355="",N355="",O355="",P355=""),"Thiếu dữ liệu",IF(AND(OR(N355="PRODUCTION",N355="REWORK",N355="SETUP"),M355=""),"Thiếu máy",IF(P355&lt;O355,"Sai thời gian",IF(AA355&lt;&gt;0,"Sai cân đối SL","Hợp lệ")))))</x:f>
      </x:c>
      <x:c r="AJ355" s="21"/>
    </x:row>
    <x:row r="356">
      <x:c r="A356" s="21"/>
      <x:c r="B356" s="35"/>
      <x:c r="C356" s="21"/>
      <x:c r="D356" s="21"/>
      <x:c r="E356" s="21"/>
      <x:c r="F356" s="21"/>
      <x:c r="G356" s="21"/>
      <x:c r="H356" s="29" t="str">
        <x:f>IF(OR(D356="",E356=""),"",D356&amp;"|"&amp;E356&amp;"|"&amp;IF(F356="","00",F356)&amp;"|"&amp;IF(G356="","01",G356))</x:f>
      </x:c>
      <x:c r="I356" s="21"/>
      <x:c r="J356" s="29" t="str">
        <x:f>IF(K356="","",IFERROR(INDEX('04_KE_HOACH_CD'!$I$6:$I$305,MATCH(K356,'04_KE_HOACH_CD'!$G$6:$G$305,0)),""))</x:f>
      </x:c>
      <x:c r="K356" s="29" t="str">
        <x:f>IF(OR(H356="",I356=""),"",H356&amp;"|"&amp;TEXT(I356,"000"))</x:f>
      </x:c>
      <x:c r="L356" s="21"/>
      <x:c r="M356" s="21"/>
      <x:c r="N356" s="21"/>
      <x:c r="O356" s="43"/>
      <x:c r="P356" s="43"/>
      <x:c r="Q356" s="25"/>
      <x:c r="R356" s="25"/>
      <x:c r="S356" s="39" t="str">
        <x:f>IF(A356="","",SUMIF('07_DUNG_CHO'!$B$6:$B$505,A356,'07_DUNG_CHO'!$E$6:$E$505))</x:f>
      </x:c>
      <x:c r="T356" s="39" t="str">
        <x:f>IF(A356="","",IF(N356="SETUP",0,MAX(0,(P356-O356)*1440-Q356-S356)))</x:f>
      </x:c>
      <x:c r="U356" s="25"/>
      <x:c r="V356" s="25"/>
      <x:c r="W356" s="25"/>
      <x:c r="X356" s="25"/>
      <x:c r="Y356" s="25"/>
      <x:c r="Z356" s="25"/>
      <x:c r="AA356" s="39" t="str">
        <x:f>IF(A356="","",U356-SUM(V356,X356:Z356))</x:f>
      </x:c>
      <x:c r="AB356" s="39" t="str">
        <x:f>IF(A356="","",IF(N356="SETUP",IFERROR(INDEX('04_KE_HOACH_CD'!$K$6:$K$305,MATCH(K356,'04_KE_HOACH_CD'!$G$6:$G$305,0)),0),IF(OR(N356="PRODUCTION",N356="REWORK"),IFERROR(INDEX('04_KE_HOACH_CD'!$L$6:$L$305,MATCH(K356,'04_KE_HOACH_CD'!$G$6:$G$305,0))*V356,0),0)))</x:f>
      </x:c>
      <x:c r="AC356" s="39" t="str">
        <x:f>IF(A356="","",MAX(0,(P356-O356)*1440-Q356))</x:f>
      </x:c>
      <x:c r="AD356" s="37" t="str">
        <x:f>IF(A356="","",IFERROR(AB356/AC356,0))</x:f>
      </x:c>
      <x:c r="AE356" s="33" t="str">
        <x:f>IF(A356="","",AC356/60*SUMIF(DM_NHAN_SU!$A$6:$A$105,L356,DM_NHAN_SU!$E$6:$E$105))</x:f>
      </x:c>
      <x:c r="AF356" s="33" t="str">
        <x:f>IF(A356="","",AC356/60*SUMIF(DM_MAY!$A$6:$A$105,M356,DM_MAY!$F$6:$F$105))</x:f>
      </x:c>
      <x:c r="AG356" s="33" t="str">
        <x:f>IF(A356="","",AE356+AF356)</x:f>
      </x:c>
      <x:c r="AH356" s="21"/>
      <x:c r="AI356" s="29" t="str">
        <x:f>IF(A356="","",IF(OR(B356="",D356="",E356="",I356="",L356="",N356="",O356="",P356=""),"Thiếu dữ liệu",IF(AND(OR(N356="PRODUCTION",N356="REWORK",N356="SETUP"),M356=""),"Thiếu máy",IF(P356&lt;O356,"Sai thời gian",IF(AA356&lt;&gt;0,"Sai cân đối SL","Hợp lệ")))))</x:f>
      </x:c>
      <x:c r="AJ356" s="21"/>
    </x:row>
    <x:row r="357">
      <x:c r="A357" s="21"/>
      <x:c r="B357" s="35"/>
      <x:c r="C357" s="21"/>
      <x:c r="D357" s="21"/>
      <x:c r="E357" s="21"/>
      <x:c r="F357" s="21"/>
      <x:c r="G357" s="21"/>
      <x:c r="H357" s="29" t="str">
        <x:f>IF(OR(D357="",E357=""),"",D357&amp;"|"&amp;E357&amp;"|"&amp;IF(F357="","00",F357)&amp;"|"&amp;IF(G357="","01",G357))</x:f>
      </x:c>
      <x:c r="I357" s="21"/>
      <x:c r="J357" s="29" t="str">
        <x:f>IF(K357="","",IFERROR(INDEX('04_KE_HOACH_CD'!$I$6:$I$305,MATCH(K357,'04_KE_HOACH_CD'!$G$6:$G$305,0)),""))</x:f>
      </x:c>
      <x:c r="K357" s="29" t="str">
        <x:f>IF(OR(H357="",I357=""),"",H357&amp;"|"&amp;TEXT(I357,"000"))</x:f>
      </x:c>
      <x:c r="L357" s="21"/>
      <x:c r="M357" s="21"/>
      <x:c r="N357" s="21"/>
      <x:c r="O357" s="43"/>
      <x:c r="P357" s="43"/>
      <x:c r="Q357" s="25"/>
      <x:c r="R357" s="25"/>
      <x:c r="S357" s="39" t="str">
        <x:f>IF(A357="","",SUMIF('07_DUNG_CHO'!$B$6:$B$505,A357,'07_DUNG_CHO'!$E$6:$E$505))</x:f>
      </x:c>
      <x:c r="T357" s="39" t="str">
        <x:f>IF(A357="","",IF(N357="SETUP",0,MAX(0,(P357-O357)*1440-Q357-S357)))</x:f>
      </x:c>
      <x:c r="U357" s="25"/>
      <x:c r="V357" s="25"/>
      <x:c r="W357" s="25"/>
      <x:c r="X357" s="25"/>
      <x:c r="Y357" s="25"/>
      <x:c r="Z357" s="25"/>
      <x:c r="AA357" s="39" t="str">
        <x:f>IF(A357="","",U357-SUM(V357,X357:Z357))</x:f>
      </x:c>
      <x:c r="AB357" s="39" t="str">
        <x:f>IF(A357="","",IF(N357="SETUP",IFERROR(INDEX('04_KE_HOACH_CD'!$K$6:$K$305,MATCH(K357,'04_KE_HOACH_CD'!$G$6:$G$305,0)),0),IF(OR(N357="PRODUCTION",N357="REWORK"),IFERROR(INDEX('04_KE_HOACH_CD'!$L$6:$L$305,MATCH(K357,'04_KE_HOACH_CD'!$G$6:$G$305,0))*V357,0),0)))</x:f>
      </x:c>
      <x:c r="AC357" s="39" t="str">
        <x:f>IF(A357="","",MAX(0,(P357-O357)*1440-Q357))</x:f>
      </x:c>
      <x:c r="AD357" s="37" t="str">
        <x:f>IF(A357="","",IFERROR(AB357/AC357,0))</x:f>
      </x:c>
      <x:c r="AE357" s="33" t="str">
        <x:f>IF(A357="","",AC357/60*SUMIF(DM_NHAN_SU!$A$6:$A$105,L357,DM_NHAN_SU!$E$6:$E$105))</x:f>
      </x:c>
      <x:c r="AF357" s="33" t="str">
        <x:f>IF(A357="","",AC357/60*SUMIF(DM_MAY!$A$6:$A$105,M357,DM_MAY!$F$6:$F$105))</x:f>
      </x:c>
      <x:c r="AG357" s="33" t="str">
        <x:f>IF(A357="","",AE357+AF357)</x:f>
      </x:c>
      <x:c r="AH357" s="21"/>
      <x:c r="AI357" s="29" t="str">
        <x:f>IF(A357="","",IF(OR(B357="",D357="",E357="",I357="",L357="",N357="",O357="",P357=""),"Thiếu dữ liệu",IF(AND(OR(N357="PRODUCTION",N357="REWORK",N357="SETUP"),M357=""),"Thiếu máy",IF(P357&lt;O357,"Sai thời gian",IF(AA357&lt;&gt;0,"Sai cân đối SL","Hợp lệ")))))</x:f>
      </x:c>
      <x:c r="AJ357" s="21"/>
    </x:row>
    <x:row r="358">
      <x:c r="A358" s="21"/>
      <x:c r="B358" s="35"/>
      <x:c r="C358" s="21"/>
      <x:c r="D358" s="21"/>
      <x:c r="E358" s="21"/>
      <x:c r="F358" s="21"/>
      <x:c r="G358" s="21"/>
      <x:c r="H358" s="29" t="str">
        <x:f>IF(OR(D358="",E358=""),"",D358&amp;"|"&amp;E358&amp;"|"&amp;IF(F358="","00",F358)&amp;"|"&amp;IF(G358="","01",G358))</x:f>
      </x:c>
      <x:c r="I358" s="21"/>
      <x:c r="J358" s="29" t="str">
        <x:f>IF(K358="","",IFERROR(INDEX('04_KE_HOACH_CD'!$I$6:$I$305,MATCH(K358,'04_KE_HOACH_CD'!$G$6:$G$305,0)),""))</x:f>
      </x:c>
      <x:c r="K358" s="29" t="str">
        <x:f>IF(OR(H358="",I358=""),"",H358&amp;"|"&amp;TEXT(I358,"000"))</x:f>
      </x:c>
      <x:c r="L358" s="21"/>
      <x:c r="M358" s="21"/>
      <x:c r="N358" s="21"/>
      <x:c r="O358" s="43"/>
      <x:c r="P358" s="43"/>
      <x:c r="Q358" s="25"/>
      <x:c r="R358" s="25"/>
      <x:c r="S358" s="39" t="str">
        <x:f>IF(A358="","",SUMIF('07_DUNG_CHO'!$B$6:$B$505,A358,'07_DUNG_CHO'!$E$6:$E$505))</x:f>
      </x:c>
      <x:c r="T358" s="39" t="str">
        <x:f>IF(A358="","",IF(N358="SETUP",0,MAX(0,(P358-O358)*1440-Q358-S358)))</x:f>
      </x:c>
      <x:c r="U358" s="25"/>
      <x:c r="V358" s="25"/>
      <x:c r="W358" s="25"/>
      <x:c r="X358" s="25"/>
      <x:c r="Y358" s="25"/>
      <x:c r="Z358" s="25"/>
      <x:c r="AA358" s="39" t="str">
        <x:f>IF(A358="","",U358-SUM(V358,X358:Z358))</x:f>
      </x:c>
      <x:c r="AB358" s="39" t="str">
        <x:f>IF(A358="","",IF(N358="SETUP",IFERROR(INDEX('04_KE_HOACH_CD'!$K$6:$K$305,MATCH(K358,'04_KE_HOACH_CD'!$G$6:$G$305,0)),0),IF(OR(N358="PRODUCTION",N358="REWORK"),IFERROR(INDEX('04_KE_HOACH_CD'!$L$6:$L$305,MATCH(K358,'04_KE_HOACH_CD'!$G$6:$G$305,0))*V358,0),0)))</x:f>
      </x:c>
      <x:c r="AC358" s="39" t="str">
        <x:f>IF(A358="","",MAX(0,(P358-O358)*1440-Q358))</x:f>
      </x:c>
      <x:c r="AD358" s="37" t="str">
        <x:f>IF(A358="","",IFERROR(AB358/AC358,0))</x:f>
      </x:c>
      <x:c r="AE358" s="33" t="str">
        <x:f>IF(A358="","",AC358/60*SUMIF(DM_NHAN_SU!$A$6:$A$105,L358,DM_NHAN_SU!$E$6:$E$105))</x:f>
      </x:c>
      <x:c r="AF358" s="33" t="str">
        <x:f>IF(A358="","",AC358/60*SUMIF(DM_MAY!$A$6:$A$105,M358,DM_MAY!$F$6:$F$105))</x:f>
      </x:c>
      <x:c r="AG358" s="33" t="str">
        <x:f>IF(A358="","",AE358+AF358)</x:f>
      </x:c>
      <x:c r="AH358" s="21"/>
      <x:c r="AI358" s="29" t="str">
        <x:f>IF(A358="","",IF(OR(B358="",D358="",E358="",I358="",L358="",N358="",O358="",P358=""),"Thiếu dữ liệu",IF(AND(OR(N358="PRODUCTION",N358="REWORK",N358="SETUP"),M358=""),"Thiếu máy",IF(P358&lt;O358,"Sai thời gian",IF(AA358&lt;&gt;0,"Sai cân đối SL","Hợp lệ")))))</x:f>
      </x:c>
      <x:c r="AJ358" s="21"/>
    </x:row>
    <x:row r="359">
      <x:c r="A359" s="21"/>
      <x:c r="B359" s="35"/>
      <x:c r="C359" s="21"/>
      <x:c r="D359" s="21"/>
      <x:c r="E359" s="21"/>
      <x:c r="F359" s="21"/>
      <x:c r="G359" s="21"/>
      <x:c r="H359" s="29" t="str">
        <x:f>IF(OR(D359="",E359=""),"",D359&amp;"|"&amp;E359&amp;"|"&amp;IF(F359="","00",F359)&amp;"|"&amp;IF(G359="","01",G359))</x:f>
      </x:c>
      <x:c r="I359" s="21"/>
      <x:c r="J359" s="29" t="str">
        <x:f>IF(K359="","",IFERROR(INDEX('04_KE_HOACH_CD'!$I$6:$I$305,MATCH(K359,'04_KE_HOACH_CD'!$G$6:$G$305,0)),""))</x:f>
      </x:c>
      <x:c r="K359" s="29" t="str">
        <x:f>IF(OR(H359="",I359=""),"",H359&amp;"|"&amp;TEXT(I359,"000"))</x:f>
      </x:c>
      <x:c r="L359" s="21"/>
      <x:c r="M359" s="21"/>
      <x:c r="N359" s="21"/>
      <x:c r="O359" s="43"/>
      <x:c r="P359" s="43"/>
      <x:c r="Q359" s="25"/>
      <x:c r="R359" s="25"/>
      <x:c r="S359" s="39" t="str">
        <x:f>IF(A359="","",SUMIF('07_DUNG_CHO'!$B$6:$B$505,A359,'07_DUNG_CHO'!$E$6:$E$505))</x:f>
      </x:c>
      <x:c r="T359" s="39" t="str">
        <x:f>IF(A359="","",IF(N359="SETUP",0,MAX(0,(P359-O359)*1440-Q359-S359)))</x:f>
      </x:c>
      <x:c r="U359" s="25"/>
      <x:c r="V359" s="25"/>
      <x:c r="W359" s="25"/>
      <x:c r="X359" s="25"/>
      <x:c r="Y359" s="25"/>
      <x:c r="Z359" s="25"/>
      <x:c r="AA359" s="39" t="str">
        <x:f>IF(A359="","",U359-SUM(V359,X359:Z359))</x:f>
      </x:c>
      <x:c r="AB359" s="39" t="str">
        <x:f>IF(A359="","",IF(N359="SETUP",IFERROR(INDEX('04_KE_HOACH_CD'!$K$6:$K$305,MATCH(K359,'04_KE_HOACH_CD'!$G$6:$G$305,0)),0),IF(OR(N359="PRODUCTION",N359="REWORK"),IFERROR(INDEX('04_KE_HOACH_CD'!$L$6:$L$305,MATCH(K359,'04_KE_HOACH_CD'!$G$6:$G$305,0))*V359,0),0)))</x:f>
      </x:c>
      <x:c r="AC359" s="39" t="str">
        <x:f>IF(A359="","",MAX(0,(P359-O359)*1440-Q359))</x:f>
      </x:c>
      <x:c r="AD359" s="37" t="str">
        <x:f>IF(A359="","",IFERROR(AB359/AC359,0))</x:f>
      </x:c>
      <x:c r="AE359" s="33" t="str">
        <x:f>IF(A359="","",AC359/60*SUMIF(DM_NHAN_SU!$A$6:$A$105,L359,DM_NHAN_SU!$E$6:$E$105))</x:f>
      </x:c>
      <x:c r="AF359" s="33" t="str">
        <x:f>IF(A359="","",AC359/60*SUMIF(DM_MAY!$A$6:$A$105,M359,DM_MAY!$F$6:$F$105))</x:f>
      </x:c>
      <x:c r="AG359" s="33" t="str">
        <x:f>IF(A359="","",AE359+AF359)</x:f>
      </x:c>
      <x:c r="AH359" s="21"/>
      <x:c r="AI359" s="29" t="str">
        <x:f>IF(A359="","",IF(OR(B359="",D359="",E359="",I359="",L359="",N359="",O359="",P359=""),"Thiếu dữ liệu",IF(AND(OR(N359="PRODUCTION",N359="REWORK",N359="SETUP"),M359=""),"Thiếu máy",IF(P359&lt;O359,"Sai thời gian",IF(AA359&lt;&gt;0,"Sai cân đối SL","Hợp lệ")))))</x:f>
      </x:c>
      <x:c r="AJ359" s="21"/>
    </x:row>
    <x:row r="360">
      <x:c r="A360" s="21"/>
      <x:c r="B360" s="35"/>
      <x:c r="C360" s="21"/>
      <x:c r="D360" s="21"/>
      <x:c r="E360" s="21"/>
      <x:c r="F360" s="21"/>
      <x:c r="G360" s="21"/>
      <x:c r="H360" s="29" t="str">
        <x:f>IF(OR(D360="",E360=""),"",D360&amp;"|"&amp;E360&amp;"|"&amp;IF(F360="","00",F360)&amp;"|"&amp;IF(G360="","01",G360))</x:f>
      </x:c>
      <x:c r="I360" s="21"/>
      <x:c r="J360" s="29" t="str">
        <x:f>IF(K360="","",IFERROR(INDEX('04_KE_HOACH_CD'!$I$6:$I$305,MATCH(K360,'04_KE_HOACH_CD'!$G$6:$G$305,0)),""))</x:f>
      </x:c>
      <x:c r="K360" s="29" t="str">
        <x:f>IF(OR(H360="",I360=""),"",H360&amp;"|"&amp;TEXT(I360,"000"))</x:f>
      </x:c>
      <x:c r="L360" s="21"/>
      <x:c r="M360" s="21"/>
      <x:c r="N360" s="21"/>
      <x:c r="O360" s="43"/>
      <x:c r="P360" s="43"/>
      <x:c r="Q360" s="25"/>
      <x:c r="R360" s="25"/>
      <x:c r="S360" s="39" t="str">
        <x:f>IF(A360="","",SUMIF('07_DUNG_CHO'!$B$6:$B$505,A360,'07_DUNG_CHO'!$E$6:$E$505))</x:f>
      </x:c>
      <x:c r="T360" s="39" t="str">
        <x:f>IF(A360="","",IF(N360="SETUP",0,MAX(0,(P360-O360)*1440-Q360-S360)))</x:f>
      </x:c>
      <x:c r="U360" s="25"/>
      <x:c r="V360" s="25"/>
      <x:c r="W360" s="25"/>
      <x:c r="X360" s="25"/>
      <x:c r="Y360" s="25"/>
      <x:c r="Z360" s="25"/>
      <x:c r="AA360" s="39" t="str">
        <x:f>IF(A360="","",U360-SUM(V360,X360:Z360))</x:f>
      </x:c>
      <x:c r="AB360" s="39" t="str">
        <x:f>IF(A360="","",IF(N360="SETUP",IFERROR(INDEX('04_KE_HOACH_CD'!$K$6:$K$305,MATCH(K360,'04_KE_HOACH_CD'!$G$6:$G$305,0)),0),IF(OR(N360="PRODUCTION",N360="REWORK"),IFERROR(INDEX('04_KE_HOACH_CD'!$L$6:$L$305,MATCH(K360,'04_KE_HOACH_CD'!$G$6:$G$305,0))*V360,0),0)))</x:f>
      </x:c>
      <x:c r="AC360" s="39" t="str">
        <x:f>IF(A360="","",MAX(0,(P360-O360)*1440-Q360))</x:f>
      </x:c>
      <x:c r="AD360" s="37" t="str">
        <x:f>IF(A360="","",IFERROR(AB360/AC360,0))</x:f>
      </x:c>
      <x:c r="AE360" s="33" t="str">
        <x:f>IF(A360="","",AC360/60*SUMIF(DM_NHAN_SU!$A$6:$A$105,L360,DM_NHAN_SU!$E$6:$E$105))</x:f>
      </x:c>
      <x:c r="AF360" s="33" t="str">
        <x:f>IF(A360="","",AC360/60*SUMIF(DM_MAY!$A$6:$A$105,M360,DM_MAY!$F$6:$F$105))</x:f>
      </x:c>
      <x:c r="AG360" s="33" t="str">
        <x:f>IF(A360="","",AE360+AF360)</x:f>
      </x:c>
      <x:c r="AH360" s="21"/>
      <x:c r="AI360" s="29" t="str">
        <x:f>IF(A360="","",IF(OR(B360="",D360="",E360="",I360="",L360="",N360="",O360="",P360=""),"Thiếu dữ liệu",IF(AND(OR(N360="PRODUCTION",N360="REWORK",N360="SETUP"),M360=""),"Thiếu máy",IF(P360&lt;O360,"Sai thời gian",IF(AA360&lt;&gt;0,"Sai cân đối SL","Hợp lệ")))))</x:f>
      </x:c>
      <x:c r="AJ360" s="21"/>
    </x:row>
    <x:row r="361">
      <x:c r="A361" s="21"/>
      <x:c r="B361" s="35"/>
      <x:c r="C361" s="21"/>
      <x:c r="D361" s="21"/>
      <x:c r="E361" s="21"/>
      <x:c r="F361" s="21"/>
      <x:c r="G361" s="21"/>
      <x:c r="H361" s="29" t="str">
        <x:f>IF(OR(D361="",E361=""),"",D361&amp;"|"&amp;E361&amp;"|"&amp;IF(F361="","00",F361)&amp;"|"&amp;IF(G361="","01",G361))</x:f>
      </x:c>
      <x:c r="I361" s="21"/>
      <x:c r="J361" s="29" t="str">
        <x:f>IF(K361="","",IFERROR(INDEX('04_KE_HOACH_CD'!$I$6:$I$305,MATCH(K361,'04_KE_HOACH_CD'!$G$6:$G$305,0)),""))</x:f>
      </x:c>
      <x:c r="K361" s="29" t="str">
        <x:f>IF(OR(H361="",I361=""),"",H361&amp;"|"&amp;TEXT(I361,"000"))</x:f>
      </x:c>
      <x:c r="L361" s="21"/>
      <x:c r="M361" s="21"/>
      <x:c r="N361" s="21"/>
      <x:c r="O361" s="43"/>
      <x:c r="P361" s="43"/>
      <x:c r="Q361" s="25"/>
      <x:c r="R361" s="25"/>
      <x:c r="S361" s="39" t="str">
        <x:f>IF(A361="","",SUMIF('07_DUNG_CHO'!$B$6:$B$505,A361,'07_DUNG_CHO'!$E$6:$E$505))</x:f>
      </x:c>
      <x:c r="T361" s="39" t="str">
        <x:f>IF(A361="","",IF(N361="SETUP",0,MAX(0,(P361-O361)*1440-Q361-S361)))</x:f>
      </x:c>
      <x:c r="U361" s="25"/>
      <x:c r="V361" s="25"/>
      <x:c r="W361" s="25"/>
      <x:c r="X361" s="25"/>
      <x:c r="Y361" s="25"/>
      <x:c r="Z361" s="25"/>
      <x:c r="AA361" s="39" t="str">
        <x:f>IF(A361="","",U361-SUM(V361,X361:Z361))</x:f>
      </x:c>
      <x:c r="AB361" s="39" t="str">
        <x:f>IF(A361="","",IF(N361="SETUP",IFERROR(INDEX('04_KE_HOACH_CD'!$K$6:$K$305,MATCH(K361,'04_KE_HOACH_CD'!$G$6:$G$305,0)),0),IF(OR(N361="PRODUCTION",N361="REWORK"),IFERROR(INDEX('04_KE_HOACH_CD'!$L$6:$L$305,MATCH(K361,'04_KE_HOACH_CD'!$G$6:$G$305,0))*V361,0),0)))</x:f>
      </x:c>
      <x:c r="AC361" s="39" t="str">
        <x:f>IF(A361="","",MAX(0,(P361-O361)*1440-Q361))</x:f>
      </x:c>
      <x:c r="AD361" s="37" t="str">
        <x:f>IF(A361="","",IFERROR(AB361/AC361,0))</x:f>
      </x:c>
      <x:c r="AE361" s="33" t="str">
        <x:f>IF(A361="","",AC361/60*SUMIF(DM_NHAN_SU!$A$6:$A$105,L361,DM_NHAN_SU!$E$6:$E$105))</x:f>
      </x:c>
      <x:c r="AF361" s="33" t="str">
        <x:f>IF(A361="","",AC361/60*SUMIF(DM_MAY!$A$6:$A$105,M361,DM_MAY!$F$6:$F$105))</x:f>
      </x:c>
      <x:c r="AG361" s="33" t="str">
        <x:f>IF(A361="","",AE361+AF361)</x:f>
      </x:c>
      <x:c r="AH361" s="21"/>
      <x:c r="AI361" s="29" t="str">
        <x:f>IF(A361="","",IF(OR(B361="",D361="",E361="",I361="",L361="",N361="",O361="",P361=""),"Thiếu dữ liệu",IF(AND(OR(N361="PRODUCTION",N361="REWORK",N361="SETUP"),M361=""),"Thiếu máy",IF(P361&lt;O361,"Sai thời gian",IF(AA361&lt;&gt;0,"Sai cân đối SL","Hợp lệ")))))</x:f>
      </x:c>
      <x:c r="AJ361" s="21"/>
    </x:row>
    <x:row r="362">
      <x:c r="A362" s="21"/>
      <x:c r="B362" s="35"/>
      <x:c r="C362" s="21"/>
      <x:c r="D362" s="21"/>
      <x:c r="E362" s="21"/>
      <x:c r="F362" s="21"/>
      <x:c r="G362" s="21"/>
      <x:c r="H362" s="29" t="str">
        <x:f>IF(OR(D362="",E362=""),"",D362&amp;"|"&amp;E362&amp;"|"&amp;IF(F362="","00",F362)&amp;"|"&amp;IF(G362="","01",G362))</x:f>
      </x:c>
      <x:c r="I362" s="21"/>
      <x:c r="J362" s="29" t="str">
        <x:f>IF(K362="","",IFERROR(INDEX('04_KE_HOACH_CD'!$I$6:$I$305,MATCH(K362,'04_KE_HOACH_CD'!$G$6:$G$305,0)),""))</x:f>
      </x:c>
      <x:c r="K362" s="29" t="str">
        <x:f>IF(OR(H362="",I362=""),"",H362&amp;"|"&amp;TEXT(I362,"000"))</x:f>
      </x:c>
      <x:c r="L362" s="21"/>
      <x:c r="M362" s="21"/>
      <x:c r="N362" s="21"/>
      <x:c r="O362" s="43"/>
      <x:c r="P362" s="43"/>
      <x:c r="Q362" s="25"/>
      <x:c r="R362" s="25"/>
      <x:c r="S362" s="39" t="str">
        <x:f>IF(A362="","",SUMIF('07_DUNG_CHO'!$B$6:$B$505,A362,'07_DUNG_CHO'!$E$6:$E$505))</x:f>
      </x:c>
      <x:c r="T362" s="39" t="str">
        <x:f>IF(A362="","",IF(N362="SETUP",0,MAX(0,(P362-O362)*1440-Q362-S362)))</x:f>
      </x:c>
      <x:c r="U362" s="25"/>
      <x:c r="V362" s="25"/>
      <x:c r="W362" s="25"/>
      <x:c r="X362" s="25"/>
      <x:c r="Y362" s="25"/>
      <x:c r="Z362" s="25"/>
      <x:c r="AA362" s="39" t="str">
        <x:f>IF(A362="","",U362-SUM(V362,X362:Z362))</x:f>
      </x:c>
      <x:c r="AB362" s="39" t="str">
        <x:f>IF(A362="","",IF(N362="SETUP",IFERROR(INDEX('04_KE_HOACH_CD'!$K$6:$K$305,MATCH(K362,'04_KE_HOACH_CD'!$G$6:$G$305,0)),0),IF(OR(N362="PRODUCTION",N362="REWORK"),IFERROR(INDEX('04_KE_HOACH_CD'!$L$6:$L$305,MATCH(K362,'04_KE_HOACH_CD'!$G$6:$G$305,0))*V362,0),0)))</x:f>
      </x:c>
      <x:c r="AC362" s="39" t="str">
        <x:f>IF(A362="","",MAX(0,(P362-O362)*1440-Q362))</x:f>
      </x:c>
      <x:c r="AD362" s="37" t="str">
        <x:f>IF(A362="","",IFERROR(AB362/AC362,0))</x:f>
      </x:c>
      <x:c r="AE362" s="33" t="str">
        <x:f>IF(A362="","",AC362/60*SUMIF(DM_NHAN_SU!$A$6:$A$105,L362,DM_NHAN_SU!$E$6:$E$105))</x:f>
      </x:c>
      <x:c r="AF362" s="33" t="str">
        <x:f>IF(A362="","",AC362/60*SUMIF(DM_MAY!$A$6:$A$105,M362,DM_MAY!$F$6:$F$105))</x:f>
      </x:c>
      <x:c r="AG362" s="33" t="str">
        <x:f>IF(A362="","",AE362+AF362)</x:f>
      </x:c>
      <x:c r="AH362" s="21"/>
      <x:c r="AI362" s="29" t="str">
        <x:f>IF(A362="","",IF(OR(B362="",D362="",E362="",I362="",L362="",N362="",O362="",P362=""),"Thiếu dữ liệu",IF(AND(OR(N362="PRODUCTION",N362="REWORK",N362="SETUP"),M362=""),"Thiếu máy",IF(P362&lt;O362,"Sai thời gian",IF(AA362&lt;&gt;0,"Sai cân đối SL","Hợp lệ")))))</x:f>
      </x:c>
      <x:c r="AJ362" s="21"/>
    </x:row>
    <x:row r="363">
      <x:c r="A363" s="21"/>
      <x:c r="B363" s="35"/>
      <x:c r="C363" s="21"/>
      <x:c r="D363" s="21"/>
      <x:c r="E363" s="21"/>
      <x:c r="F363" s="21"/>
      <x:c r="G363" s="21"/>
      <x:c r="H363" s="29" t="str">
        <x:f>IF(OR(D363="",E363=""),"",D363&amp;"|"&amp;E363&amp;"|"&amp;IF(F363="","00",F363)&amp;"|"&amp;IF(G363="","01",G363))</x:f>
      </x:c>
      <x:c r="I363" s="21"/>
      <x:c r="J363" s="29" t="str">
        <x:f>IF(K363="","",IFERROR(INDEX('04_KE_HOACH_CD'!$I$6:$I$305,MATCH(K363,'04_KE_HOACH_CD'!$G$6:$G$305,0)),""))</x:f>
      </x:c>
      <x:c r="K363" s="29" t="str">
        <x:f>IF(OR(H363="",I363=""),"",H363&amp;"|"&amp;TEXT(I363,"000"))</x:f>
      </x:c>
      <x:c r="L363" s="21"/>
      <x:c r="M363" s="21"/>
      <x:c r="N363" s="21"/>
      <x:c r="O363" s="43"/>
      <x:c r="P363" s="43"/>
      <x:c r="Q363" s="25"/>
      <x:c r="R363" s="25"/>
      <x:c r="S363" s="39" t="str">
        <x:f>IF(A363="","",SUMIF('07_DUNG_CHO'!$B$6:$B$505,A363,'07_DUNG_CHO'!$E$6:$E$505))</x:f>
      </x:c>
      <x:c r="T363" s="39" t="str">
        <x:f>IF(A363="","",IF(N363="SETUP",0,MAX(0,(P363-O363)*1440-Q363-S363)))</x:f>
      </x:c>
      <x:c r="U363" s="25"/>
      <x:c r="V363" s="25"/>
      <x:c r="W363" s="25"/>
      <x:c r="X363" s="25"/>
      <x:c r="Y363" s="25"/>
      <x:c r="Z363" s="25"/>
      <x:c r="AA363" s="39" t="str">
        <x:f>IF(A363="","",U363-SUM(V363,X363:Z363))</x:f>
      </x:c>
      <x:c r="AB363" s="39" t="str">
        <x:f>IF(A363="","",IF(N363="SETUP",IFERROR(INDEX('04_KE_HOACH_CD'!$K$6:$K$305,MATCH(K363,'04_KE_HOACH_CD'!$G$6:$G$305,0)),0),IF(OR(N363="PRODUCTION",N363="REWORK"),IFERROR(INDEX('04_KE_HOACH_CD'!$L$6:$L$305,MATCH(K363,'04_KE_HOACH_CD'!$G$6:$G$305,0))*V363,0),0)))</x:f>
      </x:c>
      <x:c r="AC363" s="39" t="str">
        <x:f>IF(A363="","",MAX(0,(P363-O363)*1440-Q363))</x:f>
      </x:c>
      <x:c r="AD363" s="37" t="str">
        <x:f>IF(A363="","",IFERROR(AB363/AC363,0))</x:f>
      </x:c>
      <x:c r="AE363" s="33" t="str">
        <x:f>IF(A363="","",AC363/60*SUMIF(DM_NHAN_SU!$A$6:$A$105,L363,DM_NHAN_SU!$E$6:$E$105))</x:f>
      </x:c>
      <x:c r="AF363" s="33" t="str">
        <x:f>IF(A363="","",AC363/60*SUMIF(DM_MAY!$A$6:$A$105,M363,DM_MAY!$F$6:$F$105))</x:f>
      </x:c>
      <x:c r="AG363" s="33" t="str">
        <x:f>IF(A363="","",AE363+AF363)</x:f>
      </x:c>
      <x:c r="AH363" s="21"/>
      <x:c r="AI363" s="29" t="str">
        <x:f>IF(A363="","",IF(OR(B363="",D363="",E363="",I363="",L363="",N363="",O363="",P363=""),"Thiếu dữ liệu",IF(AND(OR(N363="PRODUCTION",N363="REWORK",N363="SETUP"),M363=""),"Thiếu máy",IF(P363&lt;O363,"Sai thời gian",IF(AA363&lt;&gt;0,"Sai cân đối SL","Hợp lệ")))))</x:f>
      </x:c>
      <x:c r="AJ363" s="21"/>
    </x:row>
    <x:row r="364">
      <x:c r="A364" s="21"/>
      <x:c r="B364" s="35"/>
      <x:c r="C364" s="21"/>
      <x:c r="D364" s="21"/>
      <x:c r="E364" s="21"/>
      <x:c r="F364" s="21"/>
      <x:c r="G364" s="21"/>
      <x:c r="H364" s="29" t="str">
        <x:f>IF(OR(D364="",E364=""),"",D364&amp;"|"&amp;E364&amp;"|"&amp;IF(F364="","00",F364)&amp;"|"&amp;IF(G364="","01",G364))</x:f>
      </x:c>
      <x:c r="I364" s="21"/>
      <x:c r="J364" s="29" t="str">
        <x:f>IF(K364="","",IFERROR(INDEX('04_KE_HOACH_CD'!$I$6:$I$305,MATCH(K364,'04_KE_HOACH_CD'!$G$6:$G$305,0)),""))</x:f>
      </x:c>
      <x:c r="K364" s="29" t="str">
        <x:f>IF(OR(H364="",I364=""),"",H364&amp;"|"&amp;TEXT(I364,"000"))</x:f>
      </x:c>
      <x:c r="L364" s="21"/>
      <x:c r="M364" s="21"/>
      <x:c r="N364" s="21"/>
      <x:c r="O364" s="43"/>
      <x:c r="P364" s="43"/>
      <x:c r="Q364" s="25"/>
      <x:c r="R364" s="25"/>
      <x:c r="S364" s="39" t="str">
        <x:f>IF(A364="","",SUMIF('07_DUNG_CHO'!$B$6:$B$505,A364,'07_DUNG_CHO'!$E$6:$E$505))</x:f>
      </x:c>
      <x:c r="T364" s="39" t="str">
        <x:f>IF(A364="","",IF(N364="SETUP",0,MAX(0,(P364-O364)*1440-Q364-S364)))</x:f>
      </x:c>
      <x:c r="U364" s="25"/>
      <x:c r="V364" s="25"/>
      <x:c r="W364" s="25"/>
      <x:c r="X364" s="25"/>
      <x:c r="Y364" s="25"/>
      <x:c r="Z364" s="25"/>
      <x:c r="AA364" s="39" t="str">
        <x:f>IF(A364="","",U364-SUM(V364,X364:Z364))</x:f>
      </x:c>
      <x:c r="AB364" s="39" t="str">
        <x:f>IF(A364="","",IF(N364="SETUP",IFERROR(INDEX('04_KE_HOACH_CD'!$K$6:$K$305,MATCH(K364,'04_KE_HOACH_CD'!$G$6:$G$305,0)),0),IF(OR(N364="PRODUCTION",N364="REWORK"),IFERROR(INDEX('04_KE_HOACH_CD'!$L$6:$L$305,MATCH(K364,'04_KE_HOACH_CD'!$G$6:$G$305,0))*V364,0),0)))</x:f>
      </x:c>
      <x:c r="AC364" s="39" t="str">
        <x:f>IF(A364="","",MAX(0,(P364-O364)*1440-Q364))</x:f>
      </x:c>
      <x:c r="AD364" s="37" t="str">
        <x:f>IF(A364="","",IFERROR(AB364/AC364,0))</x:f>
      </x:c>
      <x:c r="AE364" s="33" t="str">
        <x:f>IF(A364="","",AC364/60*SUMIF(DM_NHAN_SU!$A$6:$A$105,L364,DM_NHAN_SU!$E$6:$E$105))</x:f>
      </x:c>
      <x:c r="AF364" s="33" t="str">
        <x:f>IF(A364="","",AC364/60*SUMIF(DM_MAY!$A$6:$A$105,M364,DM_MAY!$F$6:$F$105))</x:f>
      </x:c>
      <x:c r="AG364" s="33" t="str">
        <x:f>IF(A364="","",AE364+AF364)</x:f>
      </x:c>
      <x:c r="AH364" s="21"/>
      <x:c r="AI364" s="29" t="str">
        <x:f>IF(A364="","",IF(OR(B364="",D364="",E364="",I364="",L364="",N364="",O364="",P364=""),"Thiếu dữ liệu",IF(AND(OR(N364="PRODUCTION",N364="REWORK",N364="SETUP"),M364=""),"Thiếu máy",IF(P364&lt;O364,"Sai thời gian",IF(AA364&lt;&gt;0,"Sai cân đối SL","Hợp lệ")))))</x:f>
      </x:c>
      <x:c r="AJ364" s="21"/>
    </x:row>
    <x:row r="365">
      <x:c r="A365" s="21"/>
      <x:c r="B365" s="35"/>
      <x:c r="C365" s="21"/>
      <x:c r="D365" s="21"/>
      <x:c r="E365" s="21"/>
      <x:c r="F365" s="21"/>
      <x:c r="G365" s="21"/>
      <x:c r="H365" s="29" t="str">
        <x:f>IF(OR(D365="",E365=""),"",D365&amp;"|"&amp;E365&amp;"|"&amp;IF(F365="","00",F365)&amp;"|"&amp;IF(G365="","01",G365))</x:f>
      </x:c>
      <x:c r="I365" s="21"/>
      <x:c r="J365" s="29" t="str">
        <x:f>IF(K365="","",IFERROR(INDEX('04_KE_HOACH_CD'!$I$6:$I$305,MATCH(K365,'04_KE_HOACH_CD'!$G$6:$G$305,0)),""))</x:f>
      </x:c>
      <x:c r="K365" s="29" t="str">
        <x:f>IF(OR(H365="",I365=""),"",H365&amp;"|"&amp;TEXT(I365,"000"))</x:f>
      </x:c>
      <x:c r="L365" s="21"/>
      <x:c r="M365" s="21"/>
      <x:c r="N365" s="21"/>
      <x:c r="O365" s="43"/>
      <x:c r="P365" s="43"/>
      <x:c r="Q365" s="25"/>
      <x:c r="R365" s="25"/>
      <x:c r="S365" s="39" t="str">
        <x:f>IF(A365="","",SUMIF('07_DUNG_CHO'!$B$6:$B$505,A365,'07_DUNG_CHO'!$E$6:$E$505))</x:f>
      </x:c>
      <x:c r="T365" s="39" t="str">
        <x:f>IF(A365="","",IF(N365="SETUP",0,MAX(0,(P365-O365)*1440-Q365-S365)))</x:f>
      </x:c>
      <x:c r="U365" s="25"/>
      <x:c r="V365" s="25"/>
      <x:c r="W365" s="25"/>
      <x:c r="X365" s="25"/>
      <x:c r="Y365" s="25"/>
      <x:c r="Z365" s="25"/>
      <x:c r="AA365" s="39" t="str">
        <x:f>IF(A365="","",U365-SUM(V365,X365:Z365))</x:f>
      </x:c>
      <x:c r="AB365" s="39" t="str">
        <x:f>IF(A365="","",IF(N365="SETUP",IFERROR(INDEX('04_KE_HOACH_CD'!$K$6:$K$305,MATCH(K365,'04_KE_HOACH_CD'!$G$6:$G$305,0)),0),IF(OR(N365="PRODUCTION",N365="REWORK"),IFERROR(INDEX('04_KE_HOACH_CD'!$L$6:$L$305,MATCH(K365,'04_KE_HOACH_CD'!$G$6:$G$305,0))*V365,0),0)))</x:f>
      </x:c>
      <x:c r="AC365" s="39" t="str">
        <x:f>IF(A365="","",MAX(0,(P365-O365)*1440-Q365))</x:f>
      </x:c>
      <x:c r="AD365" s="37" t="str">
        <x:f>IF(A365="","",IFERROR(AB365/AC365,0))</x:f>
      </x:c>
      <x:c r="AE365" s="33" t="str">
        <x:f>IF(A365="","",AC365/60*SUMIF(DM_NHAN_SU!$A$6:$A$105,L365,DM_NHAN_SU!$E$6:$E$105))</x:f>
      </x:c>
      <x:c r="AF365" s="33" t="str">
        <x:f>IF(A365="","",AC365/60*SUMIF(DM_MAY!$A$6:$A$105,M365,DM_MAY!$F$6:$F$105))</x:f>
      </x:c>
      <x:c r="AG365" s="33" t="str">
        <x:f>IF(A365="","",AE365+AF365)</x:f>
      </x:c>
      <x:c r="AH365" s="21"/>
      <x:c r="AI365" s="29" t="str">
        <x:f>IF(A365="","",IF(OR(B365="",D365="",E365="",I365="",L365="",N365="",O365="",P365=""),"Thiếu dữ liệu",IF(AND(OR(N365="PRODUCTION",N365="REWORK",N365="SETUP"),M365=""),"Thiếu máy",IF(P365&lt;O365,"Sai thời gian",IF(AA365&lt;&gt;0,"Sai cân đối SL","Hợp lệ")))))</x:f>
      </x:c>
      <x:c r="AJ365" s="21"/>
    </x:row>
    <x:row r="366">
      <x:c r="A366" s="21"/>
      <x:c r="B366" s="35"/>
      <x:c r="C366" s="21"/>
      <x:c r="D366" s="21"/>
      <x:c r="E366" s="21"/>
      <x:c r="F366" s="21"/>
      <x:c r="G366" s="21"/>
      <x:c r="H366" s="29" t="str">
        <x:f>IF(OR(D366="",E366=""),"",D366&amp;"|"&amp;E366&amp;"|"&amp;IF(F366="","00",F366)&amp;"|"&amp;IF(G366="","01",G366))</x:f>
      </x:c>
      <x:c r="I366" s="21"/>
      <x:c r="J366" s="29" t="str">
        <x:f>IF(K366="","",IFERROR(INDEX('04_KE_HOACH_CD'!$I$6:$I$305,MATCH(K366,'04_KE_HOACH_CD'!$G$6:$G$305,0)),""))</x:f>
      </x:c>
      <x:c r="K366" s="29" t="str">
        <x:f>IF(OR(H366="",I366=""),"",H366&amp;"|"&amp;TEXT(I366,"000"))</x:f>
      </x:c>
      <x:c r="L366" s="21"/>
      <x:c r="M366" s="21"/>
      <x:c r="N366" s="21"/>
      <x:c r="O366" s="43"/>
      <x:c r="P366" s="43"/>
      <x:c r="Q366" s="25"/>
      <x:c r="R366" s="25"/>
      <x:c r="S366" s="39" t="str">
        <x:f>IF(A366="","",SUMIF('07_DUNG_CHO'!$B$6:$B$505,A366,'07_DUNG_CHO'!$E$6:$E$505))</x:f>
      </x:c>
      <x:c r="T366" s="39" t="str">
        <x:f>IF(A366="","",IF(N366="SETUP",0,MAX(0,(P366-O366)*1440-Q366-S366)))</x:f>
      </x:c>
      <x:c r="U366" s="25"/>
      <x:c r="V366" s="25"/>
      <x:c r="W366" s="25"/>
      <x:c r="X366" s="25"/>
      <x:c r="Y366" s="25"/>
      <x:c r="Z366" s="25"/>
      <x:c r="AA366" s="39" t="str">
        <x:f>IF(A366="","",U366-SUM(V366,X366:Z366))</x:f>
      </x:c>
      <x:c r="AB366" s="39" t="str">
        <x:f>IF(A366="","",IF(N366="SETUP",IFERROR(INDEX('04_KE_HOACH_CD'!$K$6:$K$305,MATCH(K366,'04_KE_HOACH_CD'!$G$6:$G$305,0)),0),IF(OR(N366="PRODUCTION",N366="REWORK"),IFERROR(INDEX('04_KE_HOACH_CD'!$L$6:$L$305,MATCH(K366,'04_KE_HOACH_CD'!$G$6:$G$305,0))*V366,0),0)))</x:f>
      </x:c>
      <x:c r="AC366" s="39" t="str">
        <x:f>IF(A366="","",MAX(0,(P366-O366)*1440-Q366))</x:f>
      </x:c>
      <x:c r="AD366" s="37" t="str">
        <x:f>IF(A366="","",IFERROR(AB366/AC366,0))</x:f>
      </x:c>
      <x:c r="AE366" s="33" t="str">
        <x:f>IF(A366="","",AC366/60*SUMIF(DM_NHAN_SU!$A$6:$A$105,L366,DM_NHAN_SU!$E$6:$E$105))</x:f>
      </x:c>
      <x:c r="AF366" s="33" t="str">
        <x:f>IF(A366="","",AC366/60*SUMIF(DM_MAY!$A$6:$A$105,M366,DM_MAY!$F$6:$F$105))</x:f>
      </x:c>
      <x:c r="AG366" s="33" t="str">
        <x:f>IF(A366="","",AE366+AF366)</x:f>
      </x:c>
      <x:c r="AH366" s="21"/>
      <x:c r="AI366" s="29" t="str">
        <x:f>IF(A366="","",IF(OR(B366="",D366="",E366="",I366="",L366="",N366="",O366="",P366=""),"Thiếu dữ liệu",IF(AND(OR(N366="PRODUCTION",N366="REWORK",N366="SETUP"),M366=""),"Thiếu máy",IF(P366&lt;O366,"Sai thời gian",IF(AA366&lt;&gt;0,"Sai cân đối SL","Hợp lệ")))))</x:f>
      </x:c>
      <x:c r="AJ366" s="21"/>
    </x:row>
    <x:row r="367">
      <x:c r="A367" s="21"/>
      <x:c r="B367" s="35"/>
      <x:c r="C367" s="21"/>
      <x:c r="D367" s="21"/>
      <x:c r="E367" s="21"/>
      <x:c r="F367" s="21"/>
      <x:c r="G367" s="21"/>
      <x:c r="H367" s="29" t="str">
        <x:f>IF(OR(D367="",E367=""),"",D367&amp;"|"&amp;E367&amp;"|"&amp;IF(F367="","00",F367)&amp;"|"&amp;IF(G367="","01",G367))</x:f>
      </x:c>
      <x:c r="I367" s="21"/>
      <x:c r="J367" s="29" t="str">
        <x:f>IF(K367="","",IFERROR(INDEX('04_KE_HOACH_CD'!$I$6:$I$305,MATCH(K367,'04_KE_HOACH_CD'!$G$6:$G$305,0)),""))</x:f>
      </x:c>
      <x:c r="K367" s="29" t="str">
        <x:f>IF(OR(H367="",I367=""),"",H367&amp;"|"&amp;TEXT(I367,"000"))</x:f>
      </x:c>
      <x:c r="L367" s="21"/>
      <x:c r="M367" s="21"/>
      <x:c r="N367" s="21"/>
      <x:c r="O367" s="43"/>
      <x:c r="P367" s="43"/>
      <x:c r="Q367" s="25"/>
      <x:c r="R367" s="25"/>
      <x:c r="S367" s="39" t="str">
        <x:f>IF(A367="","",SUMIF('07_DUNG_CHO'!$B$6:$B$505,A367,'07_DUNG_CHO'!$E$6:$E$505))</x:f>
      </x:c>
      <x:c r="T367" s="39" t="str">
        <x:f>IF(A367="","",IF(N367="SETUP",0,MAX(0,(P367-O367)*1440-Q367-S367)))</x:f>
      </x:c>
      <x:c r="U367" s="25"/>
      <x:c r="V367" s="25"/>
      <x:c r="W367" s="25"/>
      <x:c r="X367" s="25"/>
      <x:c r="Y367" s="25"/>
      <x:c r="Z367" s="25"/>
      <x:c r="AA367" s="39" t="str">
        <x:f>IF(A367="","",U367-SUM(V367,X367:Z367))</x:f>
      </x:c>
      <x:c r="AB367" s="39" t="str">
        <x:f>IF(A367="","",IF(N367="SETUP",IFERROR(INDEX('04_KE_HOACH_CD'!$K$6:$K$305,MATCH(K367,'04_KE_HOACH_CD'!$G$6:$G$305,0)),0),IF(OR(N367="PRODUCTION",N367="REWORK"),IFERROR(INDEX('04_KE_HOACH_CD'!$L$6:$L$305,MATCH(K367,'04_KE_HOACH_CD'!$G$6:$G$305,0))*V367,0),0)))</x:f>
      </x:c>
      <x:c r="AC367" s="39" t="str">
        <x:f>IF(A367="","",MAX(0,(P367-O367)*1440-Q367))</x:f>
      </x:c>
      <x:c r="AD367" s="37" t="str">
        <x:f>IF(A367="","",IFERROR(AB367/AC367,0))</x:f>
      </x:c>
      <x:c r="AE367" s="33" t="str">
        <x:f>IF(A367="","",AC367/60*SUMIF(DM_NHAN_SU!$A$6:$A$105,L367,DM_NHAN_SU!$E$6:$E$105))</x:f>
      </x:c>
      <x:c r="AF367" s="33" t="str">
        <x:f>IF(A367="","",AC367/60*SUMIF(DM_MAY!$A$6:$A$105,M367,DM_MAY!$F$6:$F$105))</x:f>
      </x:c>
      <x:c r="AG367" s="33" t="str">
        <x:f>IF(A367="","",AE367+AF367)</x:f>
      </x:c>
      <x:c r="AH367" s="21"/>
      <x:c r="AI367" s="29" t="str">
        <x:f>IF(A367="","",IF(OR(B367="",D367="",E367="",I367="",L367="",N367="",O367="",P367=""),"Thiếu dữ liệu",IF(AND(OR(N367="PRODUCTION",N367="REWORK",N367="SETUP"),M367=""),"Thiếu máy",IF(P367&lt;O367,"Sai thời gian",IF(AA367&lt;&gt;0,"Sai cân đối SL","Hợp lệ")))))</x:f>
      </x:c>
      <x:c r="AJ367" s="21"/>
    </x:row>
    <x:row r="368">
      <x:c r="A368" s="21"/>
      <x:c r="B368" s="35"/>
      <x:c r="C368" s="21"/>
      <x:c r="D368" s="21"/>
      <x:c r="E368" s="21"/>
      <x:c r="F368" s="21"/>
      <x:c r="G368" s="21"/>
      <x:c r="H368" s="29" t="str">
        <x:f>IF(OR(D368="",E368=""),"",D368&amp;"|"&amp;E368&amp;"|"&amp;IF(F368="","00",F368)&amp;"|"&amp;IF(G368="","01",G368))</x:f>
      </x:c>
      <x:c r="I368" s="21"/>
      <x:c r="J368" s="29" t="str">
        <x:f>IF(K368="","",IFERROR(INDEX('04_KE_HOACH_CD'!$I$6:$I$305,MATCH(K368,'04_KE_HOACH_CD'!$G$6:$G$305,0)),""))</x:f>
      </x:c>
      <x:c r="K368" s="29" t="str">
        <x:f>IF(OR(H368="",I368=""),"",H368&amp;"|"&amp;TEXT(I368,"000"))</x:f>
      </x:c>
      <x:c r="L368" s="21"/>
      <x:c r="M368" s="21"/>
      <x:c r="N368" s="21"/>
      <x:c r="O368" s="43"/>
      <x:c r="P368" s="43"/>
      <x:c r="Q368" s="25"/>
      <x:c r="R368" s="25"/>
      <x:c r="S368" s="39" t="str">
        <x:f>IF(A368="","",SUMIF('07_DUNG_CHO'!$B$6:$B$505,A368,'07_DUNG_CHO'!$E$6:$E$505))</x:f>
      </x:c>
      <x:c r="T368" s="39" t="str">
        <x:f>IF(A368="","",IF(N368="SETUP",0,MAX(0,(P368-O368)*1440-Q368-S368)))</x:f>
      </x:c>
      <x:c r="U368" s="25"/>
      <x:c r="V368" s="25"/>
      <x:c r="W368" s="25"/>
      <x:c r="X368" s="25"/>
      <x:c r="Y368" s="25"/>
      <x:c r="Z368" s="25"/>
      <x:c r="AA368" s="39" t="str">
        <x:f>IF(A368="","",U368-SUM(V368,X368:Z368))</x:f>
      </x:c>
      <x:c r="AB368" s="39" t="str">
        <x:f>IF(A368="","",IF(N368="SETUP",IFERROR(INDEX('04_KE_HOACH_CD'!$K$6:$K$305,MATCH(K368,'04_KE_HOACH_CD'!$G$6:$G$305,0)),0),IF(OR(N368="PRODUCTION",N368="REWORK"),IFERROR(INDEX('04_KE_HOACH_CD'!$L$6:$L$305,MATCH(K368,'04_KE_HOACH_CD'!$G$6:$G$305,0))*V368,0),0)))</x:f>
      </x:c>
      <x:c r="AC368" s="39" t="str">
        <x:f>IF(A368="","",MAX(0,(P368-O368)*1440-Q368))</x:f>
      </x:c>
      <x:c r="AD368" s="37" t="str">
        <x:f>IF(A368="","",IFERROR(AB368/AC368,0))</x:f>
      </x:c>
      <x:c r="AE368" s="33" t="str">
        <x:f>IF(A368="","",AC368/60*SUMIF(DM_NHAN_SU!$A$6:$A$105,L368,DM_NHAN_SU!$E$6:$E$105))</x:f>
      </x:c>
      <x:c r="AF368" s="33" t="str">
        <x:f>IF(A368="","",AC368/60*SUMIF(DM_MAY!$A$6:$A$105,M368,DM_MAY!$F$6:$F$105))</x:f>
      </x:c>
      <x:c r="AG368" s="33" t="str">
        <x:f>IF(A368="","",AE368+AF368)</x:f>
      </x:c>
      <x:c r="AH368" s="21"/>
      <x:c r="AI368" s="29" t="str">
        <x:f>IF(A368="","",IF(OR(B368="",D368="",E368="",I368="",L368="",N368="",O368="",P368=""),"Thiếu dữ liệu",IF(AND(OR(N368="PRODUCTION",N368="REWORK",N368="SETUP"),M368=""),"Thiếu máy",IF(P368&lt;O368,"Sai thời gian",IF(AA368&lt;&gt;0,"Sai cân đối SL","Hợp lệ")))))</x:f>
      </x:c>
      <x:c r="AJ368" s="21"/>
    </x:row>
    <x:row r="369">
      <x:c r="A369" s="21"/>
      <x:c r="B369" s="35"/>
      <x:c r="C369" s="21"/>
      <x:c r="D369" s="21"/>
      <x:c r="E369" s="21"/>
      <x:c r="F369" s="21"/>
      <x:c r="G369" s="21"/>
      <x:c r="H369" s="29" t="str">
        <x:f>IF(OR(D369="",E369=""),"",D369&amp;"|"&amp;E369&amp;"|"&amp;IF(F369="","00",F369)&amp;"|"&amp;IF(G369="","01",G369))</x:f>
      </x:c>
      <x:c r="I369" s="21"/>
      <x:c r="J369" s="29" t="str">
        <x:f>IF(K369="","",IFERROR(INDEX('04_KE_HOACH_CD'!$I$6:$I$305,MATCH(K369,'04_KE_HOACH_CD'!$G$6:$G$305,0)),""))</x:f>
      </x:c>
      <x:c r="K369" s="29" t="str">
        <x:f>IF(OR(H369="",I369=""),"",H369&amp;"|"&amp;TEXT(I369,"000"))</x:f>
      </x:c>
      <x:c r="L369" s="21"/>
      <x:c r="M369" s="21"/>
      <x:c r="N369" s="21"/>
      <x:c r="O369" s="43"/>
      <x:c r="P369" s="43"/>
      <x:c r="Q369" s="25"/>
      <x:c r="R369" s="25"/>
      <x:c r="S369" s="39" t="str">
        <x:f>IF(A369="","",SUMIF('07_DUNG_CHO'!$B$6:$B$505,A369,'07_DUNG_CHO'!$E$6:$E$505))</x:f>
      </x:c>
      <x:c r="T369" s="39" t="str">
        <x:f>IF(A369="","",IF(N369="SETUP",0,MAX(0,(P369-O369)*1440-Q369-S369)))</x:f>
      </x:c>
      <x:c r="U369" s="25"/>
      <x:c r="V369" s="25"/>
      <x:c r="W369" s="25"/>
      <x:c r="X369" s="25"/>
      <x:c r="Y369" s="25"/>
      <x:c r="Z369" s="25"/>
      <x:c r="AA369" s="39" t="str">
        <x:f>IF(A369="","",U369-SUM(V369,X369:Z369))</x:f>
      </x:c>
      <x:c r="AB369" s="39" t="str">
        <x:f>IF(A369="","",IF(N369="SETUP",IFERROR(INDEX('04_KE_HOACH_CD'!$K$6:$K$305,MATCH(K369,'04_KE_HOACH_CD'!$G$6:$G$305,0)),0),IF(OR(N369="PRODUCTION",N369="REWORK"),IFERROR(INDEX('04_KE_HOACH_CD'!$L$6:$L$305,MATCH(K369,'04_KE_HOACH_CD'!$G$6:$G$305,0))*V369,0),0)))</x:f>
      </x:c>
      <x:c r="AC369" s="39" t="str">
        <x:f>IF(A369="","",MAX(0,(P369-O369)*1440-Q369))</x:f>
      </x:c>
      <x:c r="AD369" s="37" t="str">
        <x:f>IF(A369="","",IFERROR(AB369/AC369,0))</x:f>
      </x:c>
      <x:c r="AE369" s="33" t="str">
        <x:f>IF(A369="","",AC369/60*SUMIF(DM_NHAN_SU!$A$6:$A$105,L369,DM_NHAN_SU!$E$6:$E$105))</x:f>
      </x:c>
      <x:c r="AF369" s="33" t="str">
        <x:f>IF(A369="","",AC369/60*SUMIF(DM_MAY!$A$6:$A$105,M369,DM_MAY!$F$6:$F$105))</x:f>
      </x:c>
      <x:c r="AG369" s="33" t="str">
        <x:f>IF(A369="","",AE369+AF369)</x:f>
      </x:c>
      <x:c r="AH369" s="21"/>
      <x:c r="AI369" s="29" t="str">
        <x:f>IF(A369="","",IF(OR(B369="",D369="",E369="",I369="",L369="",N369="",O369="",P369=""),"Thiếu dữ liệu",IF(AND(OR(N369="PRODUCTION",N369="REWORK",N369="SETUP"),M369=""),"Thiếu máy",IF(P369&lt;O369,"Sai thời gian",IF(AA369&lt;&gt;0,"Sai cân đối SL","Hợp lệ")))))</x:f>
      </x:c>
      <x:c r="AJ369" s="21"/>
    </x:row>
    <x:row r="370">
      <x:c r="A370" s="21"/>
      <x:c r="B370" s="35"/>
      <x:c r="C370" s="21"/>
      <x:c r="D370" s="21"/>
      <x:c r="E370" s="21"/>
      <x:c r="F370" s="21"/>
      <x:c r="G370" s="21"/>
      <x:c r="H370" s="29" t="str">
        <x:f>IF(OR(D370="",E370=""),"",D370&amp;"|"&amp;E370&amp;"|"&amp;IF(F370="","00",F370)&amp;"|"&amp;IF(G370="","01",G370))</x:f>
      </x:c>
      <x:c r="I370" s="21"/>
      <x:c r="J370" s="29" t="str">
        <x:f>IF(K370="","",IFERROR(INDEX('04_KE_HOACH_CD'!$I$6:$I$305,MATCH(K370,'04_KE_HOACH_CD'!$G$6:$G$305,0)),""))</x:f>
      </x:c>
      <x:c r="K370" s="29" t="str">
        <x:f>IF(OR(H370="",I370=""),"",H370&amp;"|"&amp;TEXT(I370,"000"))</x:f>
      </x:c>
      <x:c r="L370" s="21"/>
      <x:c r="M370" s="21"/>
      <x:c r="N370" s="21"/>
      <x:c r="O370" s="43"/>
      <x:c r="P370" s="43"/>
      <x:c r="Q370" s="25"/>
      <x:c r="R370" s="25"/>
      <x:c r="S370" s="39" t="str">
        <x:f>IF(A370="","",SUMIF('07_DUNG_CHO'!$B$6:$B$505,A370,'07_DUNG_CHO'!$E$6:$E$505))</x:f>
      </x:c>
      <x:c r="T370" s="39" t="str">
        <x:f>IF(A370="","",IF(N370="SETUP",0,MAX(0,(P370-O370)*1440-Q370-S370)))</x:f>
      </x:c>
      <x:c r="U370" s="25"/>
      <x:c r="V370" s="25"/>
      <x:c r="W370" s="25"/>
      <x:c r="X370" s="25"/>
      <x:c r="Y370" s="25"/>
      <x:c r="Z370" s="25"/>
      <x:c r="AA370" s="39" t="str">
        <x:f>IF(A370="","",U370-SUM(V370,X370:Z370))</x:f>
      </x:c>
      <x:c r="AB370" s="39" t="str">
        <x:f>IF(A370="","",IF(N370="SETUP",IFERROR(INDEX('04_KE_HOACH_CD'!$K$6:$K$305,MATCH(K370,'04_KE_HOACH_CD'!$G$6:$G$305,0)),0),IF(OR(N370="PRODUCTION",N370="REWORK"),IFERROR(INDEX('04_KE_HOACH_CD'!$L$6:$L$305,MATCH(K370,'04_KE_HOACH_CD'!$G$6:$G$305,0))*V370,0),0)))</x:f>
      </x:c>
      <x:c r="AC370" s="39" t="str">
        <x:f>IF(A370="","",MAX(0,(P370-O370)*1440-Q370))</x:f>
      </x:c>
      <x:c r="AD370" s="37" t="str">
        <x:f>IF(A370="","",IFERROR(AB370/AC370,0))</x:f>
      </x:c>
      <x:c r="AE370" s="33" t="str">
        <x:f>IF(A370="","",AC370/60*SUMIF(DM_NHAN_SU!$A$6:$A$105,L370,DM_NHAN_SU!$E$6:$E$105))</x:f>
      </x:c>
      <x:c r="AF370" s="33" t="str">
        <x:f>IF(A370="","",AC370/60*SUMIF(DM_MAY!$A$6:$A$105,M370,DM_MAY!$F$6:$F$105))</x:f>
      </x:c>
      <x:c r="AG370" s="33" t="str">
        <x:f>IF(A370="","",AE370+AF370)</x:f>
      </x:c>
      <x:c r="AH370" s="21"/>
      <x:c r="AI370" s="29" t="str">
        <x:f>IF(A370="","",IF(OR(B370="",D370="",E370="",I370="",L370="",N370="",O370="",P370=""),"Thiếu dữ liệu",IF(AND(OR(N370="PRODUCTION",N370="REWORK",N370="SETUP"),M370=""),"Thiếu máy",IF(P370&lt;O370,"Sai thời gian",IF(AA370&lt;&gt;0,"Sai cân đối SL","Hợp lệ")))))</x:f>
      </x:c>
      <x:c r="AJ370" s="21"/>
    </x:row>
    <x:row r="371">
      <x:c r="A371" s="21"/>
      <x:c r="B371" s="35"/>
      <x:c r="C371" s="21"/>
      <x:c r="D371" s="21"/>
      <x:c r="E371" s="21"/>
      <x:c r="F371" s="21"/>
      <x:c r="G371" s="21"/>
      <x:c r="H371" s="29" t="str">
        <x:f>IF(OR(D371="",E371=""),"",D371&amp;"|"&amp;E371&amp;"|"&amp;IF(F371="","00",F371)&amp;"|"&amp;IF(G371="","01",G371))</x:f>
      </x:c>
      <x:c r="I371" s="21"/>
      <x:c r="J371" s="29" t="str">
        <x:f>IF(K371="","",IFERROR(INDEX('04_KE_HOACH_CD'!$I$6:$I$305,MATCH(K371,'04_KE_HOACH_CD'!$G$6:$G$305,0)),""))</x:f>
      </x:c>
      <x:c r="K371" s="29" t="str">
        <x:f>IF(OR(H371="",I371=""),"",H371&amp;"|"&amp;TEXT(I371,"000"))</x:f>
      </x:c>
      <x:c r="L371" s="21"/>
      <x:c r="M371" s="21"/>
      <x:c r="N371" s="21"/>
      <x:c r="O371" s="43"/>
      <x:c r="P371" s="43"/>
      <x:c r="Q371" s="25"/>
      <x:c r="R371" s="25"/>
      <x:c r="S371" s="39" t="str">
        <x:f>IF(A371="","",SUMIF('07_DUNG_CHO'!$B$6:$B$505,A371,'07_DUNG_CHO'!$E$6:$E$505))</x:f>
      </x:c>
      <x:c r="T371" s="39" t="str">
        <x:f>IF(A371="","",IF(N371="SETUP",0,MAX(0,(P371-O371)*1440-Q371-S371)))</x:f>
      </x:c>
      <x:c r="U371" s="25"/>
      <x:c r="V371" s="25"/>
      <x:c r="W371" s="25"/>
      <x:c r="X371" s="25"/>
      <x:c r="Y371" s="25"/>
      <x:c r="Z371" s="25"/>
      <x:c r="AA371" s="39" t="str">
        <x:f>IF(A371="","",U371-SUM(V371,X371:Z371))</x:f>
      </x:c>
      <x:c r="AB371" s="39" t="str">
        <x:f>IF(A371="","",IF(N371="SETUP",IFERROR(INDEX('04_KE_HOACH_CD'!$K$6:$K$305,MATCH(K371,'04_KE_HOACH_CD'!$G$6:$G$305,0)),0),IF(OR(N371="PRODUCTION",N371="REWORK"),IFERROR(INDEX('04_KE_HOACH_CD'!$L$6:$L$305,MATCH(K371,'04_KE_HOACH_CD'!$G$6:$G$305,0))*V371,0),0)))</x:f>
      </x:c>
      <x:c r="AC371" s="39" t="str">
        <x:f>IF(A371="","",MAX(0,(P371-O371)*1440-Q371))</x:f>
      </x:c>
      <x:c r="AD371" s="37" t="str">
        <x:f>IF(A371="","",IFERROR(AB371/AC371,0))</x:f>
      </x:c>
      <x:c r="AE371" s="33" t="str">
        <x:f>IF(A371="","",AC371/60*SUMIF(DM_NHAN_SU!$A$6:$A$105,L371,DM_NHAN_SU!$E$6:$E$105))</x:f>
      </x:c>
      <x:c r="AF371" s="33" t="str">
        <x:f>IF(A371="","",AC371/60*SUMIF(DM_MAY!$A$6:$A$105,M371,DM_MAY!$F$6:$F$105))</x:f>
      </x:c>
      <x:c r="AG371" s="33" t="str">
        <x:f>IF(A371="","",AE371+AF371)</x:f>
      </x:c>
      <x:c r="AH371" s="21"/>
      <x:c r="AI371" s="29" t="str">
        <x:f>IF(A371="","",IF(OR(B371="",D371="",E371="",I371="",L371="",N371="",O371="",P371=""),"Thiếu dữ liệu",IF(AND(OR(N371="PRODUCTION",N371="REWORK",N371="SETUP"),M371=""),"Thiếu máy",IF(P371&lt;O371,"Sai thời gian",IF(AA371&lt;&gt;0,"Sai cân đối SL","Hợp lệ")))))</x:f>
      </x:c>
      <x:c r="AJ371" s="21"/>
    </x:row>
    <x:row r="372">
      <x:c r="A372" s="21"/>
      <x:c r="B372" s="35"/>
      <x:c r="C372" s="21"/>
      <x:c r="D372" s="21"/>
      <x:c r="E372" s="21"/>
      <x:c r="F372" s="21"/>
      <x:c r="G372" s="21"/>
      <x:c r="H372" s="29" t="str">
        <x:f>IF(OR(D372="",E372=""),"",D372&amp;"|"&amp;E372&amp;"|"&amp;IF(F372="","00",F372)&amp;"|"&amp;IF(G372="","01",G372))</x:f>
      </x:c>
      <x:c r="I372" s="21"/>
      <x:c r="J372" s="29" t="str">
        <x:f>IF(K372="","",IFERROR(INDEX('04_KE_HOACH_CD'!$I$6:$I$305,MATCH(K372,'04_KE_HOACH_CD'!$G$6:$G$305,0)),""))</x:f>
      </x:c>
      <x:c r="K372" s="29" t="str">
        <x:f>IF(OR(H372="",I372=""),"",H372&amp;"|"&amp;TEXT(I372,"000"))</x:f>
      </x:c>
      <x:c r="L372" s="21"/>
      <x:c r="M372" s="21"/>
      <x:c r="N372" s="21"/>
      <x:c r="O372" s="43"/>
      <x:c r="P372" s="43"/>
      <x:c r="Q372" s="25"/>
      <x:c r="R372" s="25"/>
      <x:c r="S372" s="39" t="str">
        <x:f>IF(A372="","",SUMIF('07_DUNG_CHO'!$B$6:$B$505,A372,'07_DUNG_CHO'!$E$6:$E$505))</x:f>
      </x:c>
      <x:c r="T372" s="39" t="str">
        <x:f>IF(A372="","",IF(N372="SETUP",0,MAX(0,(P372-O372)*1440-Q372-S372)))</x:f>
      </x:c>
      <x:c r="U372" s="25"/>
      <x:c r="V372" s="25"/>
      <x:c r="W372" s="25"/>
      <x:c r="X372" s="25"/>
      <x:c r="Y372" s="25"/>
      <x:c r="Z372" s="25"/>
      <x:c r="AA372" s="39" t="str">
        <x:f>IF(A372="","",U372-SUM(V372,X372:Z372))</x:f>
      </x:c>
      <x:c r="AB372" s="39" t="str">
        <x:f>IF(A372="","",IF(N372="SETUP",IFERROR(INDEX('04_KE_HOACH_CD'!$K$6:$K$305,MATCH(K372,'04_KE_HOACH_CD'!$G$6:$G$305,0)),0),IF(OR(N372="PRODUCTION",N372="REWORK"),IFERROR(INDEX('04_KE_HOACH_CD'!$L$6:$L$305,MATCH(K372,'04_KE_HOACH_CD'!$G$6:$G$305,0))*V372,0),0)))</x:f>
      </x:c>
      <x:c r="AC372" s="39" t="str">
        <x:f>IF(A372="","",MAX(0,(P372-O372)*1440-Q372))</x:f>
      </x:c>
      <x:c r="AD372" s="37" t="str">
        <x:f>IF(A372="","",IFERROR(AB372/AC372,0))</x:f>
      </x:c>
      <x:c r="AE372" s="33" t="str">
        <x:f>IF(A372="","",AC372/60*SUMIF(DM_NHAN_SU!$A$6:$A$105,L372,DM_NHAN_SU!$E$6:$E$105))</x:f>
      </x:c>
      <x:c r="AF372" s="33" t="str">
        <x:f>IF(A372="","",AC372/60*SUMIF(DM_MAY!$A$6:$A$105,M372,DM_MAY!$F$6:$F$105))</x:f>
      </x:c>
      <x:c r="AG372" s="33" t="str">
        <x:f>IF(A372="","",AE372+AF372)</x:f>
      </x:c>
      <x:c r="AH372" s="21"/>
      <x:c r="AI372" s="29" t="str">
        <x:f>IF(A372="","",IF(OR(B372="",D372="",E372="",I372="",L372="",N372="",O372="",P372=""),"Thiếu dữ liệu",IF(AND(OR(N372="PRODUCTION",N372="REWORK",N372="SETUP"),M372=""),"Thiếu máy",IF(P372&lt;O372,"Sai thời gian",IF(AA372&lt;&gt;0,"Sai cân đối SL","Hợp lệ")))))</x:f>
      </x:c>
      <x:c r="AJ372" s="21"/>
    </x:row>
    <x:row r="373">
      <x:c r="A373" s="21"/>
      <x:c r="B373" s="35"/>
      <x:c r="C373" s="21"/>
      <x:c r="D373" s="21"/>
      <x:c r="E373" s="21"/>
      <x:c r="F373" s="21"/>
      <x:c r="G373" s="21"/>
      <x:c r="H373" s="29" t="str">
        <x:f>IF(OR(D373="",E373=""),"",D373&amp;"|"&amp;E373&amp;"|"&amp;IF(F373="","00",F373)&amp;"|"&amp;IF(G373="","01",G373))</x:f>
      </x:c>
      <x:c r="I373" s="21"/>
      <x:c r="J373" s="29" t="str">
        <x:f>IF(K373="","",IFERROR(INDEX('04_KE_HOACH_CD'!$I$6:$I$305,MATCH(K373,'04_KE_HOACH_CD'!$G$6:$G$305,0)),""))</x:f>
      </x:c>
      <x:c r="K373" s="29" t="str">
        <x:f>IF(OR(H373="",I373=""),"",H373&amp;"|"&amp;TEXT(I373,"000"))</x:f>
      </x:c>
      <x:c r="L373" s="21"/>
      <x:c r="M373" s="21"/>
      <x:c r="N373" s="21"/>
      <x:c r="O373" s="43"/>
      <x:c r="P373" s="43"/>
      <x:c r="Q373" s="25"/>
      <x:c r="R373" s="25"/>
      <x:c r="S373" s="39" t="str">
        <x:f>IF(A373="","",SUMIF('07_DUNG_CHO'!$B$6:$B$505,A373,'07_DUNG_CHO'!$E$6:$E$505))</x:f>
      </x:c>
      <x:c r="T373" s="39" t="str">
        <x:f>IF(A373="","",IF(N373="SETUP",0,MAX(0,(P373-O373)*1440-Q373-S373)))</x:f>
      </x:c>
      <x:c r="U373" s="25"/>
      <x:c r="V373" s="25"/>
      <x:c r="W373" s="25"/>
      <x:c r="X373" s="25"/>
      <x:c r="Y373" s="25"/>
      <x:c r="Z373" s="25"/>
      <x:c r="AA373" s="39" t="str">
        <x:f>IF(A373="","",U373-SUM(V373,X373:Z373))</x:f>
      </x:c>
      <x:c r="AB373" s="39" t="str">
        <x:f>IF(A373="","",IF(N373="SETUP",IFERROR(INDEX('04_KE_HOACH_CD'!$K$6:$K$305,MATCH(K373,'04_KE_HOACH_CD'!$G$6:$G$305,0)),0),IF(OR(N373="PRODUCTION",N373="REWORK"),IFERROR(INDEX('04_KE_HOACH_CD'!$L$6:$L$305,MATCH(K373,'04_KE_HOACH_CD'!$G$6:$G$305,0))*V373,0),0)))</x:f>
      </x:c>
      <x:c r="AC373" s="39" t="str">
        <x:f>IF(A373="","",MAX(0,(P373-O373)*1440-Q373))</x:f>
      </x:c>
      <x:c r="AD373" s="37" t="str">
        <x:f>IF(A373="","",IFERROR(AB373/AC373,0))</x:f>
      </x:c>
      <x:c r="AE373" s="33" t="str">
        <x:f>IF(A373="","",AC373/60*SUMIF(DM_NHAN_SU!$A$6:$A$105,L373,DM_NHAN_SU!$E$6:$E$105))</x:f>
      </x:c>
      <x:c r="AF373" s="33" t="str">
        <x:f>IF(A373="","",AC373/60*SUMIF(DM_MAY!$A$6:$A$105,M373,DM_MAY!$F$6:$F$105))</x:f>
      </x:c>
      <x:c r="AG373" s="33" t="str">
        <x:f>IF(A373="","",AE373+AF373)</x:f>
      </x:c>
      <x:c r="AH373" s="21"/>
      <x:c r="AI373" s="29" t="str">
        <x:f>IF(A373="","",IF(OR(B373="",D373="",E373="",I373="",L373="",N373="",O373="",P373=""),"Thiếu dữ liệu",IF(AND(OR(N373="PRODUCTION",N373="REWORK",N373="SETUP"),M373=""),"Thiếu máy",IF(P373&lt;O373,"Sai thời gian",IF(AA373&lt;&gt;0,"Sai cân đối SL","Hợp lệ")))))</x:f>
      </x:c>
      <x:c r="AJ373" s="21"/>
    </x:row>
    <x:row r="374">
      <x:c r="A374" s="21"/>
      <x:c r="B374" s="35"/>
      <x:c r="C374" s="21"/>
      <x:c r="D374" s="21"/>
      <x:c r="E374" s="21"/>
      <x:c r="F374" s="21"/>
      <x:c r="G374" s="21"/>
      <x:c r="H374" s="29" t="str">
        <x:f>IF(OR(D374="",E374=""),"",D374&amp;"|"&amp;E374&amp;"|"&amp;IF(F374="","00",F374)&amp;"|"&amp;IF(G374="","01",G374))</x:f>
      </x:c>
      <x:c r="I374" s="21"/>
      <x:c r="J374" s="29" t="str">
        <x:f>IF(K374="","",IFERROR(INDEX('04_KE_HOACH_CD'!$I$6:$I$305,MATCH(K374,'04_KE_HOACH_CD'!$G$6:$G$305,0)),""))</x:f>
      </x:c>
      <x:c r="K374" s="29" t="str">
        <x:f>IF(OR(H374="",I374=""),"",H374&amp;"|"&amp;TEXT(I374,"000"))</x:f>
      </x:c>
      <x:c r="L374" s="21"/>
      <x:c r="M374" s="21"/>
      <x:c r="N374" s="21"/>
      <x:c r="O374" s="43"/>
      <x:c r="P374" s="43"/>
      <x:c r="Q374" s="25"/>
      <x:c r="R374" s="25"/>
      <x:c r="S374" s="39" t="str">
        <x:f>IF(A374="","",SUMIF('07_DUNG_CHO'!$B$6:$B$505,A374,'07_DUNG_CHO'!$E$6:$E$505))</x:f>
      </x:c>
      <x:c r="T374" s="39" t="str">
        <x:f>IF(A374="","",IF(N374="SETUP",0,MAX(0,(P374-O374)*1440-Q374-S374)))</x:f>
      </x:c>
      <x:c r="U374" s="25"/>
      <x:c r="V374" s="25"/>
      <x:c r="W374" s="25"/>
      <x:c r="X374" s="25"/>
      <x:c r="Y374" s="25"/>
      <x:c r="Z374" s="25"/>
      <x:c r="AA374" s="39" t="str">
        <x:f>IF(A374="","",U374-SUM(V374,X374:Z374))</x:f>
      </x:c>
      <x:c r="AB374" s="39" t="str">
        <x:f>IF(A374="","",IF(N374="SETUP",IFERROR(INDEX('04_KE_HOACH_CD'!$K$6:$K$305,MATCH(K374,'04_KE_HOACH_CD'!$G$6:$G$305,0)),0),IF(OR(N374="PRODUCTION",N374="REWORK"),IFERROR(INDEX('04_KE_HOACH_CD'!$L$6:$L$305,MATCH(K374,'04_KE_HOACH_CD'!$G$6:$G$305,0))*V374,0),0)))</x:f>
      </x:c>
      <x:c r="AC374" s="39" t="str">
        <x:f>IF(A374="","",MAX(0,(P374-O374)*1440-Q374))</x:f>
      </x:c>
      <x:c r="AD374" s="37" t="str">
        <x:f>IF(A374="","",IFERROR(AB374/AC374,0))</x:f>
      </x:c>
      <x:c r="AE374" s="33" t="str">
        <x:f>IF(A374="","",AC374/60*SUMIF(DM_NHAN_SU!$A$6:$A$105,L374,DM_NHAN_SU!$E$6:$E$105))</x:f>
      </x:c>
      <x:c r="AF374" s="33" t="str">
        <x:f>IF(A374="","",AC374/60*SUMIF(DM_MAY!$A$6:$A$105,M374,DM_MAY!$F$6:$F$105))</x:f>
      </x:c>
      <x:c r="AG374" s="33" t="str">
        <x:f>IF(A374="","",AE374+AF374)</x:f>
      </x:c>
      <x:c r="AH374" s="21"/>
      <x:c r="AI374" s="29" t="str">
        <x:f>IF(A374="","",IF(OR(B374="",D374="",E374="",I374="",L374="",N374="",O374="",P374=""),"Thiếu dữ liệu",IF(AND(OR(N374="PRODUCTION",N374="REWORK",N374="SETUP"),M374=""),"Thiếu máy",IF(P374&lt;O374,"Sai thời gian",IF(AA374&lt;&gt;0,"Sai cân đối SL","Hợp lệ")))))</x:f>
      </x:c>
      <x:c r="AJ374" s="21"/>
    </x:row>
    <x:row r="375">
      <x:c r="A375" s="21"/>
      <x:c r="B375" s="35"/>
      <x:c r="C375" s="21"/>
      <x:c r="D375" s="21"/>
      <x:c r="E375" s="21"/>
      <x:c r="F375" s="21"/>
      <x:c r="G375" s="21"/>
      <x:c r="H375" s="29" t="str">
        <x:f>IF(OR(D375="",E375=""),"",D375&amp;"|"&amp;E375&amp;"|"&amp;IF(F375="","00",F375)&amp;"|"&amp;IF(G375="","01",G375))</x:f>
      </x:c>
      <x:c r="I375" s="21"/>
      <x:c r="J375" s="29" t="str">
        <x:f>IF(K375="","",IFERROR(INDEX('04_KE_HOACH_CD'!$I$6:$I$305,MATCH(K375,'04_KE_HOACH_CD'!$G$6:$G$305,0)),""))</x:f>
      </x:c>
      <x:c r="K375" s="29" t="str">
        <x:f>IF(OR(H375="",I375=""),"",H375&amp;"|"&amp;TEXT(I375,"000"))</x:f>
      </x:c>
      <x:c r="L375" s="21"/>
      <x:c r="M375" s="21"/>
      <x:c r="N375" s="21"/>
      <x:c r="O375" s="43"/>
      <x:c r="P375" s="43"/>
      <x:c r="Q375" s="25"/>
      <x:c r="R375" s="25"/>
      <x:c r="S375" s="39" t="str">
        <x:f>IF(A375="","",SUMIF('07_DUNG_CHO'!$B$6:$B$505,A375,'07_DUNG_CHO'!$E$6:$E$505))</x:f>
      </x:c>
      <x:c r="T375" s="39" t="str">
        <x:f>IF(A375="","",IF(N375="SETUP",0,MAX(0,(P375-O375)*1440-Q375-S375)))</x:f>
      </x:c>
      <x:c r="U375" s="25"/>
      <x:c r="V375" s="25"/>
      <x:c r="W375" s="25"/>
      <x:c r="X375" s="25"/>
      <x:c r="Y375" s="25"/>
      <x:c r="Z375" s="25"/>
      <x:c r="AA375" s="39" t="str">
        <x:f>IF(A375="","",U375-SUM(V375,X375:Z375))</x:f>
      </x:c>
      <x:c r="AB375" s="39" t="str">
        <x:f>IF(A375="","",IF(N375="SETUP",IFERROR(INDEX('04_KE_HOACH_CD'!$K$6:$K$305,MATCH(K375,'04_KE_HOACH_CD'!$G$6:$G$305,0)),0),IF(OR(N375="PRODUCTION",N375="REWORK"),IFERROR(INDEX('04_KE_HOACH_CD'!$L$6:$L$305,MATCH(K375,'04_KE_HOACH_CD'!$G$6:$G$305,0))*V375,0),0)))</x:f>
      </x:c>
      <x:c r="AC375" s="39" t="str">
        <x:f>IF(A375="","",MAX(0,(P375-O375)*1440-Q375))</x:f>
      </x:c>
      <x:c r="AD375" s="37" t="str">
        <x:f>IF(A375="","",IFERROR(AB375/AC375,0))</x:f>
      </x:c>
      <x:c r="AE375" s="33" t="str">
        <x:f>IF(A375="","",AC375/60*SUMIF(DM_NHAN_SU!$A$6:$A$105,L375,DM_NHAN_SU!$E$6:$E$105))</x:f>
      </x:c>
      <x:c r="AF375" s="33" t="str">
        <x:f>IF(A375="","",AC375/60*SUMIF(DM_MAY!$A$6:$A$105,M375,DM_MAY!$F$6:$F$105))</x:f>
      </x:c>
      <x:c r="AG375" s="33" t="str">
        <x:f>IF(A375="","",AE375+AF375)</x:f>
      </x:c>
      <x:c r="AH375" s="21"/>
      <x:c r="AI375" s="29" t="str">
        <x:f>IF(A375="","",IF(OR(B375="",D375="",E375="",I375="",L375="",N375="",O375="",P375=""),"Thiếu dữ liệu",IF(AND(OR(N375="PRODUCTION",N375="REWORK",N375="SETUP"),M375=""),"Thiếu máy",IF(P375&lt;O375,"Sai thời gian",IF(AA375&lt;&gt;0,"Sai cân đối SL","Hợp lệ")))))</x:f>
      </x:c>
      <x:c r="AJ375" s="21"/>
    </x:row>
    <x:row r="376">
      <x:c r="A376" s="21"/>
      <x:c r="B376" s="35"/>
      <x:c r="C376" s="21"/>
      <x:c r="D376" s="21"/>
      <x:c r="E376" s="21"/>
      <x:c r="F376" s="21"/>
      <x:c r="G376" s="21"/>
      <x:c r="H376" s="29" t="str">
        <x:f>IF(OR(D376="",E376=""),"",D376&amp;"|"&amp;E376&amp;"|"&amp;IF(F376="","00",F376)&amp;"|"&amp;IF(G376="","01",G376))</x:f>
      </x:c>
      <x:c r="I376" s="21"/>
      <x:c r="J376" s="29" t="str">
        <x:f>IF(K376="","",IFERROR(INDEX('04_KE_HOACH_CD'!$I$6:$I$305,MATCH(K376,'04_KE_HOACH_CD'!$G$6:$G$305,0)),""))</x:f>
      </x:c>
      <x:c r="K376" s="29" t="str">
        <x:f>IF(OR(H376="",I376=""),"",H376&amp;"|"&amp;TEXT(I376,"000"))</x:f>
      </x:c>
      <x:c r="L376" s="21"/>
      <x:c r="M376" s="21"/>
      <x:c r="N376" s="21"/>
      <x:c r="O376" s="43"/>
      <x:c r="P376" s="43"/>
      <x:c r="Q376" s="25"/>
      <x:c r="R376" s="25"/>
      <x:c r="S376" s="39" t="str">
        <x:f>IF(A376="","",SUMIF('07_DUNG_CHO'!$B$6:$B$505,A376,'07_DUNG_CHO'!$E$6:$E$505))</x:f>
      </x:c>
      <x:c r="T376" s="39" t="str">
        <x:f>IF(A376="","",IF(N376="SETUP",0,MAX(0,(P376-O376)*1440-Q376-S376)))</x:f>
      </x:c>
      <x:c r="U376" s="25"/>
      <x:c r="V376" s="25"/>
      <x:c r="W376" s="25"/>
      <x:c r="X376" s="25"/>
      <x:c r="Y376" s="25"/>
      <x:c r="Z376" s="25"/>
      <x:c r="AA376" s="39" t="str">
        <x:f>IF(A376="","",U376-SUM(V376,X376:Z376))</x:f>
      </x:c>
      <x:c r="AB376" s="39" t="str">
        <x:f>IF(A376="","",IF(N376="SETUP",IFERROR(INDEX('04_KE_HOACH_CD'!$K$6:$K$305,MATCH(K376,'04_KE_HOACH_CD'!$G$6:$G$305,0)),0),IF(OR(N376="PRODUCTION",N376="REWORK"),IFERROR(INDEX('04_KE_HOACH_CD'!$L$6:$L$305,MATCH(K376,'04_KE_HOACH_CD'!$G$6:$G$305,0))*V376,0),0)))</x:f>
      </x:c>
      <x:c r="AC376" s="39" t="str">
        <x:f>IF(A376="","",MAX(0,(P376-O376)*1440-Q376))</x:f>
      </x:c>
      <x:c r="AD376" s="37" t="str">
        <x:f>IF(A376="","",IFERROR(AB376/AC376,0))</x:f>
      </x:c>
      <x:c r="AE376" s="33" t="str">
        <x:f>IF(A376="","",AC376/60*SUMIF(DM_NHAN_SU!$A$6:$A$105,L376,DM_NHAN_SU!$E$6:$E$105))</x:f>
      </x:c>
      <x:c r="AF376" s="33" t="str">
        <x:f>IF(A376="","",AC376/60*SUMIF(DM_MAY!$A$6:$A$105,M376,DM_MAY!$F$6:$F$105))</x:f>
      </x:c>
      <x:c r="AG376" s="33" t="str">
        <x:f>IF(A376="","",AE376+AF376)</x:f>
      </x:c>
      <x:c r="AH376" s="21"/>
      <x:c r="AI376" s="29" t="str">
        <x:f>IF(A376="","",IF(OR(B376="",D376="",E376="",I376="",L376="",N376="",O376="",P376=""),"Thiếu dữ liệu",IF(AND(OR(N376="PRODUCTION",N376="REWORK",N376="SETUP"),M376=""),"Thiếu máy",IF(P376&lt;O376,"Sai thời gian",IF(AA376&lt;&gt;0,"Sai cân đối SL","Hợp lệ")))))</x:f>
      </x:c>
      <x:c r="AJ376" s="21"/>
    </x:row>
    <x:row r="377">
      <x:c r="A377" s="21"/>
      <x:c r="B377" s="35"/>
      <x:c r="C377" s="21"/>
      <x:c r="D377" s="21"/>
      <x:c r="E377" s="21"/>
      <x:c r="F377" s="21"/>
      <x:c r="G377" s="21"/>
      <x:c r="H377" s="29" t="str">
        <x:f>IF(OR(D377="",E377=""),"",D377&amp;"|"&amp;E377&amp;"|"&amp;IF(F377="","00",F377)&amp;"|"&amp;IF(G377="","01",G377))</x:f>
      </x:c>
      <x:c r="I377" s="21"/>
      <x:c r="J377" s="29" t="str">
        <x:f>IF(K377="","",IFERROR(INDEX('04_KE_HOACH_CD'!$I$6:$I$305,MATCH(K377,'04_KE_HOACH_CD'!$G$6:$G$305,0)),""))</x:f>
      </x:c>
      <x:c r="K377" s="29" t="str">
        <x:f>IF(OR(H377="",I377=""),"",H377&amp;"|"&amp;TEXT(I377,"000"))</x:f>
      </x:c>
      <x:c r="L377" s="21"/>
      <x:c r="M377" s="21"/>
      <x:c r="N377" s="21"/>
      <x:c r="O377" s="43"/>
      <x:c r="P377" s="43"/>
      <x:c r="Q377" s="25"/>
      <x:c r="R377" s="25"/>
      <x:c r="S377" s="39" t="str">
        <x:f>IF(A377="","",SUMIF('07_DUNG_CHO'!$B$6:$B$505,A377,'07_DUNG_CHO'!$E$6:$E$505))</x:f>
      </x:c>
      <x:c r="T377" s="39" t="str">
        <x:f>IF(A377="","",IF(N377="SETUP",0,MAX(0,(P377-O377)*1440-Q377-S377)))</x:f>
      </x:c>
      <x:c r="U377" s="25"/>
      <x:c r="V377" s="25"/>
      <x:c r="W377" s="25"/>
      <x:c r="X377" s="25"/>
      <x:c r="Y377" s="25"/>
      <x:c r="Z377" s="25"/>
      <x:c r="AA377" s="39" t="str">
        <x:f>IF(A377="","",U377-SUM(V377,X377:Z377))</x:f>
      </x:c>
      <x:c r="AB377" s="39" t="str">
        <x:f>IF(A377="","",IF(N377="SETUP",IFERROR(INDEX('04_KE_HOACH_CD'!$K$6:$K$305,MATCH(K377,'04_KE_HOACH_CD'!$G$6:$G$305,0)),0),IF(OR(N377="PRODUCTION",N377="REWORK"),IFERROR(INDEX('04_KE_HOACH_CD'!$L$6:$L$305,MATCH(K377,'04_KE_HOACH_CD'!$G$6:$G$305,0))*V377,0),0)))</x:f>
      </x:c>
      <x:c r="AC377" s="39" t="str">
        <x:f>IF(A377="","",MAX(0,(P377-O377)*1440-Q377))</x:f>
      </x:c>
      <x:c r="AD377" s="37" t="str">
        <x:f>IF(A377="","",IFERROR(AB377/AC377,0))</x:f>
      </x:c>
      <x:c r="AE377" s="33" t="str">
        <x:f>IF(A377="","",AC377/60*SUMIF(DM_NHAN_SU!$A$6:$A$105,L377,DM_NHAN_SU!$E$6:$E$105))</x:f>
      </x:c>
      <x:c r="AF377" s="33" t="str">
        <x:f>IF(A377="","",AC377/60*SUMIF(DM_MAY!$A$6:$A$105,M377,DM_MAY!$F$6:$F$105))</x:f>
      </x:c>
      <x:c r="AG377" s="33" t="str">
        <x:f>IF(A377="","",AE377+AF377)</x:f>
      </x:c>
      <x:c r="AH377" s="21"/>
      <x:c r="AI377" s="29" t="str">
        <x:f>IF(A377="","",IF(OR(B377="",D377="",E377="",I377="",L377="",N377="",O377="",P377=""),"Thiếu dữ liệu",IF(AND(OR(N377="PRODUCTION",N377="REWORK",N377="SETUP"),M377=""),"Thiếu máy",IF(P377&lt;O377,"Sai thời gian",IF(AA377&lt;&gt;0,"Sai cân đối SL","Hợp lệ")))))</x:f>
      </x:c>
      <x:c r="AJ377" s="21"/>
    </x:row>
    <x:row r="378">
      <x:c r="A378" s="21"/>
      <x:c r="B378" s="35"/>
      <x:c r="C378" s="21"/>
      <x:c r="D378" s="21"/>
      <x:c r="E378" s="21"/>
      <x:c r="F378" s="21"/>
      <x:c r="G378" s="21"/>
      <x:c r="H378" s="29" t="str">
        <x:f>IF(OR(D378="",E378=""),"",D378&amp;"|"&amp;E378&amp;"|"&amp;IF(F378="","00",F378)&amp;"|"&amp;IF(G378="","01",G378))</x:f>
      </x:c>
      <x:c r="I378" s="21"/>
      <x:c r="J378" s="29" t="str">
        <x:f>IF(K378="","",IFERROR(INDEX('04_KE_HOACH_CD'!$I$6:$I$305,MATCH(K378,'04_KE_HOACH_CD'!$G$6:$G$305,0)),""))</x:f>
      </x:c>
      <x:c r="K378" s="29" t="str">
        <x:f>IF(OR(H378="",I378=""),"",H378&amp;"|"&amp;TEXT(I378,"000"))</x:f>
      </x:c>
      <x:c r="L378" s="21"/>
      <x:c r="M378" s="21"/>
      <x:c r="N378" s="21"/>
      <x:c r="O378" s="43"/>
      <x:c r="P378" s="43"/>
      <x:c r="Q378" s="25"/>
      <x:c r="R378" s="25"/>
      <x:c r="S378" s="39" t="str">
        <x:f>IF(A378="","",SUMIF('07_DUNG_CHO'!$B$6:$B$505,A378,'07_DUNG_CHO'!$E$6:$E$505))</x:f>
      </x:c>
      <x:c r="T378" s="39" t="str">
        <x:f>IF(A378="","",IF(N378="SETUP",0,MAX(0,(P378-O378)*1440-Q378-S378)))</x:f>
      </x:c>
      <x:c r="U378" s="25"/>
      <x:c r="V378" s="25"/>
      <x:c r="W378" s="25"/>
      <x:c r="X378" s="25"/>
      <x:c r="Y378" s="25"/>
      <x:c r="Z378" s="25"/>
      <x:c r="AA378" s="39" t="str">
        <x:f>IF(A378="","",U378-SUM(V378,X378:Z378))</x:f>
      </x:c>
      <x:c r="AB378" s="39" t="str">
        <x:f>IF(A378="","",IF(N378="SETUP",IFERROR(INDEX('04_KE_HOACH_CD'!$K$6:$K$305,MATCH(K378,'04_KE_HOACH_CD'!$G$6:$G$305,0)),0),IF(OR(N378="PRODUCTION",N378="REWORK"),IFERROR(INDEX('04_KE_HOACH_CD'!$L$6:$L$305,MATCH(K378,'04_KE_HOACH_CD'!$G$6:$G$305,0))*V378,0),0)))</x:f>
      </x:c>
      <x:c r="AC378" s="39" t="str">
        <x:f>IF(A378="","",MAX(0,(P378-O378)*1440-Q378))</x:f>
      </x:c>
      <x:c r="AD378" s="37" t="str">
        <x:f>IF(A378="","",IFERROR(AB378/AC378,0))</x:f>
      </x:c>
      <x:c r="AE378" s="33" t="str">
        <x:f>IF(A378="","",AC378/60*SUMIF(DM_NHAN_SU!$A$6:$A$105,L378,DM_NHAN_SU!$E$6:$E$105))</x:f>
      </x:c>
      <x:c r="AF378" s="33" t="str">
        <x:f>IF(A378="","",AC378/60*SUMIF(DM_MAY!$A$6:$A$105,M378,DM_MAY!$F$6:$F$105))</x:f>
      </x:c>
      <x:c r="AG378" s="33" t="str">
        <x:f>IF(A378="","",AE378+AF378)</x:f>
      </x:c>
      <x:c r="AH378" s="21"/>
      <x:c r="AI378" s="29" t="str">
        <x:f>IF(A378="","",IF(OR(B378="",D378="",E378="",I378="",L378="",N378="",O378="",P378=""),"Thiếu dữ liệu",IF(AND(OR(N378="PRODUCTION",N378="REWORK",N378="SETUP"),M378=""),"Thiếu máy",IF(P378&lt;O378,"Sai thời gian",IF(AA378&lt;&gt;0,"Sai cân đối SL","Hợp lệ")))))</x:f>
      </x:c>
      <x:c r="AJ378" s="21"/>
    </x:row>
    <x:row r="379">
      <x:c r="A379" s="21"/>
      <x:c r="B379" s="35"/>
      <x:c r="C379" s="21"/>
      <x:c r="D379" s="21"/>
      <x:c r="E379" s="21"/>
      <x:c r="F379" s="21"/>
      <x:c r="G379" s="21"/>
      <x:c r="H379" s="29" t="str">
        <x:f>IF(OR(D379="",E379=""),"",D379&amp;"|"&amp;E379&amp;"|"&amp;IF(F379="","00",F379)&amp;"|"&amp;IF(G379="","01",G379))</x:f>
      </x:c>
      <x:c r="I379" s="21"/>
      <x:c r="J379" s="29" t="str">
        <x:f>IF(K379="","",IFERROR(INDEX('04_KE_HOACH_CD'!$I$6:$I$305,MATCH(K379,'04_KE_HOACH_CD'!$G$6:$G$305,0)),""))</x:f>
      </x:c>
      <x:c r="K379" s="29" t="str">
        <x:f>IF(OR(H379="",I379=""),"",H379&amp;"|"&amp;TEXT(I379,"000"))</x:f>
      </x:c>
      <x:c r="L379" s="21"/>
      <x:c r="M379" s="21"/>
      <x:c r="N379" s="21"/>
      <x:c r="O379" s="43"/>
      <x:c r="P379" s="43"/>
      <x:c r="Q379" s="25"/>
      <x:c r="R379" s="25"/>
      <x:c r="S379" s="39" t="str">
        <x:f>IF(A379="","",SUMIF('07_DUNG_CHO'!$B$6:$B$505,A379,'07_DUNG_CHO'!$E$6:$E$505))</x:f>
      </x:c>
      <x:c r="T379" s="39" t="str">
        <x:f>IF(A379="","",IF(N379="SETUP",0,MAX(0,(P379-O379)*1440-Q379-S379)))</x:f>
      </x:c>
      <x:c r="U379" s="25"/>
      <x:c r="V379" s="25"/>
      <x:c r="W379" s="25"/>
      <x:c r="X379" s="25"/>
      <x:c r="Y379" s="25"/>
      <x:c r="Z379" s="25"/>
      <x:c r="AA379" s="39" t="str">
        <x:f>IF(A379="","",U379-SUM(V379,X379:Z379))</x:f>
      </x:c>
      <x:c r="AB379" s="39" t="str">
        <x:f>IF(A379="","",IF(N379="SETUP",IFERROR(INDEX('04_KE_HOACH_CD'!$K$6:$K$305,MATCH(K379,'04_KE_HOACH_CD'!$G$6:$G$305,0)),0),IF(OR(N379="PRODUCTION",N379="REWORK"),IFERROR(INDEX('04_KE_HOACH_CD'!$L$6:$L$305,MATCH(K379,'04_KE_HOACH_CD'!$G$6:$G$305,0))*V379,0),0)))</x:f>
      </x:c>
      <x:c r="AC379" s="39" t="str">
        <x:f>IF(A379="","",MAX(0,(P379-O379)*1440-Q379))</x:f>
      </x:c>
      <x:c r="AD379" s="37" t="str">
        <x:f>IF(A379="","",IFERROR(AB379/AC379,0))</x:f>
      </x:c>
      <x:c r="AE379" s="33" t="str">
        <x:f>IF(A379="","",AC379/60*SUMIF(DM_NHAN_SU!$A$6:$A$105,L379,DM_NHAN_SU!$E$6:$E$105))</x:f>
      </x:c>
      <x:c r="AF379" s="33" t="str">
        <x:f>IF(A379="","",AC379/60*SUMIF(DM_MAY!$A$6:$A$105,M379,DM_MAY!$F$6:$F$105))</x:f>
      </x:c>
      <x:c r="AG379" s="33" t="str">
        <x:f>IF(A379="","",AE379+AF379)</x:f>
      </x:c>
      <x:c r="AH379" s="21"/>
      <x:c r="AI379" s="29" t="str">
        <x:f>IF(A379="","",IF(OR(B379="",D379="",E379="",I379="",L379="",N379="",O379="",P379=""),"Thiếu dữ liệu",IF(AND(OR(N379="PRODUCTION",N379="REWORK",N379="SETUP"),M379=""),"Thiếu máy",IF(P379&lt;O379,"Sai thời gian",IF(AA379&lt;&gt;0,"Sai cân đối SL","Hợp lệ")))))</x:f>
      </x:c>
      <x:c r="AJ379" s="21"/>
    </x:row>
    <x:row r="380">
      <x:c r="A380" s="21"/>
      <x:c r="B380" s="35"/>
      <x:c r="C380" s="21"/>
      <x:c r="D380" s="21"/>
      <x:c r="E380" s="21"/>
      <x:c r="F380" s="21"/>
      <x:c r="G380" s="21"/>
      <x:c r="H380" s="29" t="str">
        <x:f>IF(OR(D380="",E380=""),"",D380&amp;"|"&amp;E380&amp;"|"&amp;IF(F380="","00",F380)&amp;"|"&amp;IF(G380="","01",G380))</x:f>
      </x:c>
      <x:c r="I380" s="21"/>
      <x:c r="J380" s="29" t="str">
        <x:f>IF(K380="","",IFERROR(INDEX('04_KE_HOACH_CD'!$I$6:$I$305,MATCH(K380,'04_KE_HOACH_CD'!$G$6:$G$305,0)),""))</x:f>
      </x:c>
      <x:c r="K380" s="29" t="str">
        <x:f>IF(OR(H380="",I380=""),"",H380&amp;"|"&amp;TEXT(I380,"000"))</x:f>
      </x:c>
      <x:c r="L380" s="21"/>
      <x:c r="M380" s="21"/>
      <x:c r="N380" s="21"/>
      <x:c r="O380" s="43"/>
      <x:c r="P380" s="43"/>
      <x:c r="Q380" s="25"/>
      <x:c r="R380" s="25"/>
      <x:c r="S380" s="39" t="str">
        <x:f>IF(A380="","",SUMIF('07_DUNG_CHO'!$B$6:$B$505,A380,'07_DUNG_CHO'!$E$6:$E$505))</x:f>
      </x:c>
      <x:c r="T380" s="39" t="str">
        <x:f>IF(A380="","",IF(N380="SETUP",0,MAX(0,(P380-O380)*1440-Q380-S380)))</x:f>
      </x:c>
      <x:c r="U380" s="25"/>
      <x:c r="V380" s="25"/>
      <x:c r="W380" s="25"/>
      <x:c r="X380" s="25"/>
      <x:c r="Y380" s="25"/>
      <x:c r="Z380" s="25"/>
      <x:c r="AA380" s="39" t="str">
        <x:f>IF(A380="","",U380-SUM(V380,X380:Z380))</x:f>
      </x:c>
      <x:c r="AB380" s="39" t="str">
        <x:f>IF(A380="","",IF(N380="SETUP",IFERROR(INDEX('04_KE_HOACH_CD'!$K$6:$K$305,MATCH(K380,'04_KE_HOACH_CD'!$G$6:$G$305,0)),0),IF(OR(N380="PRODUCTION",N380="REWORK"),IFERROR(INDEX('04_KE_HOACH_CD'!$L$6:$L$305,MATCH(K380,'04_KE_HOACH_CD'!$G$6:$G$305,0))*V380,0),0)))</x:f>
      </x:c>
      <x:c r="AC380" s="39" t="str">
        <x:f>IF(A380="","",MAX(0,(P380-O380)*1440-Q380))</x:f>
      </x:c>
      <x:c r="AD380" s="37" t="str">
        <x:f>IF(A380="","",IFERROR(AB380/AC380,0))</x:f>
      </x:c>
      <x:c r="AE380" s="33" t="str">
        <x:f>IF(A380="","",AC380/60*SUMIF(DM_NHAN_SU!$A$6:$A$105,L380,DM_NHAN_SU!$E$6:$E$105))</x:f>
      </x:c>
      <x:c r="AF380" s="33" t="str">
        <x:f>IF(A380="","",AC380/60*SUMIF(DM_MAY!$A$6:$A$105,M380,DM_MAY!$F$6:$F$105))</x:f>
      </x:c>
      <x:c r="AG380" s="33" t="str">
        <x:f>IF(A380="","",AE380+AF380)</x:f>
      </x:c>
      <x:c r="AH380" s="21"/>
      <x:c r="AI380" s="29" t="str">
        <x:f>IF(A380="","",IF(OR(B380="",D380="",E380="",I380="",L380="",N380="",O380="",P380=""),"Thiếu dữ liệu",IF(AND(OR(N380="PRODUCTION",N380="REWORK",N380="SETUP"),M380=""),"Thiếu máy",IF(P380&lt;O380,"Sai thời gian",IF(AA380&lt;&gt;0,"Sai cân đối SL","Hợp lệ")))))</x:f>
      </x:c>
      <x:c r="AJ380" s="21"/>
    </x:row>
    <x:row r="381">
      <x:c r="A381" s="21"/>
      <x:c r="B381" s="35"/>
      <x:c r="C381" s="21"/>
      <x:c r="D381" s="21"/>
      <x:c r="E381" s="21"/>
      <x:c r="F381" s="21"/>
      <x:c r="G381" s="21"/>
      <x:c r="H381" s="29" t="str">
        <x:f>IF(OR(D381="",E381=""),"",D381&amp;"|"&amp;E381&amp;"|"&amp;IF(F381="","00",F381)&amp;"|"&amp;IF(G381="","01",G381))</x:f>
      </x:c>
      <x:c r="I381" s="21"/>
      <x:c r="J381" s="29" t="str">
        <x:f>IF(K381="","",IFERROR(INDEX('04_KE_HOACH_CD'!$I$6:$I$305,MATCH(K381,'04_KE_HOACH_CD'!$G$6:$G$305,0)),""))</x:f>
      </x:c>
      <x:c r="K381" s="29" t="str">
        <x:f>IF(OR(H381="",I381=""),"",H381&amp;"|"&amp;TEXT(I381,"000"))</x:f>
      </x:c>
      <x:c r="L381" s="21"/>
      <x:c r="M381" s="21"/>
      <x:c r="N381" s="21"/>
      <x:c r="O381" s="43"/>
      <x:c r="P381" s="43"/>
      <x:c r="Q381" s="25"/>
      <x:c r="R381" s="25"/>
      <x:c r="S381" s="39" t="str">
        <x:f>IF(A381="","",SUMIF('07_DUNG_CHO'!$B$6:$B$505,A381,'07_DUNG_CHO'!$E$6:$E$505))</x:f>
      </x:c>
      <x:c r="T381" s="39" t="str">
        <x:f>IF(A381="","",IF(N381="SETUP",0,MAX(0,(P381-O381)*1440-Q381-S381)))</x:f>
      </x:c>
      <x:c r="U381" s="25"/>
      <x:c r="V381" s="25"/>
      <x:c r="W381" s="25"/>
      <x:c r="X381" s="25"/>
      <x:c r="Y381" s="25"/>
      <x:c r="Z381" s="25"/>
      <x:c r="AA381" s="39" t="str">
        <x:f>IF(A381="","",U381-SUM(V381,X381:Z381))</x:f>
      </x:c>
      <x:c r="AB381" s="39" t="str">
        <x:f>IF(A381="","",IF(N381="SETUP",IFERROR(INDEX('04_KE_HOACH_CD'!$K$6:$K$305,MATCH(K381,'04_KE_HOACH_CD'!$G$6:$G$305,0)),0),IF(OR(N381="PRODUCTION",N381="REWORK"),IFERROR(INDEX('04_KE_HOACH_CD'!$L$6:$L$305,MATCH(K381,'04_KE_HOACH_CD'!$G$6:$G$305,0))*V381,0),0)))</x:f>
      </x:c>
      <x:c r="AC381" s="39" t="str">
        <x:f>IF(A381="","",MAX(0,(P381-O381)*1440-Q381))</x:f>
      </x:c>
      <x:c r="AD381" s="37" t="str">
        <x:f>IF(A381="","",IFERROR(AB381/AC381,0))</x:f>
      </x:c>
      <x:c r="AE381" s="33" t="str">
        <x:f>IF(A381="","",AC381/60*SUMIF(DM_NHAN_SU!$A$6:$A$105,L381,DM_NHAN_SU!$E$6:$E$105))</x:f>
      </x:c>
      <x:c r="AF381" s="33" t="str">
        <x:f>IF(A381="","",AC381/60*SUMIF(DM_MAY!$A$6:$A$105,M381,DM_MAY!$F$6:$F$105))</x:f>
      </x:c>
      <x:c r="AG381" s="33" t="str">
        <x:f>IF(A381="","",AE381+AF381)</x:f>
      </x:c>
      <x:c r="AH381" s="21"/>
      <x:c r="AI381" s="29" t="str">
        <x:f>IF(A381="","",IF(OR(B381="",D381="",E381="",I381="",L381="",N381="",O381="",P381=""),"Thiếu dữ liệu",IF(AND(OR(N381="PRODUCTION",N381="REWORK",N381="SETUP"),M381=""),"Thiếu máy",IF(P381&lt;O381,"Sai thời gian",IF(AA381&lt;&gt;0,"Sai cân đối SL","Hợp lệ")))))</x:f>
      </x:c>
      <x:c r="AJ381" s="21"/>
    </x:row>
    <x:row r="382">
      <x:c r="A382" s="21"/>
      <x:c r="B382" s="35"/>
      <x:c r="C382" s="21"/>
      <x:c r="D382" s="21"/>
      <x:c r="E382" s="21"/>
      <x:c r="F382" s="21"/>
      <x:c r="G382" s="21"/>
      <x:c r="H382" s="29" t="str">
        <x:f>IF(OR(D382="",E382=""),"",D382&amp;"|"&amp;E382&amp;"|"&amp;IF(F382="","00",F382)&amp;"|"&amp;IF(G382="","01",G382))</x:f>
      </x:c>
      <x:c r="I382" s="21"/>
      <x:c r="J382" s="29" t="str">
        <x:f>IF(K382="","",IFERROR(INDEX('04_KE_HOACH_CD'!$I$6:$I$305,MATCH(K382,'04_KE_HOACH_CD'!$G$6:$G$305,0)),""))</x:f>
      </x:c>
      <x:c r="K382" s="29" t="str">
        <x:f>IF(OR(H382="",I382=""),"",H382&amp;"|"&amp;TEXT(I382,"000"))</x:f>
      </x:c>
      <x:c r="L382" s="21"/>
      <x:c r="M382" s="21"/>
      <x:c r="N382" s="21"/>
      <x:c r="O382" s="43"/>
      <x:c r="P382" s="43"/>
      <x:c r="Q382" s="25"/>
      <x:c r="R382" s="25"/>
      <x:c r="S382" s="39" t="str">
        <x:f>IF(A382="","",SUMIF('07_DUNG_CHO'!$B$6:$B$505,A382,'07_DUNG_CHO'!$E$6:$E$505))</x:f>
      </x:c>
      <x:c r="T382" s="39" t="str">
        <x:f>IF(A382="","",IF(N382="SETUP",0,MAX(0,(P382-O382)*1440-Q382-S382)))</x:f>
      </x:c>
      <x:c r="U382" s="25"/>
      <x:c r="V382" s="25"/>
      <x:c r="W382" s="25"/>
      <x:c r="X382" s="25"/>
      <x:c r="Y382" s="25"/>
      <x:c r="Z382" s="25"/>
      <x:c r="AA382" s="39" t="str">
        <x:f>IF(A382="","",U382-SUM(V382,X382:Z382))</x:f>
      </x:c>
      <x:c r="AB382" s="39" t="str">
        <x:f>IF(A382="","",IF(N382="SETUP",IFERROR(INDEX('04_KE_HOACH_CD'!$K$6:$K$305,MATCH(K382,'04_KE_HOACH_CD'!$G$6:$G$305,0)),0),IF(OR(N382="PRODUCTION",N382="REWORK"),IFERROR(INDEX('04_KE_HOACH_CD'!$L$6:$L$305,MATCH(K382,'04_KE_HOACH_CD'!$G$6:$G$305,0))*V382,0),0)))</x:f>
      </x:c>
      <x:c r="AC382" s="39" t="str">
        <x:f>IF(A382="","",MAX(0,(P382-O382)*1440-Q382))</x:f>
      </x:c>
      <x:c r="AD382" s="37" t="str">
        <x:f>IF(A382="","",IFERROR(AB382/AC382,0))</x:f>
      </x:c>
      <x:c r="AE382" s="33" t="str">
        <x:f>IF(A382="","",AC382/60*SUMIF(DM_NHAN_SU!$A$6:$A$105,L382,DM_NHAN_SU!$E$6:$E$105))</x:f>
      </x:c>
      <x:c r="AF382" s="33" t="str">
        <x:f>IF(A382="","",AC382/60*SUMIF(DM_MAY!$A$6:$A$105,M382,DM_MAY!$F$6:$F$105))</x:f>
      </x:c>
      <x:c r="AG382" s="33" t="str">
        <x:f>IF(A382="","",AE382+AF382)</x:f>
      </x:c>
      <x:c r="AH382" s="21"/>
      <x:c r="AI382" s="29" t="str">
        <x:f>IF(A382="","",IF(OR(B382="",D382="",E382="",I382="",L382="",N382="",O382="",P382=""),"Thiếu dữ liệu",IF(AND(OR(N382="PRODUCTION",N382="REWORK",N382="SETUP"),M382=""),"Thiếu máy",IF(P382&lt;O382,"Sai thời gian",IF(AA382&lt;&gt;0,"Sai cân đối SL","Hợp lệ")))))</x:f>
      </x:c>
      <x:c r="AJ382" s="21"/>
    </x:row>
    <x:row r="383">
      <x:c r="A383" s="21"/>
      <x:c r="B383" s="35"/>
      <x:c r="C383" s="21"/>
      <x:c r="D383" s="21"/>
      <x:c r="E383" s="21"/>
      <x:c r="F383" s="21"/>
      <x:c r="G383" s="21"/>
      <x:c r="H383" s="29" t="str">
        <x:f>IF(OR(D383="",E383=""),"",D383&amp;"|"&amp;E383&amp;"|"&amp;IF(F383="","00",F383)&amp;"|"&amp;IF(G383="","01",G383))</x:f>
      </x:c>
      <x:c r="I383" s="21"/>
      <x:c r="J383" s="29" t="str">
        <x:f>IF(K383="","",IFERROR(INDEX('04_KE_HOACH_CD'!$I$6:$I$305,MATCH(K383,'04_KE_HOACH_CD'!$G$6:$G$305,0)),""))</x:f>
      </x:c>
      <x:c r="K383" s="29" t="str">
        <x:f>IF(OR(H383="",I383=""),"",H383&amp;"|"&amp;TEXT(I383,"000"))</x:f>
      </x:c>
      <x:c r="L383" s="21"/>
      <x:c r="M383" s="21"/>
      <x:c r="N383" s="21"/>
      <x:c r="O383" s="43"/>
      <x:c r="P383" s="43"/>
      <x:c r="Q383" s="25"/>
      <x:c r="R383" s="25"/>
      <x:c r="S383" s="39" t="str">
        <x:f>IF(A383="","",SUMIF('07_DUNG_CHO'!$B$6:$B$505,A383,'07_DUNG_CHO'!$E$6:$E$505))</x:f>
      </x:c>
      <x:c r="T383" s="39" t="str">
        <x:f>IF(A383="","",IF(N383="SETUP",0,MAX(0,(P383-O383)*1440-Q383-S383)))</x:f>
      </x:c>
      <x:c r="U383" s="25"/>
      <x:c r="V383" s="25"/>
      <x:c r="W383" s="25"/>
      <x:c r="X383" s="25"/>
      <x:c r="Y383" s="25"/>
      <x:c r="Z383" s="25"/>
      <x:c r="AA383" s="39" t="str">
        <x:f>IF(A383="","",U383-SUM(V383,X383:Z383))</x:f>
      </x:c>
      <x:c r="AB383" s="39" t="str">
        <x:f>IF(A383="","",IF(N383="SETUP",IFERROR(INDEX('04_KE_HOACH_CD'!$K$6:$K$305,MATCH(K383,'04_KE_HOACH_CD'!$G$6:$G$305,0)),0),IF(OR(N383="PRODUCTION",N383="REWORK"),IFERROR(INDEX('04_KE_HOACH_CD'!$L$6:$L$305,MATCH(K383,'04_KE_HOACH_CD'!$G$6:$G$305,0))*V383,0),0)))</x:f>
      </x:c>
      <x:c r="AC383" s="39" t="str">
        <x:f>IF(A383="","",MAX(0,(P383-O383)*1440-Q383))</x:f>
      </x:c>
      <x:c r="AD383" s="37" t="str">
        <x:f>IF(A383="","",IFERROR(AB383/AC383,0))</x:f>
      </x:c>
      <x:c r="AE383" s="33" t="str">
        <x:f>IF(A383="","",AC383/60*SUMIF(DM_NHAN_SU!$A$6:$A$105,L383,DM_NHAN_SU!$E$6:$E$105))</x:f>
      </x:c>
      <x:c r="AF383" s="33" t="str">
        <x:f>IF(A383="","",AC383/60*SUMIF(DM_MAY!$A$6:$A$105,M383,DM_MAY!$F$6:$F$105))</x:f>
      </x:c>
      <x:c r="AG383" s="33" t="str">
        <x:f>IF(A383="","",AE383+AF383)</x:f>
      </x:c>
      <x:c r="AH383" s="21"/>
      <x:c r="AI383" s="29" t="str">
        <x:f>IF(A383="","",IF(OR(B383="",D383="",E383="",I383="",L383="",N383="",O383="",P383=""),"Thiếu dữ liệu",IF(AND(OR(N383="PRODUCTION",N383="REWORK",N383="SETUP"),M383=""),"Thiếu máy",IF(P383&lt;O383,"Sai thời gian",IF(AA383&lt;&gt;0,"Sai cân đối SL","Hợp lệ")))))</x:f>
      </x:c>
      <x:c r="AJ383" s="21"/>
    </x:row>
    <x:row r="384">
      <x:c r="A384" s="21"/>
      <x:c r="B384" s="35"/>
      <x:c r="C384" s="21"/>
      <x:c r="D384" s="21"/>
      <x:c r="E384" s="21"/>
      <x:c r="F384" s="21"/>
      <x:c r="G384" s="21"/>
      <x:c r="H384" s="29" t="str">
        <x:f>IF(OR(D384="",E384=""),"",D384&amp;"|"&amp;E384&amp;"|"&amp;IF(F384="","00",F384)&amp;"|"&amp;IF(G384="","01",G384))</x:f>
      </x:c>
      <x:c r="I384" s="21"/>
      <x:c r="J384" s="29" t="str">
        <x:f>IF(K384="","",IFERROR(INDEX('04_KE_HOACH_CD'!$I$6:$I$305,MATCH(K384,'04_KE_HOACH_CD'!$G$6:$G$305,0)),""))</x:f>
      </x:c>
      <x:c r="K384" s="29" t="str">
        <x:f>IF(OR(H384="",I384=""),"",H384&amp;"|"&amp;TEXT(I384,"000"))</x:f>
      </x:c>
      <x:c r="L384" s="21"/>
      <x:c r="M384" s="21"/>
      <x:c r="N384" s="21"/>
      <x:c r="O384" s="43"/>
      <x:c r="P384" s="43"/>
      <x:c r="Q384" s="25"/>
      <x:c r="R384" s="25"/>
      <x:c r="S384" s="39" t="str">
        <x:f>IF(A384="","",SUMIF('07_DUNG_CHO'!$B$6:$B$505,A384,'07_DUNG_CHO'!$E$6:$E$505))</x:f>
      </x:c>
      <x:c r="T384" s="39" t="str">
        <x:f>IF(A384="","",IF(N384="SETUP",0,MAX(0,(P384-O384)*1440-Q384-S384)))</x:f>
      </x:c>
      <x:c r="U384" s="25"/>
      <x:c r="V384" s="25"/>
      <x:c r="W384" s="25"/>
      <x:c r="X384" s="25"/>
      <x:c r="Y384" s="25"/>
      <x:c r="Z384" s="25"/>
      <x:c r="AA384" s="39" t="str">
        <x:f>IF(A384="","",U384-SUM(V384,X384:Z384))</x:f>
      </x:c>
      <x:c r="AB384" s="39" t="str">
        <x:f>IF(A384="","",IF(N384="SETUP",IFERROR(INDEX('04_KE_HOACH_CD'!$K$6:$K$305,MATCH(K384,'04_KE_HOACH_CD'!$G$6:$G$305,0)),0),IF(OR(N384="PRODUCTION",N384="REWORK"),IFERROR(INDEX('04_KE_HOACH_CD'!$L$6:$L$305,MATCH(K384,'04_KE_HOACH_CD'!$G$6:$G$305,0))*V384,0),0)))</x:f>
      </x:c>
      <x:c r="AC384" s="39" t="str">
        <x:f>IF(A384="","",MAX(0,(P384-O384)*1440-Q384))</x:f>
      </x:c>
      <x:c r="AD384" s="37" t="str">
        <x:f>IF(A384="","",IFERROR(AB384/AC384,0))</x:f>
      </x:c>
      <x:c r="AE384" s="33" t="str">
        <x:f>IF(A384="","",AC384/60*SUMIF(DM_NHAN_SU!$A$6:$A$105,L384,DM_NHAN_SU!$E$6:$E$105))</x:f>
      </x:c>
      <x:c r="AF384" s="33" t="str">
        <x:f>IF(A384="","",AC384/60*SUMIF(DM_MAY!$A$6:$A$105,M384,DM_MAY!$F$6:$F$105))</x:f>
      </x:c>
      <x:c r="AG384" s="33" t="str">
        <x:f>IF(A384="","",AE384+AF384)</x:f>
      </x:c>
      <x:c r="AH384" s="21"/>
      <x:c r="AI384" s="29" t="str">
        <x:f>IF(A384="","",IF(OR(B384="",D384="",E384="",I384="",L384="",N384="",O384="",P384=""),"Thiếu dữ liệu",IF(AND(OR(N384="PRODUCTION",N384="REWORK",N384="SETUP"),M384=""),"Thiếu máy",IF(P384&lt;O384,"Sai thời gian",IF(AA384&lt;&gt;0,"Sai cân đối SL","Hợp lệ")))))</x:f>
      </x:c>
      <x:c r="AJ384" s="21"/>
    </x:row>
    <x:row r="385">
      <x:c r="A385" s="21"/>
      <x:c r="B385" s="35"/>
      <x:c r="C385" s="21"/>
      <x:c r="D385" s="21"/>
      <x:c r="E385" s="21"/>
      <x:c r="F385" s="21"/>
      <x:c r="G385" s="21"/>
      <x:c r="H385" s="29" t="str">
        <x:f>IF(OR(D385="",E385=""),"",D385&amp;"|"&amp;E385&amp;"|"&amp;IF(F385="","00",F385)&amp;"|"&amp;IF(G385="","01",G385))</x:f>
      </x:c>
      <x:c r="I385" s="21"/>
      <x:c r="J385" s="29" t="str">
        <x:f>IF(K385="","",IFERROR(INDEX('04_KE_HOACH_CD'!$I$6:$I$305,MATCH(K385,'04_KE_HOACH_CD'!$G$6:$G$305,0)),""))</x:f>
      </x:c>
      <x:c r="K385" s="29" t="str">
        <x:f>IF(OR(H385="",I385=""),"",H385&amp;"|"&amp;TEXT(I385,"000"))</x:f>
      </x:c>
      <x:c r="L385" s="21"/>
      <x:c r="M385" s="21"/>
      <x:c r="N385" s="21"/>
      <x:c r="O385" s="43"/>
      <x:c r="P385" s="43"/>
      <x:c r="Q385" s="25"/>
      <x:c r="R385" s="25"/>
      <x:c r="S385" s="39" t="str">
        <x:f>IF(A385="","",SUMIF('07_DUNG_CHO'!$B$6:$B$505,A385,'07_DUNG_CHO'!$E$6:$E$505))</x:f>
      </x:c>
      <x:c r="T385" s="39" t="str">
        <x:f>IF(A385="","",IF(N385="SETUP",0,MAX(0,(P385-O385)*1440-Q385-S385)))</x:f>
      </x:c>
      <x:c r="U385" s="25"/>
      <x:c r="V385" s="25"/>
      <x:c r="W385" s="25"/>
      <x:c r="X385" s="25"/>
      <x:c r="Y385" s="25"/>
      <x:c r="Z385" s="25"/>
      <x:c r="AA385" s="39" t="str">
        <x:f>IF(A385="","",U385-SUM(V385,X385:Z385))</x:f>
      </x:c>
      <x:c r="AB385" s="39" t="str">
        <x:f>IF(A385="","",IF(N385="SETUP",IFERROR(INDEX('04_KE_HOACH_CD'!$K$6:$K$305,MATCH(K385,'04_KE_HOACH_CD'!$G$6:$G$305,0)),0),IF(OR(N385="PRODUCTION",N385="REWORK"),IFERROR(INDEX('04_KE_HOACH_CD'!$L$6:$L$305,MATCH(K385,'04_KE_HOACH_CD'!$G$6:$G$305,0))*V385,0),0)))</x:f>
      </x:c>
      <x:c r="AC385" s="39" t="str">
        <x:f>IF(A385="","",MAX(0,(P385-O385)*1440-Q385))</x:f>
      </x:c>
      <x:c r="AD385" s="37" t="str">
        <x:f>IF(A385="","",IFERROR(AB385/AC385,0))</x:f>
      </x:c>
      <x:c r="AE385" s="33" t="str">
        <x:f>IF(A385="","",AC385/60*SUMIF(DM_NHAN_SU!$A$6:$A$105,L385,DM_NHAN_SU!$E$6:$E$105))</x:f>
      </x:c>
      <x:c r="AF385" s="33" t="str">
        <x:f>IF(A385="","",AC385/60*SUMIF(DM_MAY!$A$6:$A$105,M385,DM_MAY!$F$6:$F$105))</x:f>
      </x:c>
      <x:c r="AG385" s="33" t="str">
        <x:f>IF(A385="","",AE385+AF385)</x:f>
      </x:c>
      <x:c r="AH385" s="21"/>
      <x:c r="AI385" s="29" t="str">
        <x:f>IF(A385="","",IF(OR(B385="",D385="",E385="",I385="",L385="",N385="",O385="",P385=""),"Thiếu dữ liệu",IF(AND(OR(N385="PRODUCTION",N385="REWORK",N385="SETUP"),M385=""),"Thiếu máy",IF(P385&lt;O385,"Sai thời gian",IF(AA385&lt;&gt;0,"Sai cân đối SL","Hợp lệ")))))</x:f>
      </x:c>
      <x:c r="AJ385" s="21"/>
    </x:row>
    <x:row r="386">
      <x:c r="A386" s="21"/>
      <x:c r="B386" s="35"/>
      <x:c r="C386" s="21"/>
      <x:c r="D386" s="21"/>
      <x:c r="E386" s="21"/>
      <x:c r="F386" s="21"/>
      <x:c r="G386" s="21"/>
      <x:c r="H386" s="29" t="str">
        <x:f>IF(OR(D386="",E386=""),"",D386&amp;"|"&amp;E386&amp;"|"&amp;IF(F386="","00",F386)&amp;"|"&amp;IF(G386="","01",G386))</x:f>
      </x:c>
      <x:c r="I386" s="21"/>
      <x:c r="J386" s="29" t="str">
        <x:f>IF(K386="","",IFERROR(INDEX('04_KE_HOACH_CD'!$I$6:$I$305,MATCH(K386,'04_KE_HOACH_CD'!$G$6:$G$305,0)),""))</x:f>
      </x:c>
      <x:c r="K386" s="29" t="str">
        <x:f>IF(OR(H386="",I386=""),"",H386&amp;"|"&amp;TEXT(I386,"000"))</x:f>
      </x:c>
      <x:c r="L386" s="21"/>
      <x:c r="M386" s="21"/>
      <x:c r="N386" s="21"/>
      <x:c r="O386" s="43"/>
      <x:c r="P386" s="43"/>
      <x:c r="Q386" s="25"/>
      <x:c r="R386" s="25"/>
      <x:c r="S386" s="39" t="str">
        <x:f>IF(A386="","",SUMIF('07_DUNG_CHO'!$B$6:$B$505,A386,'07_DUNG_CHO'!$E$6:$E$505))</x:f>
      </x:c>
      <x:c r="T386" s="39" t="str">
        <x:f>IF(A386="","",IF(N386="SETUP",0,MAX(0,(P386-O386)*1440-Q386-S386)))</x:f>
      </x:c>
      <x:c r="U386" s="25"/>
      <x:c r="V386" s="25"/>
      <x:c r="W386" s="25"/>
      <x:c r="X386" s="25"/>
      <x:c r="Y386" s="25"/>
      <x:c r="Z386" s="25"/>
      <x:c r="AA386" s="39" t="str">
        <x:f>IF(A386="","",U386-SUM(V386,X386:Z386))</x:f>
      </x:c>
      <x:c r="AB386" s="39" t="str">
        <x:f>IF(A386="","",IF(N386="SETUP",IFERROR(INDEX('04_KE_HOACH_CD'!$K$6:$K$305,MATCH(K386,'04_KE_HOACH_CD'!$G$6:$G$305,0)),0),IF(OR(N386="PRODUCTION",N386="REWORK"),IFERROR(INDEX('04_KE_HOACH_CD'!$L$6:$L$305,MATCH(K386,'04_KE_HOACH_CD'!$G$6:$G$305,0))*V386,0),0)))</x:f>
      </x:c>
      <x:c r="AC386" s="39" t="str">
        <x:f>IF(A386="","",MAX(0,(P386-O386)*1440-Q386))</x:f>
      </x:c>
      <x:c r="AD386" s="37" t="str">
        <x:f>IF(A386="","",IFERROR(AB386/AC386,0))</x:f>
      </x:c>
      <x:c r="AE386" s="33" t="str">
        <x:f>IF(A386="","",AC386/60*SUMIF(DM_NHAN_SU!$A$6:$A$105,L386,DM_NHAN_SU!$E$6:$E$105))</x:f>
      </x:c>
      <x:c r="AF386" s="33" t="str">
        <x:f>IF(A386="","",AC386/60*SUMIF(DM_MAY!$A$6:$A$105,M386,DM_MAY!$F$6:$F$105))</x:f>
      </x:c>
      <x:c r="AG386" s="33" t="str">
        <x:f>IF(A386="","",AE386+AF386)</x:f>
      </x:c>
      <x:c r="AH386" s="21"/>
      <x:c r="AI386" s="29" t="str">
        <x:f>IF(A386="","",IF(OR(B386="",D386="",E386="",I386="",L386="",N386="",O386="",P386=""),"Thiếu dữ liệu",IF(AND(OR(N386="PRODUCTION",N386="REWORK",N386="SETUP"),M386=""),"Thiếu máy",IF(P386&lt;O386,"Sai thời gian",IF(AA386&lt;&gt;0,"Sai cân đối SL","Hợp lệ")))))</x:f>
      </x:c>
      <x:c r="AJ386" s="21"/>
    </x:row>
    <x:row r="387">
      <x:c r="A387" s="21"/>
      <x:c r="B387" s="35"/>
      <x:c r="C387" s="21"/>
      <x:c r="D387" s="21"/>
      <x:c r="E387" s="21"/>
      <x:c r="F387" s="21"/>
      <x:c r="G387" s="21"/>
      <x:c r="H387" s="29" t="str">
        <x:f>IF(OR(D387="",E387=""),"",D387&amp;"|"&amp;E387&amp;"|"&amp;IF(F387="","00",F387)&amp;"|"&amp;IF(G387="","01",G387))</x:f>
      </x:c>
      <x:c r="I387" s="21"/>
      <x:c r="J387" s="29" t="str">
        <x:f>IF(K387="","",IFERROR(INDEX('04_KE_HOACH_CD'!$I$6:$I$305,MATCH(K387,'04_KE_HOACH_CD'!$G$6:$G$305,0)),""))</x:f>
      </x:c>
      <x:c r="K387" s="29" t="str">
        <x:f>IF(OR(H387="",I387=""),"",H387&amp;"|"&amp;TEXT(I387,"000"))</x:f>
      </x:c>
      <x:c r="L387" s="21"/>
      <x:c r="M387" s="21"/>
      <x:c r="N387" s="21"/>
      <x:c r="O387" s="43"/>
      <x:c r="P387" s="43"/>
      <x:c r="Q387" s="25"/>
      <x:c r="R387" s="25"/>
      <x:c r="S387" s="39" t="str">
        <x:f>IF(A387="","",SUMIF('07_DUNG_CHO'!$B$6:$B$505,A387,'07_DUNG_CHO'!$E$6:$E$505))</x:f>
      </x:c>
      <x:c r="T387" s="39" t="str">
        <x:f>IF(A387="","",IF(N387="SETUP",0,MAX(0,(P387-O387)*1440-Q387-S387)))</x:f>
      </x:c>
      <x:c r="U387" s="25"/>
      <x:c r="V387" s="25"/>
      <x:c r="W387" s="25"/>
      <x:c r="X387" s="25"/>
      <x:c r="Y387" s="25"/>
      <x:c r="Z387" s="25"/>
      <x:c r="AA387" s="39" t="str">
        <x:f>IF(A387="","",U387-SUM(V387,X387:Z387))</x:f>
      </x:c>
      <x:c r="AB387" s="39" t="str">
        <x:f>IF(A387="","",IF(N387="SETUP",IFERROR(INDEX('04_KE_HOACH_CD'!$K$6:$K$305,MATCH(K387,'04_KE_HOACH_CD'!$G$6:$G$305,0)),0),IF(OR(N387="PRODUCTION",N387="REWORK"),IFERROR(INDEX('04_KE_HOACH_CD'!$L$6:$L$305,MATCH(K387,'04_KE_HOACH_CD'!$G$6:$G$305,0))*V387,0),0)))</x:f>
      </x:c>
      <x:c r="AC387" s="39" t="str">
        <x:f>IF(A387="","",MAX(0,(P387-O387)*1440-Q387))</x:f>
      </x:c>
      <x:c r="AD387" s="37" t="str">
        <x:f>IF(A387="","",IFERROR(AB387/AC387,0))</x:f>
      </x:c>
      <x:c r="AE387" s="33" t="str">
        <x:f>IF(A387="","",AC387/60*SUMIF(DM_NHAN_SU!$A$6:$A$105,L387,DM_NHAN_SU!$E$6:$E$105))</x:f>
      </x:c>
      <x:c r="AF387" s="33" t="str">
        <x:f>IF(A387="","",AC387/60*SUMIF(DM_MAY!$A$6:$A$105,M387,DM_MAY!$F$6:$F$105))</x:f>
      </x:c>
      <x:c r="AG387" s="33" t="str">
        <x:f>IF(A387="","",AE387+AF387)</x:f>
      </x:c>
      <x:c r="AH387" s="21"/>
      <x:c r="AI387" s="29" t="str">
        <x:f>IF(A387="","",IF(OR(B387="",D387="",E387="",I387="",L387="",N387="",O387="",P387=""),"Thiếu dữ liệu",IF(AND(OR(N387="PRODUCTION",N387="REWORK",N387="SETUP"),M387=""),"Thiếu máy",IF(P387&lt;O387,"Sai thời gian",IF(AA387&lt;&gt;0,"Sai cân đối SL","Hợp lệ")))))</x:f>
      </x:c>
      <x:c r="AJ387" s="21"/>
    </x:row>
    <x:row r="388">
      <x:c r="A388" s="21"/>
      <x:c r="B388" s="35"/>
      <x:c r="C388" s="21"/>
      <x:c r="D388" s="21"/>
      <x:c r="E388" s="21"/>
      <x:c r="F388" s="21"/>
      <x:c r="G388" s="21"/>
      <x:c r="H388" s="29" t="str">
        <x:f>IF(OR(D388="",E388=""),"",D388&amp;"|"&amp;E388&amp;"|"&amp;IF(F388="","00",F388)&amp;"|"&amp;IF(G388="","01",G388))</x:f>
      </x:c>
      <x:c r="I388" s="21"/>
      <x:c r="J388" s="29" t="str">
        <x:f>IF(K388="","",IFERROR(INDEX('04_KE_HOACH_CD'!$I$6:$I$305,MATCH(K388,'04_KE_HOACH_CD'!$G$6:$G$305,0)),""))</x:f>
      </x:c>
      <x:c r="K388" s="29" t="str">
        <x:f>IF(OR(H388="",I388=""),"",H388&amp;"|"&amp;TEXT(I388,"000"))</x:f>
      </x:c>
      <x:c r="L388" s="21"/>
      <x:c r="M388" s="21"/>
      <x:c r="N388" s="21"/>
      <x:c r="O388" s="43"/>
      <x:c r="P388" s="43"/>
      <x:c r="Q388" s="25"/>
      <x:c r="R388" s="25"/>
      <x:c r="S388" s="39" t="str">
        <x:f>IF(A388="","",SUMIF('07_DUNG_CHO'!$B$6:$B$505,A388,'07_DUNG_CHO'!$E$6:$E$505))</x:f>
      </x:c>
      <x:c r="T388" s="39" t="str">
        <x:f>IF(A388="","",IF(N388="SETUP",0,MAX(0,(P388-O388)*1440-Q388-S388)))</x:f>
      </x:c>
      <x:c r="U388" s="25"/>
      <x:c r="V388" s="25"/>
      <x:c r="W388" s="25"/>
      <x:c r="X388" s="25"/>
      <x:c r="Y388" s="25"/>
      <x:c r="Z388" s="25"/>
      <x:c r="AA388" s="39" t="str">
        <x:f>IF(A388="","",U388-SUM(V388,X388:Z388))</x:f>
      </x:c>
      <x:c r="AB388" s="39" t="str">
        <x:f>IF(A388="","",IF(N388="SETUP",IFERROR(INDEX('04_KE_HOACH_CD'!$K$6:$K$305,MATCH(K388,'04_KE_HOACH_CD'!$G$6:$G$305,0)),0),IF(OR(N388="PRODUCTION",N388="REWORK"),IFERROR(INDEX('04_KE_HOACH_CD'!$L$6:$L$305,MATCH(K388,'04_KE_HOACH_CD'!$G$6:$G$305,0))*V388,0),0)))</x:f>
      </x:c>
      <x:c r="AC388" s="39" t="str">
        <x:f>IF(A388="","",MAX(0,(P388-O388)*1440-Q388))</x:f>
      </x:c>
      <x:c r="AD388" s="37" t="str">
        <x:f>IF(A388="","",IFERROR(AB388/AC388,0))</x:f>
      </x:c>
      <x:c r="AE388" s="33" t="str">
        <x:f>IF(A388="","",AC388/60*SUMIF(DM_NHAN_SU!$A$6:$A$105,L388,DM_NHAN_SU!$E$6:$E$105))</x:f>
      </x:c>
      <x:c r="AF388" s="33" t="str">
        <x:f>IF(A388="","",AC388/60*SUMIF(DM_MAY!$A$6:$A$105,M388,DM_MAY!$F$6:$F$105))</x:f>
      </x:c>
      <x:c r="AG388" s="33" t="str">
        <x:f>IF(A388="","",AE388+AF388)</x:f>
      </x:c>
      <x:c r="AH388" s="21"/>
      <x:c r="AI388" s="29" t="str">
        <x:f>IF(A388="","",IF(OR(B388="",D388="",E388="",I388="",L388="",N388="",O388="",P388=""),"Thiếu dữ liệu",IF(AND(OR(N388="PRODUCTION",N388="REWORK",N388="SETUP"),M388=""),"Thiếu máy",IF(P388&lt;O388,"Sai thời gian",IF(AA388&lt;&gt;0,"Sai cân đối SL","Hợp lệ")))))</x:f>
      </x:c>
      <x:c r="AJ388" s="21"/>
    </x:row>
    <x:row r="389">
      <x:c r="A389" s="21"/>
      <x:c r="B389" s="35"/>
      <x:c r="C389" s="21"/>
      <x:c r="D389" s="21"/>
      <x:c r="E389" s="21"/>
      <x:c r="F389" s="21"/>
      <x:c r="G389" s="21"/>
      <x:c r="H389" s="29" t="str">
        <x:f>IF(OR(D389="",E389=""),"",D389&amp;"|"&amp;E389&amp;"|"&amp;IF(F389="","00",F389)&amp;"|"&amp;IF(G389="","01",G389))</x:f>
      </x:c>
      <x:c r="I389" s="21"/>
      <x:c r="J389" s="29" t="str">
        <x:f>IF(K389="","",IFERROR(INDEX('04_KE_HOACH_CD'!$I$6:$I$305,MATCH(K389,'04_KE_HOACH_CD'!$G$6:$G$305,0)),""))</x:f>
      </x:c>
      <x:c r="K389" s="29" t="str">
        <x:f>IF(OR(H389="",I389=""),"",H389&amp;"|"&amp;TEXT(I389,"000"))</x:f>
      </x:c>
      <x:c r="L389" s="21"/>
      <x:c r="M389" s="21"/>
      <x:c r="N389" s="21"/>
      <x:c r="O389" s="43"/>
      <x:c r="P389" s="43"/>
      <x:c r="Q389" s="25"/>
      <x:c r="R389" s="25"/>
      <x:c r="S389" s="39" t="str">
        <x:f>IF(A389="","",SUMIF('07_DUNG_CHO'!$B$6:$B$505,A389,'07_DUNG_CHO'!$E$6:$E$505))</x:f>
      </x:c>
      <x:c r="T389" s="39" t="str">
        <x:f>IF(A389="","",IF(N389="SETUP",0,MAX(0,(P389-O389)*1440-Q389-S389)))</x:f>
      </x:c>
      <x:c r="U389" s="25"/>
      <x:c r="V389" s="25"/>
      <x:c r="W389" s="25"/>
      <x:c r="X389" s="25"/>
      <x:c r="Y389" s="25"/>
      <x:c r="Z389" s="25"/>
      <x:c r="AA389" s="39" t="str">
        <x:f>IF(A389="","",U389-SUM(V389,X389:Z389))</x:f>
      </x:c>
      <x:c r="AB389" s="39" t="str">
        <x:f>IF(A389="","",IF(N389="SETUP",IFERROR(INDEX('04_KE_HOACH_CD'!$K$6:$K$305,MATCH(K389,'04_KE_HOACH_CD'!$G$6:$G$305,0)),0),IF(OR(N389="PRODUCTION",N389="REWORK"),IFERROR(INDEX('04_KE_HOACH_CD'!$L$6:$L$305,MATCH(K389,'04_KE_HOACH_CD'!$G$6:$G$305,0))*V389,0),0)))</x:f>
      </x:c>
      <x:c r="AC389" s="39" t="str">
        <x:f>IF(A389="","",MAX(0,(P389-O389)*1440-Q389))</x:f>
      </x:c>
      <x:c r="AD389" s="37" t="str">
        <x:f>IF(A389="","",IFERROR(AB389/AC389,0))</x:f>
      </x:c>
      <x:c r="AE389" s="33" t="str">
        <x:f>IF(A389="","",AC389/60*SUMIF(DM_NHAN_SU!$A$6:$A$105,L389,DM_NHAN_SU!$E$6:$E$105))</x:f>
      </x:c>
      <x:c r="AF389" s="33" t="str">
        <x:f>IF(A389="","",AC389/60*SUMIF(DM_MAY!$A$6:$A$105,M389,DM_MAY!$F$6:$F$105))</x:f>
      </x:c>
      <x:c r="AG389" s="33" t="str">
        <x:f>IF(A389="","",AE389+AF389)</x:f>
      </x:c>
      <x:c r="AH389" s="21"/>
      <x:c r="AI389" s="29" t="str">
        <x:f>IF(A389="","",IF(OR(B389="",D389="",E389="",I389="",L389="",N389="",O389="",P389=""),"Thiếu dữ liệu",IF(AND(OR(N389="PRODUCTION",N389="REWORK",N389="SETUP"),M389=""),"Thiếu máy",IF(P389&lt;O389,"Sai thời gian",IF(AA389&lt;&gt;0,"Sai cân đối SL","Hợp lệ")))))</x:f>
      </x:c>
      <x:c r="AJ389" s="21"/>
    </x:row>
    <x:row r="390">
      <x:c r="A390" s="21"/>
      <x:c r="B390" s="35"/>
      <x:c r="C390" s="21"/>
      <x:c r="D390" s="21"/>
      <x:c r="E390" s="21"/>
      <x:c r="F390" s="21"/>
      <x:c r="G390" s="21"/>
      <x:c r="H390" s="29" t="str">
        <x:f>IF(OR(D390="",E390=""),"",D390&amp;"|"&amp;E390&amp;"|"&amp;IF(F390="","00",F390)&amp;"|"&amp;IF(G390="","01",G390))</x:f>
      </x:c>
      <x:c r="I390" s="21"/>
      <x:c r="J390" s="29" t="str">
        <x:f>IF(K390="","",IFERROR(INDEX('04_KE_HOACH_CD'!$I$6:$I$305,MATCH(K390,'04_KE_HOACH_CD'!$G$6:$G$305,0)),""))</x:f>
      </x:c>
      <x:c r="K390" s="29" t="str">
        <x:f>IF(OR(H390="",I390=""),"",H390&amp;"|"&amp;TEXT(I390,"000"))</x:f>
      </x:c>
      <x:c r="L390" s="21"/>
      <x:c r="M390" s="21"/>
      <x:c r="N390" s="21"/>
      <x:c r="O390" s="43"/>
      <x:c r="P390" s="43"/>
      <x:c r="Q390" s="25"/>
      <x:c r="R390" s="25"/>
      <x:c r="S390" s="39" t="str">
        <x:f>IF(A390="","",SUMIF('07_DUNG_CHO'!$B$6:$B$505,A390,'07_DUNG_CHO'!$E$6:$E$505))</x:f>
      </x:c>
      <x:c r="T390" s="39" t="str">
        <x:f>IF(A390="","",IF(N390="SETUP",0,MAX(0,(P390-O390)*1440-Q390-S390)))</x:f>
      </x:c>
      <x:c r="U390" s="25"/>
      <x:c r="V390" s="25"/>
      <x:c r="W390" s="25"/>
      <x:c r="X390" s="25"/>
      <x:c r="Y390" s="25"/>
      <x:c r="Z390" s="25"/>
      <x:c r="AA390" s="39" t="str">
        <x:f>IF(A390="","",U390-SUM(V390,X390:Z390))</x:f>
      </x:c>
      <x:c r="AB390" s="39" t="str">
        <x:f>IF(A390="","",IF(N390="SETUP",IFERROR(INDEX('04_KE_HOACH_CD'!$K$6:$K$305,MATCH(K390,'04_KE_HOACH_CD'!$G$6:$G$305,0)),0),IF(OR(N390="PRODUCTION",N390="REWORK"),IFERROR(INDEX('04_KE_HOACH_CD'!$L$6:$L$305,MATCH(K390,'04_KE_HOACH_CD'!$G$6:$G$305,0))*V390,0),0)))</x:f>
      </x:c>
      <x:c r="AC390" s="39" t="str">
        <x:f>IF(A390="","",MAX(0,(P390-O390)*1440-Q390))</x:f>
      </x:c>
      <x:c r="AD390" s="37" t="str">
        <x:f>IF(A390="","",IFERROR(AB390/AC390,0))</x:f>
      </x:c>
      <x:c r="AE390" s="33" t="str">
        <x:f>IF(A390="","",AC390/60*SUMIF(DM_NHAN_SU!$A$6:$A$105,L390,DM_NHAN_SU!$E$6:$E$105))</x:f>
      </x:c>
      <x:c r="AF390" s="33" t="str">
        <x:f>IF(A390="","",AC390/60*SUMIF(DM_MAY!$A$6:$A$105,M390,DM_MAY!$F$6:$F$105))</x:f>
      </x:c>
      <x:c r="AG390" s="33" t="str">
        <x:f>IF(A390="","",AE390+AF390)</x:f>
      </x:c>
      <x:c r="AH390" s="21"/>
      <x:c r="AI390" s="29" t="str">
        <x:f>IF(A390="","",IF(OR(B390="",D390="",E390="",I390="",L390="",N390="",O390="",P390=""),"Thiếu dữ liệu",IF(AND(OR(N390="PRODUCTION",N390="REWORK",N390="SETUP"),M390=""),"Thiếu máy",IF(P390&lt;O390,"Sai thời gian",IF(AA390&lt;&gt;0,"Sai cân đối SL","Hợp lệ")))))</x:f>
      </x:c>
      <x:c r="AJ390" s="21"/>
    </x:row>
    <x:row r="391">
      <x:c r="A391" s="21"/>
      <x:c r="B391" s="35"/>
      <x:c r="C391" s="21"/>
      <x:c r="D391" s="21"/>
      <x:c r="E391" s="21"/>
      <x:c r="F391" s="21"/>
      <x:c r="G391" s="21"/>
      <x:c r="H391" s="29" t="str">
        <x:f>IF(OR(D391="",E391=""),"",D391&amp;"|"&amp;E391&amp;"|"&amp;IF(F391="","00",F391)&amp;"|"&amp;IF(G391="","01",G391))</x:f>
      </x:c>
      <x:c r="I391" s="21"/>
      <x:c r="J391" s="29" t="str">
        <x:f>IF(K391="","",IFERROR(INDEX('04_KE_HOACH_CD'!$I$6:$I$305,MATCH(K391,'04_KE_HOACH_CD'!$G$6:$G$305,0)),""))</x:f>
      </x:c>
      <x:c r="K391" s="29" t="str">
        <x:f>IF(OR(H391="",I391=""),"",H391&amp;"|"&amp;TEXT(I391,"000"))</x:f>
      </x:c>
      <x:c r="L391" s="21"/>
      <x:c r="M391" s="21"/>
      <x:c r="N391" s="21"/>
      <x:c r="O391" s="43"/>
      <x:c r="P391" s="43"/>
      <x:c r="Q391" s="25"/>
      <x:c r="R391" s="25"/>
      <x:c r="S391" s="39" t="str">
        <x:f>IF(A391="","",SUMIF('07_DUNG_CHO'!$B$6:$B$505,A391,'07_DUNG_CHO'!$E$6:$E$505))</x:f>
      </x:c>
      <x:c r="T391" s="39" t="str">
        <x:f>IF(A391="","",IF(N391="SETUP",0,MAX(0,(P391-O391)*1440-Q391-S391)))</x:f>
      </x:c>
      <x:c r="U391" s="25"/>
      <x:c r="V391" s="25"/>
      <x:c r="W391" s="25"/>
      <x:c r="X391" s="25"/>
      <x:c r="Y391" s="25"/>
      <x:c r="Z391" s="25"/>
      <x:c r="AA391" s="39" t="str">
        <x:f>IF(A391="","",U391-SUM(V391,X391:Z391))</x:f>
      </x:c>
      <x:c r="AB391" s="39" t="str">
        <x:f>IF(A391="","",IF(N391="SETUP",IFERROR(INDEX('04_KE_HOACH_CD'!$K$6:$K$305,MATCH(K391,'04_KE_HOACH_CD'!$G$6:$G$305,0)),0),IF(OR(N391="PRODUCTION",N391="REWORK"),IFERROR(INDEX('04_KE_HOACH_CD'!$L$6:$L$305,MATCH(K391,'04_KE_HOACH_CD'!$G$6:$G$305,0))*V391,0),0)))</x:f>
      </x:c>
      <x:c r="AC391" s="39" t="str">
        <x:f>IF(A391="","",MAX(0,(P391-O391)*1440-Q391))</x:f>
      </x:c>
      <x:c r="AD391" s="37" t="str">
        <x:f>IF(A391="","",IFERROR(AB391/AC391,0))</x:f>
      </x:c>
      <x:c r="AE391" s="33" t="str">
        <x:f>IF(A391="","",AC391/60*SUMIF(DM_NHAN_SU!$A$6:$A$105,L391,DM_NHAN_SU!$E$6:$E$105))</x:f>
      </x:c>
      <x:c r="AF391" s="33" t="str">
        <x:f>IF(A391="","",AC391/60*SUMIF(DM_MAY!$A$6:$A$105,M391,DM_MAY!$F$6:$F$105))</x:f>
      </x:c>
      <x:c r="AG391" s="33" t="str">
        <x:f>IF(A391="","",AE391+AF391)</x:f>
      </x:c>
      <x:c r="AH391" s="21"/>
      <x:c r="AI391" s="29" t="str">
        <x:f>IF(A391="","",IF(OR(B391="",D391="",E391="",I391="",L391="",N391="",O391="",P391=""),"Thiếu dữ liệu",IF(AND(OR(N391="PRODUCTION",N391="REWORK",N391="SETUP"),M391=""),"Thiếu máy",IF(P391&lt;O391,"Sai thời gian",IF(AA391&lt;&gt;0,"Sai cân đối SL","Hợp lệ")))))</x:f>
      </x:c>
      <x:c r="AJ391" s="21"/>
    </x:row>
    <x:row r="392">
      <x:c r="A392" s="21"/>
      <x:c r="B392" s="35"/>
      <x:c r="C392" s="21"/>
      <x:c r="D392" s="21"/>
      <x:c r="E392" s="21"/>
      <x:c r="F392" s="21"/>
      <x:c r="G392" s="21"/>
      <x:c r="H392" s="29" t="str">
        <x:f>IF(OR(D392="",E392=""),"",D392&amp;"|"&amp;E392&amp;"|"&amp;IF(F392="","00",F392)&amp;"|"&amp;IF(G392="","01",G392))</x:f>
      </x:c>
      <x:c r="I392" s="21"/>
      <x:c r="J392" s="29" t="str">
        <x:f>IF(K392="","",IFERROR(INDEX('04_KE_HOACH_CD'!$I$6:$I$305,MATCH(K392,'04_KE_HOACH_CD'!$G$6:$G$305,0)),""))</x:f>
      </x:c>
      <x:c r="K392" s="29" t="str">
        <x:f>IF(OR(H392="",I392=""),"",H392&amp;"|"&amp;TEXT(I392,"000"))</x:f>
      </x:c>
      <x:c r="L392" s="21"/>
      <x:c r="M392" s="21"/>
      <x:c r="N392" s="21"/>
      <x:c r="O392" s="43"/>
      <x:c r="P392" s="43"/>
      <x:c r="Q392" s="25"/>
      <x:c r="R392" s="25"/>
      <x:c r="S392" s="39" t="str">
        <x:f>IF(A392="","",SUMIF('07_DUNG_CHO'!$B$6:$B$505,A392,'07_DUNG_CHO'!$E$6:$E$505))</x:f>
      </x:c>
      <x:c r="T392" s="39" t="str">
        <x:f>IF(A392="","",IF(N392="SETUP",0,MAX(0,(P392-O392)*1440-Q392-S392)))</x:f>
      </x:c>
      <x:c r="U392" s="25"/>
      <x:c r="V392" s="25"/>
      <x:c r="W392" s="25"/>
      <x:c r="X392" s="25"/>
      <x:c r="Y392" s="25"/>
      <x:c r="Z392" s="25"/>
      <x:c r="AA392" s="39" t="str">
        <x:f>IF(A392="","",U392-SUM(V392,X392:Z392))</x:f>
      </x:c>
      <x:c r="AB392" s="39" t="str">
        <x:f>IF(A392="","",IF(N392="SETUP",IFERROR(INDEX('04_KE_HOACH_CD'!$K$6:$K$305,MATCH(K392,'04_KE_HOACH_CD'!$G$6:$G$305,0)),0),IF(OR(N392="PRODUCTION",N392="REWORK"),IFERROR(INDEX('04_KE_HOACH_CD'!$L$6:$L$305,MATCH(K392,'04_KE_HOACH_CD'!$G$6:$G$305,0))*V392,0),0)))</x:f>
      </x:c>
      <x:c r="AC392" s="39" t="str">
        <x:f>IF(A392="","",MAX(0,(P392-O392)*1440-Q392))</x:f>
      </x:c>
      <x:c r="AD392" s="37" t="str">
        <x:f>IF(A392="","",IFERROR(AB392/AC392,0))</x:f>
      </x:c>
      <x:c r="AE392" s="33" t="str">
        <x:f>IF(A392="","",AC392/60*SUMIF(DM_NHAN_SU!$A$6:$A$105,L392,DM_NHAN_SU!$E$6:$E$105))</x:f>
      </x:c>
      <x:c r="AF392" s="33" t="str">
        <x:f>IF(A392="","",AC392/60*SUMIF(DM_MAY!$A$6:$A$105,M392,DM_MAY!$F$6:$F$105))</x:f>
      </x:c>
      <x:c r="AG392" s="33" t="str">
        <x:f>IF(A392="","",AE392+AF392)</x:f>
      </x:c>
      <x:c r="AH392" s="21"/>
      <x:c r="AI392" s="29" t="str">
        <x:f>IF(A392="","",IF(OR(B392="",D392="",E392="",I392="",L392="",N392="",O392="",P392=""),"Thiếu dữ liệu",IF(AND(OR(N392="PRODUCTION",N392="REWORK",N392="SETUP"),M392=""),"Thiếu máy",IF(P392&lt;O392,"Sai thời gian",IF(AA392&lt;&gt;0,"Sai cân đối SL","Hợp lệ")))))</x:f>
      </x:c>
      <x:c r="AJ392" s="21"/>
    </x:row>
    <x:row r="393">
      <x:c r="A393" s="21"/>
      <x:c r="B393" s="35"/>
      <x:c r="C393" s="21"/>
      <x:c r="D393" s="21"/>
      <x:c r="E393" s="21"/>
      <x:c r="F393" s="21"/>
      <x:c r="G393" s="21"/>
      <x:c r="H393" s="29" t="str">
        <x:f>IF(OR(D393="",E393=""),"",D393&amp;"|"&amp;E393&amp;"|"&amp;IF(F393="","00",F393)&amp;"|"&amp;IF(G393="","01",G393))</x:f>
      </x:c>
      <x:c r="I393" s="21"/>
      <x:c r="J393" s="29" t="str">
        <x:f>IF(K393="","",IFERROR(INDEX('04_KE_HOACH_CD'!$I$6:$I$305,MATCH(K393,'04_KE_HOACH_CD'!$G$6:$G$305,0)),""))</x:f>
      </x:c>
      <x:c r="K393" s="29" t="str">
        <x:f>IF(OR(H393="",I393=""),"",H393&amp;"|"&amp;TEXT(I393,"000"))</x:f>
      </x:c>
      <x:c r="L393" s="21"/>
      <x:c r="M393" s="21"/>
      <x:c r="N393" s="21"/>
      <x:c r="O393" s="43"/>
      <x:c r="P393" s="43"/>
      <x:c r="Q393" s="25"/>
      <x:c r="R393" s="25"/>
      <x:c r="S393" s="39" t="str">
        <x:f>IF(A393="","",SUMIF('07_DUNG_CHO'!$B$6:$B$505,A393,'07_DUNG_CHO'!$E$6:$E$505))</x:f>
      </x:c>
      <x:c r="T393" s="39" t="str">
        <x:f>IF(A393="","",IF(N393="SETUP",0,MAX(0,(P393-O393)*1440-Q393-S393)))</x:f>
      </x:c>
      <x:c r="U393" s="25"/>
      <x:c r="V393" s="25"/>
      <x:c r="W393" s="25"/>
      <x:c r="X393" s="25"/>
      <x:c r="Y393" s="25"/>
      <x:c r="Z393" s="25"/>
      <x:c r="AA393" s="39" t="str">
        <x:f>IF(A393="","",U393-SUM(V393,X393:Z393))</x:f>
      </x:c>
      <x:c r="AB393" s="39" t="str">
        <x:f>IF(A393="","",IF(N393="SETUP",IFERROR(INDEX('04_KE_HOACH_CD'!$K$6:$K$305,MATCH(K393,'04_KE_HOACH_CD'!$G$6:$G$305,0)),0),IF(OR(N393="PRODUCTION",N393="REWORK"),IFERROR(INDEX('04_KE_HOACH_CD'!$L$6:$L$305,MATCH(K393,'04_KE_HOACH_CD'!$G$6:$G$305,0))*V393,0),0)))</x:f>
      </x:c>
      <x:c r="AC393" s="39" t="str">
        <x:f>IF(A393="","",MAX(0,(P393-O393)*1440-Q393))</x:f>
      </x:c>
      <x:c r="AD393" s="37" t="str">
        <x:f>IF(A393="","",IFERROR(AB393/AC393,0))</x:f>
      </x:c>
      <x:c r="AE393" s="33" t="str">
        <x:f>IF(A393="","",AC393/60*SUMIF(DM_NHAN_SU!$A$6:$A$105,L393,DM_NHAN_SU!$E$6:$E$105))</x:f>
      </x:c>
      <x:c r="AF393" s="33" t="str">
        <x:f>IF(A393="","",AC393/60*SUMIF(DM_MAY!$A$6:$A$105,M393,DM_MAY!$F$6:$F$105))</x:f>
      </x:c>
      <x:c r="AG393" s="33" t="str">
        <x:f>IF(A393="","",AE393+AF393)</x:f>
      </x:c>
      <x:c r="AH393" s="21"/>
      <x:c r="AI393" s="29" t="str">
        <x:f>IF(A393="","",IF(OR(B393="",D393="",E393="",I393="",L393="",N393="",O393="",P393=""),"Thiếu dữ liệu",IF(AND(OR(N393="PRODUCTION",N393="REWORK",N393="SETUP"),M393=""),"Thiếu máy",IF(P393&lt;O393,"Sai thời gian",IF(AA393&lt;&gt;0,"Sai cân đối SL","Hợp lệ")))))</x:f>
      </x:c>
      <x:c r="AJ393" s="21"/>
    </x:row>
    <x:row r="394">
      <x:c r="A394" s="21"/>
      <x:c r="B394" s="35"/>
      <x:c r="C394" s="21"/>
      <x:c r="D394" s="21"/>
      <x:c r="E394" s="21"/>
      <x:c r="F394" s="21"/>
      <x:c r="G394" s="21"/>
      <x:c r="H394" s="29" t="str">
        <x:f>IF(OR(D394="",E394=""),"",D394&amp;"|"&amp;E394&amp;"|"&amp;IF(F394="","00",F394)&amp;"|"&amp;IF(G394="","01",G394))</x:f>
      </x:c>
      <x:c r="I394" s="21"/>
      <x:c r="J394" s="29" t="str">
        <x:f>IF(K394="","",IFERROR(INDEX('04_KE_HOACH_CD'!$I$6:$I$305,MATCH(K394,'04_KE_HOACH_CD'!$G$6:$G$305,0)),""))</x:f>
      </x:c>
      <x:c r="K394" s="29" t="str">
        <x:f>IF(OR(H394="",I394=""),"",H394&amp;"|"&amp;TEXT(I394,"000"))</x:f>
      </x:c>
      <x:c r="L394" s="21"/>
      <x:c r="M394" s="21"/>
      <x:c r="N394" s="21"/>
      <x:c r="O394" s="43"/>
      <x:c r="P394" s="43"/>
      <x:c r="Q394" s="25"/>
      <x:c r="R394" s="25"/>
      <x:c r="S394" s="39" t="str">
        <x:f>IF(A394="","",SUMIF('07_DUNG_CHO'!$B$6:$B$505,A394,'07_DUNG_CHO'!$E$6:$E$505))</x:f>
      </x:c>
      <x:c r="T394" s="39" t="str">
        <x:f>IF(A394="","",IF(N394="SETUP",0,MAX(0,(P394-O394)*1440-Q394-S394)))</x:f>
      </x:c>
      <x:c r="U394" s="25"/>
      <x:c r="V394" s="25"/>
      <x:c r="W394" s="25"/>
      <x:c r="X394" s="25"/>
      <x:c r="Y394" s="25"/>
      <x:c r="Z394" s="25"/>
      <x:c r="AA394" s="39" t="str">
        <x:f>IF(A394="","",U394-SUM(V394,X394:Z394))</x:f>
      </x:c>
      <x:c r="AB394" s="39" t="str">
        <x:f>IF(A394="","",IF(N394="SETUP",IFERROR(INDEX('04_KE_HOACH_CD'!$K$6:$K$305,MATCH(K394,'04_KE_HOACH_CD'!$G$6:$G$305,0)),0),IF(OR(N394="PRODUCTION",N394="REWORK"),IFERROR(INDEX('04_KE_HOACH_CD'!$L$6:$L$305,MATCH(K394,'04_KE_HOACH_CD'!$G$6:$G$305,0))*V394,0),0)))</x:f>
      </x:c>
      <x:c r="AC394" s="39" t="str">
        <x:f>IF(A394="","",MAX(0,(P394-O394)*1440-Q394))</x:f>
      </x:c>
      <x:c r="AD394" s="37" t="str">
        <x:f>IF(A394="","",IFERROR(AB394/AC394,0))</x:f>
      </x:c>
      <x:c r="AE394" s="33" t="str">
        <x:f>IF(A394="","",AC394/60*SUMIF(DM_NHAN_SU!$A$6:$A$105,L394,DM_NHAN_SU!$E$6:$E$105))</x:f>
      </x:c>
      <x:c r="AF394" s="33" t="str">
        <x:f>IF(A394="","",AC394/60*SUMIF(DM_MAY!$A$6:$A$105,M394,DM_MAY!$F$6:$F$105))</x:f>
      </x:c>
      <x:c r="AG394" s="33" t="str">
        <x:f>IF(A394="","",AE394+AF394)</x:f>
      </x:c>
      <x:c r="AH394" s="21"/>
      <x:c r="AI394" s="29" t="str">
        <x:f>IF(A394="","",IF(OR(B394="",D394="",E394="",I394="",L394="",N394="",O394="",P394=""),"Thiếu dữ liệu",IF(AND(OR(N394="PRODUCTION",N394="REWORK",N394="SETUP"),M394=""),"Thiếu máy",IF(P394&lt;O394,"Sai thời gian",IF(AA394&lt;&gt;0,"Sai cân đối SL","Hợp lệ")))))</x:f>
      </x:c>
      <x:c r="AJ394" s="21"/>
    </x:row>
    <x:row r="395">
      <x:c r="A395" s="21"/>
      <x:c r="B395" s="35"/>
      <x:c r="C395" s="21"/>
      <x:c r="D395" s="21"/>
      <x:c r="E395" s="21"/>
      <x:c r="F395" s="21"/>
      <x:c r="G395" s="21"/>
      <x:c r="H395" s="29" t="str">
        <x:f>IF(OR(D395="",E395=""),"",D395&amp;"|"&amp;E395&amp;"|"&amp;IF(F395="","00",F395)&amp;"|"&amp;IF(G395="","01",G395))</x:f>
      </x:c>
      <x:c r="I395" s="21"/>
      <x:c r="J395" s="29" t="str">
        <x:f>IF(K395="","",IFERROR(INDEX('04_KE_HOACH_CD'!$I$6:$I$305,MATCH(K395,'04_KE_HOACH_CD'!$G$6:$G$305,0)),""))</x:f>
      </x:c>
      <x:c r="K395" s="29" t="str">
        <x:f>IF(OR(H395="",I395=""),"",H395&amp;"|"&amp;TEXT(I395,"000"))</x:f>
      </x:c>
      <x:c r="L395" s="21"/>
      <x:c r="M395" s="21"/>
      <x:c r="N395" s="21"/>
      <x:c r="O395" s="43"/>
      <x:c r="P395" s="43"/>
      <x:c r="Q395" s="25"/>
      <x:c r="R395" s="25"/>
      <x:c r="S395" s="39" t="str">
        <x:f>IF(A395="","",SUMIF('07_DUNG_CHO'!$B$6:$B$505,A395,'07_DUNG_CHO'!$E$6:$E$505))</x:f>
      </x:c>
      <x:c r="T395" s="39" t="str">
        <x:f>IF(A395="","",IF(N395="SETUP",0,MAX(0,(P395-O395)*1440-Q395-S395)))</x:f>
      </x:c>
      <x:c r="U395" s="25"/>
      <x:c r="V395" s="25"/>
      <x:c r="W395" s="25"/>
      <x:c r="X395" s="25"/>
      <x:c r="Y395" s="25"/>
      <x:c r="Z395" s="25"/>
      <x:c r="AA395" s="39" t="str">
        <x:f>IF(A395="","",U395-SUM(V395,X395:Z395))</x:f>
      </x:c>
      <x:c r="AB395" s="39" t="str">
        <x:f>IF(A395="","",IF(N395="SETUP",IFERROR(INDEX('04_KE_HOACH_CD'!$K$6:$K$305,MATCH(K395,'04_KE_HOACH_CD'!$G$6:$G$305,0)),0),IF(OR(N395="PRODUCTION",N395="REWORK"),IFERROR(INDEX('04_KE_HOACH_CD'!$L$6:$L$305,MATCH(K395,'04_KE_HOACH_CD'!$G$6:$G$305,0))*V395,0),0)))</x:f>
      </x:c>
      <x:c r="AC395" s="39" t="str">
        <x:f>IF(A395="","",MAX(0,(P395-O395)*1440-Q395))</x:f>
      </x:c>
      <x:c r="AD395" s="37" t="str">
        <x:f>IF(A395="","",IFERROR(AB395/AC395,0))</x:f>
      </x:c>
      <x:c r="AE395" s="33" t="str">
        <x:f>IF(A395="","",AC395/60*SUMIF(DM_NHAN_SU!$A$6:$A$105,L395,DM_NHAN_SU!$E$6:$E$105))</x:f>
      </x:c>
      <x:c r="AF395" s="33" t="str">
        <x:f>IF(A395="","",AC395/60*SUMIF(DM_MAY!$A$6:$A$105,M395,DM_MAY!$F$6:$F$105))</x:f>
      </x:c>
      <x:c r="AG395" s="33" t="str">
        <x:f>IF(A395="","",AE395+AF395)</x:f>
      </x:c>
      <x:c r="AH395" s="21"/>
      <x:c r="AI395" s="29" t="str">
        <x:f>IF(A395="","",IF(OR(B395="",D395="",E395="",I395="",L395="",N395="",O395="",P395=""),"Thiếu dữ liệu",IF(AND(OR(N395="PRODUCTION",N395="REWORK",N395="SETUP"),M395=""),"Thiếu máy",IF(P395&lt;O395,"Sai thời gian",IF(AA395&lt;&gt;0,"Sai cân đối SL","Hợp lệ")))))</x:f>
      </x:c>
      <x:c r="AJ395" s="21"/>
    </x:row>
    <x:row r="396">
      <x:c r="A396" s="21"/>
      <x:c r="B396" s="35"/>
      <x:c r="C396" s="21"/>
      <x:c r="D396" s="21"/>
      <x:c r="E396" s="21"/>
      <x:c r="F396" s="21"/>
      <x:c r="G396" s="21"/>
      <x:c r="H396" s="29" t="str">
        <x:f>IF(OR(D396="",E396=""),"",D396&amp;"|"&amp;E396&amp;"|"&amp;IF(F396="","00",F396)&amp;"|"&amp;IF(G396="","01",G396))</x:f>
      </x:c>
      <x:c r="I396" s="21"/>
      <x:c r="J396" s="29" t="str">
        <x:f>IF(K396="","",IFERROR(INDEX('04_KE_HOACH_CD'!$I$6:$I$305,MATCH(K396,'04_KE_HOACH_CD'!$G$6:$G$305,0)),""))</x:f>
      </x:c>
      <x:c r="K396" s="29" t="str">
        <x:f>IF(OR(H396="",I396=""),"",H396&amp;"|"&amp;TEXT(I396,"000"))</x:f>
      </x:c>
      <x:c r="L396" s="21"/>
      <x:c r="M396" s="21"/>
      <x:c r="N396" s="21"/>
      <x:c r="O396" s="43"/>
      <x:c r="P396" s="43"/>
      <x:c r="Q396" s="25"/>
      <x:c r="R396" s="25"/>
      <x:c r="S396" s="39" t="str">
        <x:f>IF(A396="","",SUMIF('07_DUNG_CHO'!$B$6:$B$505,A396,'07_DUNG_CHO'!$E$6:$E$505))</x:f>
      </x:c>
      <x:c r="T396" s="39" t="str">
        <x:f>IF(A396="","",IF(N396="SETUP",0,MAX(0,(P396-O396)*1440-Q396-S396)))</x:f>
      </x:c>
      <x:c r="U396" s="25"/>
      <x:c r="V396" s="25"/>
      <x:c r="W396" s="25"/>
      <x:c r="X396" s="25"/>
      <x:c r="Y396" s="25"/>
      <x:c r="Z396" s="25"/>
      <x:c r="AA396" s="39" t="str">
        <x:f>IF(A396="","",U396-SUM(V396,X396:Z396))</x:f>
      </x:c>
      <x:c r="AB396" s="39" t="str">
        <x:f>IF(A396="","",IF(N396="SETUP",IFERROR(INDEX('04_KE_HOACH_CD'!$K$6:$K$305,MATCH(K396,'04_KE_HOACH_CD'!$G$6:$G$305,0)),0),IF(OR(N396="PRODUCTION",N396="REWORK"),IFERROR(INDEX('04_KE_HOACH_CD'!$L$6:$L$305,MATCH(K396,'04_KE_HOACH_CD'!$G$6:$G$305,0))*V396,0),0)))</x:f>
      </x:c>
      <x:c r="AC396" s="39" t="str">
        <x:f>IF(A396="","",MAX(0,(P396-O396)*1440-Q396))</x:f>
      </x:c>
      <x:c r="AD396" s="37" t="str">
        <x:f>IF(A396="","",IFERROR(AB396/AC396,0))</x:f>
      </x:c>
      <x:c r="AE396" s="33" t="str">
        <x:f>IF(A396="","",AC396/60*SUMIF(DM_NHAN_SU!$A$6:$A$105,L396,DM_NHAN_SU!$E$6:$E$105))</x:f>
      </x:c>
      <x:c r="AF396" s="33" t="str">
        <x:f>IF(A396="","",AC396/60*SUMIF(DM_MAY!$A$6:$A$105,M396,DM_MAY!$F$6:$F$105))</x:f>
      </x:c>
      <x:c r="AG396" s="33" t="str">
        <x:f>IF(A396="","",AE396+AF396)</x:f>
      </x:c>
      <x:c r="AH396" s="21"/>
      <x:c r="AI396" s="29" t="str">
        <x:f>IF(A396="","",IF(OR(B396="",D396="",E396="",I396="",L396="",N396="",O396="",P396=""),"Thiếu dữ liệu",IF(AND(OR(N396="PRODUCTION",N396="REWORK",N396="SETUP"),M396=""),"Thiếu máy",IF(P396&lt;O396,"Sai thời gian",IF(AA396&lt;&gt;0,"Sai cân đối SL","Hợp lệ")))))</x:f>
      </x:c>
      <x:c r="AJ396" s="21"/>
    </x:row>
    <x:row r="397">
      <x:c r="A397" s="21"/>
      <x:c r="B397" s="35"/>
      <x:c r="C397" s="21"/>
      <x:c r="D397" s="21"/>
      <x:c r="E397" s="21"/>
      <x:c r="F397" s="21"/>
      <x:c r="G397" s="21"/>
      <x:c r="H397" s="29" t="str">
        <x:f>IF(OR(D397="",E397=""),"",D397&amp;"|"&amp;E397&amp;"|"&amp;IF(F397="","00",F397)&amp;"|"&amp;IF(G397="","01",G397))</x:f>
      </x:c>
      <x:c r="I397" s="21"/>
      <x:c r="J397" s="29" t="str">
        <x:f>IF(K397="","",IFERROR(INDEX('04_KE_HOACH_CD'!$I$6:$I$305,MATCH(K397,'04_KE_HOACH_CD'!$G$6:$G$305,0)),""))</x:f>
      </x:c>
      <x:c r="K397" s="29" t="str">
        <x:f>IF(OR(H397="",I397=""),"",H397&amp;"|"&amp;TEXT(I397,"000"))</x:f>
      </x:c>
      <x:c r="L397" s="21"/>
      <x:c r="M397" s="21"/>
      <x:c r="N397" s="21"/>
      <x:c r="O397" s="43"/>
      <x:c r="P397" s="43"/>
      <x:c r="Q397" s="25"/>
      <x:c r="R397" s="25"/>
      <x:c r="S397" s="39" t="str">
        <x:f>IF(A397="","",SUMIF('07_DUNG_CHO'!$B$6:$B$505,A397,'07_DUNG_CHO'!$E$6:$E$505))</x:f>
      </x:c>
      <x:c r="T397" s="39" t="str">
        <x:f>IF(A397="","",IF(N397="SETUP",0,MAX(0,(P397-O397)*1440-Q397-S397)))</x:f>
      </x:c>
      <x:c r="U397" s="25"/>
      <x:c r="V397" s="25"/>
      <x:c r="W397" s="25"/>
      <x:c r="X397" s="25"/>
      <x:c r="Y397" s="25"/>
      <x:c r="Z397" s="25"/>
      <x:c r="AA397" s="39" t="str">
        <x:f>IF(A397="","",U397-SUM(V397,X397:Z397))</x:f>
      </x:c>
      <x:c r="AB397" s="39" t="str">
        <x:f>IF(A397="","",IF(N397="SETUP",IFERROR(INDEX('04_KE_HOACH_CD'!$K$6:$K$305,MATCH(K397,'04_KE_HOACH_CD'!$G$6:$G$305,0)),0),IF(OR(N397="PRODUCTION",N397="REWORK"),IFERROR(INDEX('04_KE_HOACH_CD'!$L$6:$L$305,MATCH(K397,'04_KE_HOACH_CD'!$G$6:$G$305,0))*V397,0),0)))</x:f>
      </x:c>
      <x:c r="AC397" s="39" t="str">
        <x:f>IF(A397="","",MAX(0,(P397-O397)*1440-Q397))</x:f>
      </x:c>
      <x:c r="AD397" s="37" t="str">
        <x:f>IF(A397="","",IFERROR(AB397/AC397,0))</x:f>
      </x:c>
      <x:c r="AE397" s="33" t="str">
        <x:f>IF(A397="","",AC397/60*SUMIF(DM_NHAN_SU!$A$6:$A$105,L397,DM_NHAN_SU!$E$6:$E$105))</x:f>
      </x:c>
      <x:c r="AF397" s="33" t="str">
        <x:f>IF(A397="","",AC397/60*SUMIF(DM_MAY!$A$6:$A$105,M397,DM_MAY!$F$6:$F$105))</x:f>
      </x:c>
      <x:c r="AG397" s="33" t="str">
        <x:f>IF(A397="","",AE397+AF397)</x:f>
      </x:c>
      <x:c r="AH397" s="21"/>
      <x:c r="AI397" s="29" t="str">
        <x:f>IF(A397="","",IF(OR(B397="",D397="",E397="",I397="",L397="",N397="",O397="",P397=""),"Thiếu dữ liệu",IF(AND(OR(N397="PRODUCTION",N397="REWORK",N397="SETUP"),M397=""),"Thiếu máy",IF(P397&lt;O397,"Sai thời gian",IF(AA397&lt;&gt;0,"Sai cân đối SL","Hợp lệ")))))</x:f>
      </x:c>
      <x:c r="AJ397" s="21"/>
    </x:row>
    <x:row r="398">
      <x:c r="A398" s="21"/>
      <x:c r="B398" s="35"/>
      <x:c r="C398" s="21"/>
      <x:c r="D398" s="21"/>
      <x:c r="E398" s="21"/>
      <x:c r="F398" s="21"/>
      <x:c r="G398" s="21"/>
      <x:c r="H398" s="29" t="str">
        <x:f>IF(OR(D398="",E398=""),"",D398&amp;"|"&amp;E398&amp;"|"&amp;IF(F398="","00",F398)&amp;"|"&amp;IF(G398="","01",G398))</x:f>
      </x:c>
      <x:c r="I398" s="21"/>
      <x:c r="J398" s="29" t="str">
        <x:f>IF(K398="","",IFERROR(INDEX('04_KE_HOACH_CD'!$I$6:$I$305,MATCH(K398,'04_KE_HOACH_CD'!$G$6:$G$305,0)),""))</x:f>
      </x:c>
      <x:c r="K398" s="29" t="str">
        <x:f>IF(OR(H398="",I398=""),"",H398&amp;"|"&amp;TEXT(I398,"000"))</x:f>
      </x:c>
      <x:c r="L398" s="21"/>
      <x:c r="M398" s="21"/>
      <x:c r="N398" s="21"/>
      <x:c r="O398" s="43"/>
      <x:c r="P398" s="43"/>
      <x:c r="Q398" s="25"/>
      <x:c r="R398" s="25"/>
      <x:c r="S398" s="39" t="str">
        <x:f>IF(A398="","",SUMIF('07_DUNG_CHO'!$B$6:$B$505,A398,'07_DUNG_CHO'!$E$6:$E$505))</x:f>
      </x:c>
      <x:c r="T398" s="39" t="str">
        <x:f>IF(A398="","",IF(N398="SETUP",0,MAX(0,(P398-O398)*1440-Q398-S398)))</x:f>
      </x:c>
      <x:c r="U398" s="25"/>
      <x:c r="V398" s="25"/>
      <x:c r="W398" s="25"/>
      <x:c r="X398" s="25"/>
      <x:c r="Y398" s="25"/>
      <x:c r="Z398" s="25"/>
      <x:c r="AA398" s="39" t="str">
        <x:f>IF(A398="","",U398-SUM(V398,X398:Z398))</x:f>
      </x:c>
      <x:c r="AB398" s="39" t="str">
        <x:f>IF(A398="","",IF(N398="SETUP",IFERROR(INDEX('04_KE_HOACH_CD'!$K$6:$K$305,MATCH(K398,'04_KE_HOACH_CD'!$G$6:$G$305,0)),0),IF(OR(N398="PRODUCTION",N398="REWORK"),IFERROR(INDEX('04_KE_HOACH_CD'!$L$6:$L$305,MATCH(K398,'04_KE_HOACH_CD'!$G$6:$G$305,0))*V398,0),0)))</x:f>
      </x:c>
      <x:c r="AC398" s="39" t="str">
        <x:f>IF(A398="","",MAX(0,(P398-O398)*1440-Q398))</x:f>
      </x:c>
      <x:c r="AD398" s="37" t="str">
        <x:f>IF(A398="","",IFERROR(AB398/AC398,0))</x:f>
      </x:c>
      <x:c r="AE398" s="33" t="str">
        <x:f>IF(A398="","",AC398/60*SUMIF(DM_NHAN_SU!$A$6:$A$105,L398,DM_NHAN_SU!$E$6:$E$105))</x:f>
      </x:c>
      <x:c r="AF398" s="33" t="str">
        <x:f>IF(A398="","",AC398/60*SUMIF(DM_MAY!$A$6:$A$105,M398,DM_MAY!$F$6:$F$105))</x:f>
      </x:c>
      <x:c r="AG398" s="33" t="str">
        <x:f>IF(A398="","",AE398+AF398)</x:f>
      </x:c>
      <x:c r="AH398" s="21"/>
      <x:c r="AI398" s="29" t="str">
        <x:f>IF(A398="","",IF(OR(B398="",D398="",E398="",I398="",L398="",N398="",O398="",P398=""),"Thiếu dữ liệu",IF(AND(OR(N398="PRODUCTION",N398="REWORK",N398="SETUP"),M398=""),"Thiếu máy",IF(P398&lt;O398,"Sai thời gian",IF(AA398&lt;&gt;0,"Sai cân đối SL","Hợp lệ")))))</x:f>
      </x:c>
      <x:c r="AJ398" s="21"/>
    </x:row>
    <x:row r="399">
      <x:c r="A399" s="21"/>
      <x:c r="B399" s="35"/>
      <x:c r="C399" s="21"/>
      <x:c r="D399" s="21"/>
      <x:c r="E399" s="21"/>
      <x:c r="F399" s="21"/>
      <x:c r="G399" s="21"/>
      <x:c r="H399" s="29" t="str">
        <x:f>IF(OR(D399="",E399=""),"",D399&amp;"|"&amp;E399&amp;"|"&amp;IF(F399="","00",F399)&amp;"|"&amp;IF(G399="","01",G399))</x:f>
      </x:c>
      <x:c r="I399" s="21"/>
      <x:c r="J399" s="29" t="str">
        <x:f>IF(K399="","",IFERROR(INDEX('04_KE_HOACH_CD'!$I$6:$I$305,MATCH(K399,'04_KE_HOACH_CD'!$G$6:$G$305,0)),""))</x:f>
      </x:c>
      <x:c r="K399" s="29" t="str">
        <x:f>IF(OR(H399="",I399=""),"",H399&amp;"|"&amp;TEXT(I399,"000"))</x:f>
      </x:c>
      <x:c r="L399" s="21"/>
      <x:c r="M399" s="21"/>
      <x:c r="N399" s="21"/>
      <x:c r="O399" s="43"/>
      <x:c r="P399" s="43"/>
      <x:c r="Q399" s="25"/>
      <x:c r="R399" s="25"/>
      <x:c r="S399" s="39" t="str">
        <x:f>IF(A399="","",SUMIF('07_DUNG_CHO'!$B$6:$B$505,A399,'07_DUNG_CHO'!$E$6:$E$505))</x:f>
      </x:c>
      <x:c r="T399" s="39" t="str">
        <x:f>IF(A399="","",IF(N399="SETUP",0,MAX(0,(P399-O399)*1440-Q399-S399)))</x:f>
      </x:c>
      <x:c r="U399" s="25"/>
      <x:c r="V399" s="25"/>
      <x:c r="W399" s="25"/>
      <x:c r="X399" s="25"/>
      <x:c r="Y399" s="25"/>
      <x:c r="Z399" s="25"/>
      <x:c r="AA399" s="39" t="str">
        <x:f>IF(A399="","",U399-SUM(V399,X399:Z399))</x:f>
      </x:c>
      <x:c r="AB399" s="39" t="str">
        <x:f>IF(A399="","",IF(N399="SETUP",IFERROR(INDEX('04_KE_HOACH_CD'!$K$6:$K$305,MATCH(K399,'04_KE_HOACH_CD'!$G$6:$G$305,0)),0),IF(OR(N399="PRODUCTION",N399="REWORK"),IFERROR(INDEX('04_KE_HOACH_CD'!$L$6:$L$305,MATCH(K399,'04_KE_HOACH_CD'!$G$6:$G$305,0))*V399,0),0)))</x:f>
      </x:c>
      <x:c r="AC399" s="39" t="str">
        <x:f>IF(A399="","",MAX(0,(P399-O399)*1440-Q399))</x:f>
      </x:c>
      <x:c r="AD399" s="37" t="str">
        <x:f>IF(A399="","",IFERROR(AB399/AC399,0))</x:f>
      </x:c>
      <x:c r="AE399" s="33" t="str">
        <x:f>IF(A399="","",AC399/60*SUMIF(DM_NHAN_SU!$A$6:$A$105,L399,DM_NHAN_SU!$E$6:$E$105))</x:f>
      </x:c>
      <x:c r="AF399" s="33" t="str">
        <x:f>IF(A399="","",AC399/60*SUMIF(DM_MAY!$A$6:$A$105,M399,DM_MAY!$F$6:$F$105))</x:f>
      </x:c>
      <x:c r="AG399" s="33" t="str">
        <x:f>IF(A399="","",AE399+AF399)</x:f>
      </x:c>
      <x:c r="AH399" s="21"/>
      <x:c r="AI399" s="29" t="str">
        <x:f>IF(A399="","",IF(OR(B399="",D399="",E399="",I399="",L399="",N399="",O399="",P399=""),"Thiếu dữ liệu",IF(AND(OR(N399="PRODUCTION",N399="REWORK",N399="SETUP"),M399=""),"Thiếu máy",IF(P399&lt;O399,"Sai thời gian",IF(AA399&lt;&gt;0,"Sai cân đối SL","Hợp lệ")))))</x:f>
      </x:c>
      <x:c r="AJ399" s="21"/>
    </x:row>
    <x:row r="400">
      <x:c r="A400" s="21"/>
      <x:c r="B400" s="35"/>
      <x:c r="C400" s="21"/>
      <x:c r="D400" s="21"/>
      <x:c r="E400" s="21"/>
      <x:c r="F400" s="21"/>
      <x:c r="G400" s="21"/>
      <x:c r="H400" s="29" t="str">
        <x:f>IF(OR(D400="",E400=""),"",D400&amp;"|"&amp;E400&amp;"|"&amp;IF(F400="","00",F400)&amp;"|"&amp;IF(G400="","01",G400))</x:f>
      </x:c>
      <x:c r="I400" s="21"/>
      <x:c r="J400" s="29" t="str">
        <x:f>IF(K400="","",IFERROR(INDEX('04_KE_HOACH_CD'!$I$6:$I$305,MATCH(K400,'04_KE_HOACH_CD'!$G$6:$G$305,0)),""))</x:f>
      </x:c>
      <x:c r="K400" s="29" t="str">
        <x:f>IF(OR(H400="",I400=""),"",H400&amp;"|"&amp;TEXT(I400,"000"))</x:f>
      </x:c>
      <x:c r="L400" s="21"/>
      <x:c r="M400" s="21"/>
      <x:c r="N400" s="21"/>
      <x:c r="O400" s="43"/>
      <x:c r="P400" s="43"/>
      <x:c r="Q400" s="25"/>
      <x:c r="R400" s="25"/>
      <x:c r="S400" s="39" t="str">
        <x:f>IF(A400="","",SUMIF('07_DUNG_CHO'!$B$6:$B$505,A400,'07_DUNG_CHO'!$E$6:$E$505))</x:f>
      </x:c>
      <x:c r="T400" s="39" t="str">
        <x:f>IF(A400="","",IF(N400="SETUP",0,MAX(0,(P400-O400)*1440-Q400-S400)))</x:f>
      </x:c>
      <x:c r="U400" s="25"/>
      <x:c r="V400" s="25"/>
      <x:c r="W400" s="25"/>
      <x:c r="X400" s="25"/>
      <x:c r="Y400" s="25"/>
      <x:c r="Z400" s="25"/>
      <x:c r="AA400" s="39" t="str">
        <x:f>IF(A400="","",U400-SUM(V400,X400:Z400))</x:f>
      </x:c>
      <x:c r="AB400" s="39" t="str">
        <x:f>IF(A400="","",IF(N400="SETUP",IFERROR(INDEX('04_KE_HOACH_CD'!$K$6:$K$305,MATCH(K400,'04_KE_HOACH_CD'!$G$6:$G$305,0)),0),IF(OR(N400="PRODUCTION",N400="REWORK"),IFERROR(INDEX('04_KE_HOACH_CD'!$L$6:$L$305,MATCH(K400,'04_KE_HOACH_CD'!$G$6:$G$305,0))*V400,0),0)))</x:f>
      </x:c>
      <x:c r="AC400" s="39" t="str">
        <x:f>IF(A400="","",MAX(0,(P400-O400)*1440-Q400))</x:f>
      </x:c>
      <x:c r="AD400" s="37" t="str">
        <x:f>IF(A400="","",IFERROR(AB400/AC400,0))</x:f>
      </x:c>
      <x:c r="AE400" s="33" t="str">
        <x:f>IF(A400="","",AC400/60*SUMIF(DM_NHAN_SU!$A$6:$A$105,L400,DM_NHAN_SU!$E$6:$E$105))</x:f>
      </x:c>
      <x:c r="AF400" s="33" t="str">
        <x:f>IF(A400="","",AC400/60*SUMIF(DM_MAY!$A$6:$A$105,M400,DM_MAY!$F$6:$F$105))</x:f>
      </x:c>
      <x:c r="AG400" s="33" t="str">
        <x:f>IF(A400="","",AE400+AF400)</x:f>
      </x:c>
      <x:c r="AH400" s="21"/>
      <x:c r="AI400" s="29" t="str">
        <x:f>IF(A400="","",IF(OR(B400="",D400="",E400="",I400="",L400="",N400="",O400="",P400=""),"Thiếu dữ liệu",IF(AND(OR(N400="PRODUCTION",N400="REWORK",N400="SETUP"),M400=""),"Thiếu máy",IF(P400&lt;O400,"Sai thời gian",IF(AA400&lt;&gt;0,"Sai cân đối SL","Hợp lệ")))))</x:f>
      </x:c>
      <x:c r="AJ400" s="21"/>
    </x:row>
    <x:row r="401">
      <x:c r="A401" s="21"/>
      <x:c r="B401" s="35"/>
      <x:c r="C401" s="21"/>
      <x:c r="D401" s="21"/>
      <x:c r="E401" s="21"/>
      <x:c r="F401" s="21"/>
      <x:c r="G401" s="21"/>
      <x:c r="H401" s="29" t="str">
        <x:f>IF(OR(D401="",E401=""),"",D401&amp;"|"&amp;E401&amp;"|"&amp;IF(F401="","00",F401)&amp;"|"&amp;IF(G401="","01",G401))</x:f>
      </x:c>
      <x:c r="I401" s="21"/>
      <x:c r="J401" s="29" t="str">
        <x:f>IF(K401="","",IFERROR(INDEX('04_KE_HOACH_CD'!$I$6:$I$305,MATCH(K401,'04_KE_HOACH_CD'!$G$6:$G$305,0)),""))</x:f>
      </x:c>
      <x:c r="K401" s="29" t="str">
        <x:f>IF(OR(H401="",I401=""),"",H401&amp;"|"&amp;TEXT(I401,"000"))</x:f>
      </x:c>
      <x:c r="L401" s="21"/>
      <x:c r="M401" s="21"/>
      <x:c r="N401" s="21"/>
      <x:c r="O401" s="43"/>
      <x:c r="P401" s="43"/>
      <x:c r="Q401" s="25"/>
      <x:c r="R401" s="25"/>
      <x:c r="S401" s="39" t="str">
        <x:f>IF(A401="","",SUMIF('07_DUNG_CHO'!$B$6:$B$505,A401,'07_DUNG_CHO'!$E$6:$E$505))</x:f>
      </x:c>
      <x:c r="T401" s="39" t="str">
        <x:f>IF(A401="","",IF(N401="SETUP",0,MAX(0,(P401-O401)*1440-Q401-S401)))</x:f>
      </x:c>
      <x:c r="U401" s="25"/>
      <x:c r="V401" s="25"/>
      <x:c r="W401" s="25"/>
      <x:c r="X401" s="25"/>
      <x:c r="Y401" s="25"/>
      <x:c r="Z401" s="25"/>
      <x:c r="AA401" s="39" t="str">
        <x:f>IF(A401="","",U401-SUM(V401,X401:Z401))</x:f>
      </x:c>
      <x:c r="AB401" s="39" t="str">
        <x:f>IF(A401="","",IF(N401="SETUP",IFERROR(INDEX('04_KE_HOACH_CD'!$K$6:$K$305,MATCH(K401,'04_KE_HOACH_CD'!$G$6:$G$305,0)),0),IF(OR(N401="PRODUCTION",N401="REWORK"),IFERROR(INDEX('04_KE_HOACH_CD'!$L$6:$L$305,MATCH(K401,'04_KE_HOACH_CD'!$G$6:$G$305,0))*V401,0),0)))</x:f>
      </x:c>
      <x:c r="AC401" s="39" t="str">
        <x:f>IF(A401="","",MAX(0,(P401-O401)*1440-Q401))</x:f>
      </x:c>
      <x:c r="AD401" s="37" t="str">
        <x:f>IF(A401="","",IFERROR(AB401/AC401,0))</x:f>
      </x:c>
      <x:c r="AE401" s="33" t="str">
        <x:f>IF(A401="","",AC401/60*SUMIF(DM_NHAN_SU!$A$6:$A$105,L401,DM_NHAN_SU!$E$6:$E$105))</x:f>
      </x:c>
      <x:c r="AF401" s="33" t="str">
        <x:f>IF(A401="","",AC401/60*SUMIF(DM_MAY!$A$6:$A$105,M401,DM_MAY!$F$6:$F$105))</x:f>
      </x:c>
      <x:c r="AG401" s="33" t="str">
        <x:f>IF(A401="","",AE401+AF401)</x:f>
      </x:c>
      <x:c r="AH401" s="21"/>
      <x:c r="AI401" s="29" t="str">
        <x:f>IF(A401="","",IF(OR(B401="",D401="",E401="",I401="",L401="",N401="",O401="",P401=""),"Thiếu dữ liệu",IF(AND(OR(N401="PRODUCTION",N401="REWORK",N401="SETUP"),M401=""),"Thiếu máy",IF(P401&lt;O401,"Sai thời gian",IF(AA401&lt;&gt;0,"Sai cân đối SL","Hợp lệ")))))</x:f>
      </x:c>
      <x:c r="AJ401" s="21"/>
    </x:row>
    <x:row r="402">
      <x:c r="A402" s="21"/>
      <x:c r="B402" s="35"/>
      <x:c r="C402" s="21"/>
      <x:c r="D402" s="21"/>
      <x:c r="E402" s="21"/>
      <x:c r="F402" s="21"/>
      <x:c r="G402" s="21"/>
      <x:c r="H402" s="29" t="str">
        <x:f>IF(OR(D402="",E402=""),"",D402&amp;"|"&amp;E402&amp;"|"&amp;IF(F402="","00",F402)&amp;"|"&amp;IF(G402="","01",G402))</x:f>
      </x:c>
      <x:c r="I402" s="21"/>
      <x:c r="J402" s="29" t="str">
        <x:f>IF(K402="","",IFERROR(INDEX('04_KE_HOACH_CD'!$I$6:$I$305,MATCH(K402,'04_KE_HOACH_CD'!$G$6:$G$305,0)),""))</x:f>
      </x:c>
      <x:c r="K402" s="29" t="str">
        <x:f>IF(OR(H402="",I402=""),"",H402&amp;"|"&amp;TEXT(I402,"000"))</x:f>
      </x:c>
      <x:c r="L402" s="21"/>
      <x:c r="M402" s="21"/>
      <x:c r="N402" s="21"/>
      <x:c r="O402" s="43"/>
      <x:c r="P402" s="43"/>
      <x:c r="Q402" s="25"/>
      <x:c r="R402" s="25"/>
      <x:c r="S402" s="39" t="str">
        <x:f>IF(A402="","",SUMIF('07_DUNG_CHO'!$B$6:$B$505,A402,'07_DUNG_CHO'!$E$6:$E$505))</x:f>
      </x:c>
      <x:c r="T402" s="39" t="str">
        <x:f>IF(A402="","",IF(N402="SETUP",0,MAX(0,(P402-O402)*1440-Q402-S402)))</x:f>
      </x:c>
      <x:c r="U402" s="25"/>
      <x:c r="V402" s="25"/>
      <x:c r="W402" s="25"/>
      <x:c r="X402" s="25"/>
      <x:c r="Y402" s="25"/>
      <x:c r="Z402" s="25"/>
      <x:c r="AA402" s="39" t="str">
        <x:f>IF(A402="","",U402-SUM(V402,X402:Z402))</x:f>
      </x:c>
      <x:c r="AB402" s="39" t="str">
        <x:f>IF(A402="","",IF(N402="SETUP",IFERROR(INDEX('04_KE_HOACH_CD'!$K$6:$K$305,MATCH(K402,'04_KE_HOACH_CD'!$G$6:$G$305,0)),0),IF(OR(N402="PRODUCTION",N402="REWORK"),IFERROR(INDEX('04_KE_HOACH_CD'!$L$6:$L$305,MATCH(K402,'04_KE_HOACH_CD'!$G$6:$G$305,0))*V402,0),0)))</x:f>
      </x:c>
      <x:c r="AC402" s="39" t="str">
        <x:f>IF(A402="","",MAX(0,(P402-O402)*1440-Q402))</x:f>
      </x:c>
      <x:c r="AD402" s="37" t="str">
        <x:f>IF(A402="","",IFERROR(AB402/AC402,0))</x:f>
      </x:c>
      <x:c r="AE402" s="33" t="str">
        <x:f>IF(A402="","",AC402/60*SUMIF(DM_NHAN_SU!$A$6:$A$105,L402,DM_NHAN_SU!$E$6:$E$105))</x:f>
      </x:c>
      <x:c r="AF402" s="33" t="str">
        <x:f>IF(A402="","",AC402/60*SUMIF(DM_MAY!$A$6:$A$105,M402,DM_MAY!$F$6:$F$105))</x:f>
      </x:c>
      <x:c r="AG402" s="33" t="str">
        <x:f>IF(A402="","",AE402+AF402)</x:f>
      </x:c>
      <x:c r="AH402" s="21"/>
      <x:c r="AI402" s="29" t="str">
        <x:f>IF(A402="","",IF(OR(B402="",D402="",E402="",I402="",L402="",N402="",O402="",P402=""),"Thiếu dữ liệu",IF(AND(OR(N402="PRODUCTION",N402="REWORK",N402="SETUP"),M402=""),"Thiếu máy",IF(P402&lt;O402,"Sai thời gian",IF(AA402&lt;&gt;0,"Sai cân đối SL","Hợp lệ")))))</x:f>
      </x:c>
      <x:c r="AJ402" s="21"/>
    </x:row>
    <x:row r="403">
      <x:c r="A403" s="21"/>
      <x:c r="B403" s="35"/>
      <x:c r="C403" s="21"/>
      <x:c r="D403" s="21"/>
      <x:c r="E403" s="21"/>
      <x:c r="F403" s="21"/>
      <x:c r="G403" s="21"/>
      <x:c r="H403" s="29" t="str">
        <x:f>IF(OR(D403="",E403=""),"",D403&amp;"|"&amp;E403&amp;"|"&amp;IF(F403="","00",F403)&amp;"|"&amp;IF(G403="","01",G403))</x:f>
      </x:c>
      <x:c r="I403" s="21"/>
      <x:c r="J403" s="29" t="str">
        <x:f>IF(K403="","",IFERROR(INDEX('04_KE_HOACH_CD'!$I$6:$I$305,MATCH(K403,'04_KE_HOACH_CD'!$G$6:$G$305,0)),""))</x:f>
      </x:c>
      <x:c r="K403" s="29" t="str">
        <x:f>IF(OR(H403="",I403=""),"",H403&amp;"|"&amp;TEXT(I403,"000"))</x:f>
      </x:c>
      <x:c r="L403" s="21"/>
      <x:c r="M403" s="21"/>
      <x:c r="N403" s="21"/>
      <x:c r="O403" s="43"/>
      <x:c r="P403" s="43"/>
      <x:c r="Q403" s="25"/>
      <x:c r="R403" s="25"/>
      <x:c r="S403" s="39" t="str">
        <x:f>IF(A403="","",SUMIF('07_DUNG_CHO'!$B$6:$B$505,A403,'07_DUNG_CHO'!$E$6:$E$505))</x:f>
      </x:c>
      <x:c r="T403" s="39" t="str">
        <x:f>IF(A403="","",IF(N403="SETUP",0,MAX(0,(P403-O403)*1440-Q403-S403)))</x:f>
      </x:c>
      <x:c r="U403" s="25"/>
      <x:c r="V403" s="25"/>
      <x:c r="W403" s="25"/>
      <x:c r="X403" s="25"/>
      <x:c r="Y403" s="25"/>
      <x:c r="Z403" s="25"/>
      <x:c r="AA403" s="39" t="str">
        <x:f>IF(A403="","",U403-SUM(V403,X403:Z403))</x:f>
      </x:c>
      <x:c r="AB403" s="39" t="str">
        <x:f>IF(A403="","",IF(N403="SETUP",IFERROR(INDEX('04_KE_HOACH_CD'!$K$6:$K$305,MATCH(K403,'04_KE_HOACH_CD'!$G$6:$G$305,0)),0),IF(OR(N403="PRODUCTION",N403="REWORK"),IFERROR(INDEX('04_KE_HOACH_CD'!$L$6:$L$305,MATCH(K403,'04_KE_HOACH_CD'!$G$6:$G$305,0))*V403,0),0)))</x:f>
      </x:c>
      <x:c r="AC403" s="39" t="str">
        <x:f>IF(A403="","",MAX(0,(P403-O403)*1440-Q403))</x:f>
      </x:c>
      <x:c r="AD403" s="37" t="str">
        <x:f>IF(A403="","",IFERROR(AB403/AC403,0))</x:f>
      </x:c>
      <x:c r="AE403" s="33" t="str">
        <x:f>IF(A403="","",AC403/60*SUMIF(DM_NHAN_SU!$A$6:$A$105,L403,DM_NHAN_SU!$E$6:$E$105))</x:f>
      </x:c>
      <x:c r="AF403" s="33" t="str">
        <x:f>IF(A403="","",AC403/60*SUMIF(DM_MAY!$A$6:$A$105,M403,DM_MAY!$F$6:$F$105))</x:f>
      </x:c>
      <x:c r="AG403" s="33" t="str">
        <x:f>IF(A403="","",AE403+AF403)</x:f>
      </x:c>
      <x:c r="AH403" s="21"/>
      <x:c r="AI403" s="29" t="str">
        <x:f>IF(A403="","",IF(OR(B403="",D403="",E403="",I403="",L403="",N403="",O403="",P403=""),"Thiếu dữ liệu",IF(AND(OR(N403="PRODUCTION",N403="REWORK",N403="SETUP"),M403=""),"Thiếu máy",IF(P403&lt;O403,"Sai thời gian",IF(AA403&lt;&gt;0,"Sai cân đối SL","Hợp lệ")))))</x:f>
      </x:c>
      <x:c r="AJ403" s="21"/>
    </x:row>
    <x:row r="404">
      <x:c r="A404" s="21"/>
      <x:c r="B404" s="35"/>
      <x:c r="C404" s="21"/>
      <x:c r="D404" s="21"/>
      <x:c r="E404" s="21"/>
      <x:c r="F404" s="21"/>
      <x:c r="G404" s="21"/>
      <x:c r="H404" s="29" t="str">
        <x:f>IF(OR(D404="",E404=""),"",D404&amp;"|"&amp;E404&amp;"|"&amp;IF(F404="","00",F404)&amp;"|"&amp;IF(G404="","01",G404))</x:f>
      </x:c>
      <x:c r="I404" s="21"/>
      <x:c r="J404" s="29" t="str">
        <x:f>IF(K404="","",IFERROR(INDEX('04_KE_HOACH_CD'!$I$6:$I$305,MATCH(K404,'04_KE_HOACH_CD'!$G$6:$G$305,0)),""))</x:f>
      </x:c>
      <x:c r="K404" s="29" t="str">
        <x:f>IF(OR(H404="",I404=""),"",H404&amp;"|"&amp;TEXT(I404,"000"))</x:f>
      </x:c>
      <x:c r="L404" s="21"/>
      <x:c r="M404" s="21"/>
      <x:c r="N404" s="21"/>
      <x:c r="O404" s="43"/>
      <x:c r="P404" s="43"/>
      <x:c r="Q404" s="25"/>
      <x:c r="R404" s="25"/>
      <x:c r="S404" s="39" t="str">
        <x:f>IF(A404="","",SUMIF('07_DUNG_CHO'!$B$6:$B$505,A404,'07_DUNG_CHO'!$E$6:$E$505))</x:f>
      </x:c>
      <x:c r="T404" s="39" t="str">
        <x:f>IF(A404="","",IF(N404="SETUP",0,MAX(0,(P404-O404)*1440-Q404-S404)))</x:f>
      </x:c>
      <x:c r="U404" s="25"/>
      <x:c r="V404" s="25"/>
      <x:c r="W404" s="25"/>
      <x:c r="X404" s="25"/>
      <x:c r="Y404" s="25"/>
      <x:c r="Z404" s="25"/>
      <x:c r="AA404" s="39" t="str">
        <x:f>IF(A404="","",U404-SUM(V404,X404:Z404))</x:f>
      </x:c>
      <x:c r="AB404" s="39" t="str">
        <x:f>IF(A404="","",IF(N404="SETUP",IFERROR(INDEX('04_KE_HOACH_CD'!$K$6:$K$305,MATCH(K404,'04_KE_HOACH_CD'!$G$6:$G$305,0)),0),IF(OR(N404="PRODUCTION",N404="REWORK"),IFERROR(INDEX('04_KE_HOACH_CD'!$L$6:$L$305,MATCH(K404,'04_KE_HOACH_CD'!$G$6:$G$305,0))*V404,0),0)))</x:f>
      </x:c>
      <x:c r="AC404" s="39" t="str">
        <x:f>IF(A404="","",MAX(0,(P404-O404)*1440-Q404))</x:f>
      </x:c>
      <x:c r="AD404" s="37" t="str">
        <x:f>IF(A404="","",IFERROR(AB404/AC404,0))</x:f>
      </x:c>
      <x:c r="AE404" s="33" t="str">
        <x:f>IF(A404="","",AC404/60*SUMIF(DM_NHAN_SU!$A$6:$A$105,L404,DM_NHAN_SU!$E$6:$E$105))</x:f>
      </x:c>
      <x:c r="AF404" s="33" t="str">
        <x:f>IF(A404="","",AC404/60*SUMIF(DM_MAY!$A$6:$A$105,M404,DM_MAY!$F$6:$F$105))</x:f>
      </x:c>
      <x:c r="AG404" s="33" t="str">
        <x:f>IF(A404="","",AE404+AF404)</x:f>
      </x:c>
      <x:c r="AH404" s="21"/>
      <x:c r="AI404" s="29" t="str">
        <x:f>IF(A404="","",IF(OR(B404="",D404="",E404="",I404="",L404="",N404="",O404="",P404=""),"Thiếu dữ liệu",IF(AND(OR(N404="PRODUCTION",N404="REWORK",N404="SETUP"),M404=""),"Thiếu máy",IF(P404&lt;O404,"Sai thời gian",IF(AA404&lt;&gt;0,"Sai cân đối SL","Hợp lệ")))))</x:f>
      </x:c>
      <x:c r="AJ404" s="21"/>
    </x:row>
    <x:row r="405">
      <x:c r="A405" s="21"/>
      <x:c r="B405" s="35"/>
      <x:c r="C405" s="21"/>
      <x:c r="D405" s="21"/>
      <x:c r="E405" s="21"/>
      <x:c r="F405" s="21"/>
      <x:c r="G405" s="21"/>
      <x:c r="H405" s="29" t="str">
        <x:f>IF(OR(D405="",E405=""),"",D405&amp;"|"&amp;E405&amp;"|"&amp;IF(F405="","00",F405)&amp;"|"&amp;IF(G405="","01",G405))</x:f>
      </x:c>
      <x:c r="I405" s="21"/>
      <x:c r="J405" s="29" t="str">
        <x:f>IF(K405="","",IFERROR(INDEX('04_KE_HOACH_CD'!$I$6:$I$305,MATCH(K405,'04_KE_HOACH_CD'!$G$6:$G$305,0)),""))</x:f>
      </x:c>
      <x:c r="K405" s="29" t="str">
        <x:f>IF(OR(H405="",I405=""),"",H405&amp;"|"&amp;TEXT(I405,"000"))</x:f>
      </x:c>
      <x:c r="L405" s="21"/>
      <x:c r="M405" s="21"/>
      <x:c r="N405" s="21"/>
      <x:c r="O405" s="43"/>
      <x:c r="P405" s="43"/>
      <x:c r="Q405" s="25"/>
      <x:c r="R405" s="25"/>
      <x:c r="S405" s="39" t="str">
        <x:f>IF(A405="","",SUMIF('07_DUNG_CHO'!$B$6:$B$505,A405,'07_DUNG_CHO'!$E$6:$E$505))</x:f>
      </x:c>
      <x:c r="T405" s="39" t="str">
        <x:f>IF(A405="","",IF(N405="SETUP",0,MAX(0,(P405-O405)*1440-Q405-S405)))</x:f>
      </x:c>
      <x:c r="U405" s="25"/>
      <x:c r="V405" s="25"/>
      <x:c r="W405" s="25"/>
      <x:c r="X405" s="25"/>
      <x:c r="Y405" s="25"/>
      <x:c r="Z405" s="25"/>
      <x:c r="AA405" s="39" t="str">
        <x:f>IF(A405="","",U405-SUM(V405,X405:Z405))</x:f>
      </x:c>
      <x:c r="AB405" s="39" t="str">
        <x:f>IF(A405="","",IF(N405="SETUP",IFERROR(INDEX('04_KE_HOACH_CD'!$K$6:$K$305,MATCH(K405,'04_KE_HOACH_CD'!$G$6:$G$305,0)),0),IF(OR(N405="PRODUCTION",N405="REWORK"),IFERROR(INDEX('04_KE_HOACH_CD'!$L$6:$L$305,MATCH(K405,'04_KE_HOACH_CD'!$G$6:$G$305,0))*V405,0),0)))</x:f>
      </x:c>
      <x:c r="AC405" s="39" t="str">
        <x:f>IF(A405="","",MAX(0,(P405-O405)*1440-Q405))</x:f>
      </x:c>
      <x:c r="AD405" s="37" t="str">
        <x:f>IF(A405="","",IFERROR(AB405/AC405,0))</x:f>
      </x:c>
      <x:c r="AE405" s="33" t="str">
        <x:f>IF(A405="","",AC405/60*SUMIF(DM_NHAN_SU!$A$6:$A$105,L405,DM_NHAN_SU!$E$6:$E$105))</x:f>
      </x:c>
      <x:c r="AF405" s="33" t="str">
        <x:f>IF(A405="","",AC405/60*SUMIF(DM_MAY!$A$6:$A$105,M405,DM_MAY!$F$6:$F$105))</x:f>
      </x:c>
      <x:c r="AG405" s="33" t="str">
        <x:f>IF(A405="","",AE405+AF405)</x:f>
      </x:c>
      <x:c r="AH405" s="21"/>
      <x:c r="AI405" s="29" t="str">
        <x:f>IF(A405="","",IF(OR(B405="",D405="",E405="",I405="",L405="",N405="",O405="",P405=""),"Thiếu dữ liệu",IF(AND(OR(N405="PRODUCTION",N405="REWORK",N405="SETUP"),M405=""),"Thiếu máy",IF(P405&lt;O405,"Sai thời gian",IF(AA405&lt;&gt;0,"Sai cân đối SL","Hợp lệ")))))</x:f>
      </x:c>
      <x:c r="AJ405" s="21"/>
    </x:row>
    <x:row r="406">
      <x:c r="A406" s="21"/>
      <x:c r="B406" s="35"/>
      <x:c r="C406" s="21"/>
      <x:c r="D406" s="21"/>
      <x:c r="E406" s="21"/>
      <x:c r="F406" s="21"/>
      <x:c r="G406" s="21"/>
      <x:c r="H406" s="29" t="str">
        <x:f>IF(OR(D406="",E406=""),"",D406&amp;"|"&amp;E406&amp;"|"&amp;IF(F406="","00",F406)&amp;"|"&amp;IF(G406="","01",G406))</x:f>
      </x:c>
      <x:c r="I406" s="21"/>
      <x:c r="J406" s="29" t="str">
        <x:f>IF(K406="","",IFERROR(INDEX('04_KE_HOACH_CD'!$I$6:$I$305,MATCH(K406,'04_KE_HOACH_CD'!$G$6:$G$305,0)),""))</x:f>
      </x:c>
      <x:c r="K406" s="29" t="str">
        <x:f>IF(OR(H406="",I406=""),"",H406&amp;"|"&amp;TEXT(I406,"000"))</x:f>
      </x:c>
      <x:c r="L406" s="21"/>
      <x:c r="M406" s="21"/>
      <x:c r="N406" s="21"/>
      <x:c r="O406" s="43"/>
      <x:c r="P406" s="43"/>
      <x:c r="Q406" s="25"/>
      <x:c r="R406" s="25"/>
      <x:c r="S406" s="39" t="str">
        <x:f>IF(A406="","",SUMIF('07_DUNG_CHO'!$B$6:$B$505,A406,'07_DUNG_CHO'!$E$6:$E$505))</x:f>
      </x:c>
      <x:c r="T406" s="39" t="str">
        <x:f>IF(A406="","",IF(N406="SETUP",0,MAX(0,(P406-O406)*1440-Q406-S406)))</x:f>
      </x:c>
      <x:c r="U406" s="25"/>
      <x:c r="V406" s="25"/>
      <x:c r="W406" s="25"/>
      <x:c r="X406" s="25"/>
      <x:c r="Y406" s="25"/>
      <x:c r="Z406" s="25"/>
      <x:c r="AA406" s="39" t="str">
        <x:f>IF(A406="","",U406-SUM(V406,X406:Z406))</x:f>
      </x:c>
      <x:c r="AB406" s="39" t="str">
        <x:f>IF(A406="","",IF(N406="SETUP",IFERROR(INDEX('04_KE_HOACH_CD'!$K$6:$K$305,MATCH(K406,'04_KE_HOACH_CD'!$G$6:$G$305,0)),0),IF(OR(N406="PRODUCTION",N406="REWORK"),IFERROR(INDEX('04_KE_HOACH_CD'!$L$6:$L$305,MATCH(K406,'04_KE_HOACH_CD'!$G$6:$G$305,0))*V406,0),0)))</x:f>
      </x:c>
      <x:c r="AC406" s="39" t="str">
        <x:f>IF(A406="","",MAX(0,(P406-O406)*1440-Q406))</x:f>
      </x:c>
      <x:c r="AD406" s="37" t="str">
        <x:f>IF(A406="","",IFERROR(AB406/AC406,0))</x:f>
      </x:c>
      <x:c r="AE406" s="33" t="str">
        <x:f>IF(A406="","",AC406/60*SUMIF(DM_NHAN_SU!$A$6:$A$105,L406,DM_NHAN_SU!$E$6:$E$105))</x:f>
      </x:c>
      <x:c r="AF406" s="33" t="str">
        <x:f>IF(A406="","",AC406/60*SUMIF(DM_MAY!$A$6:$A$105,M406,DM_MAY!$F$6:$F$105))</x:f>
      </x:c>
      <x:c r="AG406" s="33" t="str">
        <x:f>IF(A406="","",AE406+AF406)</x:f>
      </x:c>
      <x:c r="AH406" s="21"/>
      <x:c r="AI406" s="29" t="str">
        <x:f>IF(A406="","",IF(OR(B406="",D406="",E406="",I406="",L406="",N406="",O406="",P406=""),"Thiếu dữ liệu",IF(AND(OR(N406="PRODUCTION",N406="REWORK",N406="SETUP"),M406=""),"Thiếu máy",IF(P406&lt;O406,"Sai thời gian",IF(AA406&lt;&gt;0,"Sai cân đối SL","Hợp lệ")))))</x:f>
      </x:c>
      <x:c r="AJ406" s="21"/>
    </x:row>
    <x:row r="407">
      <x:c r="A407" s="21"/>
      <x:c r="B407" s="35"/>
      <x:c r="C407" s="21"/>
      <x:c r="D407" s="21"/>
      <x:c r="E407" s="21"/>
      <x:c r="F407" s="21"/>
      <x:c r="G407" s="21"/>
      <x:c r="H407" s="29" t="str">
        <x:f>IF(OR(D407="",E407=""),"",D407&amp;"|"&amp;E407&amp;"|"&amp;IF(F407="","00",F407)&amp;"|"&amp;IF(G407="","01",G407))</x:f>
      </x:c>
      <x:c r="I407" s="21"/>
      <x:c r="J407" s="29" t="str">
        <x:f>IF(K407="","",IFERROR(INDEX('04_KE_HOACH_CD'!$I$6:$I$305,MATCH(K407,'04_KE_HOACH_CD'!$G$6:$G$305,0)),""))</x:f>
      </x:c>
      <x:c r="K407" s="29" t="str">
        <x:f>IF(OR(H407="",I407=""),"",H407&amp;"|"&amp;TEXT(I407,"000"))</x:f>
      </x:c>
      <x:c r="L407" s="21"/>
      <x:c r="M407" s="21"/>
      <x:c r="N407" s="21"/>
      <x:c r="O407" s="43"/>
      <x:c r="P407" s="43"/>
      <x:c r="Q407" s="25"/>
      <x:c r="R407" s="25"/>
      <x:c r="S407" s="39" t="str">
        <x:f>IF(A407="","",SUMIF('07_DUNG_CHO'!$B$6:$B$505,A407,'07_DUNG_CHO'!$E$6:$E$505))</x:f>
      </x:c>
      <x:c r="T407" s="39" t="str">
        <x:f>IF(A407="","",IF(N407="SETUP",0,MAX(0,(P407-O407)*1440-Q407-S407)))</x:f>
      </x:c>
      <x:c r="U407" s="25"/>
      <x:c r="V407" s="25"/>
      <x:c r="W407" s="25"/>
      <x:c r="X407" s="25"/>
      <x:c r="Y407" s="25"/>
      <x:c r="Z407" s="25"/>
      <x:c r="AA407" s="39" t="str">
        <x:f>IF(A407="","",U407-SUM(V407,X407:Z407))</x:f>
      </x:c>
      <x:c r="AB407" s="39" t="str">
        <x:f>IF(A407="","",IF(N407="SETUP",IFERROR(INDEX('04_KE_HOACH_CD'!$K$6:$K$305,MATCH(K407,'04_KE_HOACH_CD'!$G$6:$G$305,0)),0),IF(OR(N407="PRODUCTION",N407="REWORK"),IFERROR(INDEX('04_KE_HOACH_CD'!$L$6:$L$305,MATCH(K407,'04_KE_HOACH_CD'!$G$6:$G$305,0))*V407,0),0)))</x:f>
      </x:c>
      <x:c r="AC407" s="39" t="str">
        <x:f>IF(A407="","",MAX(0,(P407-O407)*1440-Q407))</x:f>
      </x:c>
      <x:c r="AD407" s="37" t="str">
        <x:f>IF(A407="","",IFERROR(AB407/AC407,0))</x:f>
      </x:c>
      <x:c r="AE407" s="33" t="str">
        <x:f>IF(A407="","",AC407/60*SUMIF(DM_NHAN_SU!$A$6:$A$105,L407,DM_NHAN_SU!$E$6:$E$105))</x:f>
      </x:c>
      <x:c r="AF407" s="33" t="str">
        <x:f>IF(A407="","",AC407/60*SUMIF(DM_MAY!$A$6:$A$105,M407,DM_MAY!$F$6:$F$105))</x:f>
      </x:c>
      <x:c r="AG407" s="33" t="str">
        <x:f>IF(A407="","",AE407+AF407)</x:f>
      </x:c>
      <x:c r="AH407" s="21"/>
      <x:c r="AI407" s="29" t="str">
        <x:f>IF(A407="","",IF(OR(B407="",D407="",E407="",I407="",L407="",N407="",O407="",P407=""),"Thiếu dữ liệu",IF(AND(OR(N407="PRODUCTION",N407="REWORK",N407="SETUP"),M407=""),"Thiếu máy",IF(P407&lt;O407,"Sai thời gian",IF(AA407&lt;&gt;0,"Sai cân đối SL","Hợp lệ")))))</x:f>
      </x:c>
      <x:c r="AJ407" s="21"/>
    </x:row>
    <x:row r="408">
      <x:c r="A408" s="21"/>
      <x:c r="B408" s="35"/>
      <x:c r="C408" s="21"/>
      <x:c r="D408" s="21"/>
      <x:c r="E408" s="21"/>
      <x:c r="F408" s="21"/>
      <x:c r="G408" s="21"/>
      <x:c r="H408" s="29" t="str">
        <x:f>IF(OR(D408="",E408=""),"",D408&amp;"|"&amp;E408&amp;"|"&amp;IF(F408="","00",F408)&amp;"|"&amp;IF(G408="","01",G408))</x:f>
      </x:c>
      <x:c r="I408" s="21"/>
      <x:c r="J408" s="29" t="str">
        <x:f>IF(K408="","",IFERROR(INDEX('04_KE_HOACH_CD'!$I$6:$I$305,MATCH(K408,'04_KE_HOACH_CD'!$G$6:$G$305,0)),""))</x:f>
      </x:c>
      <x:c r="K408" s="29" t="str">
        <x:f>IF(OR(H408="",I408=""),"",H408&amp;"|"&amp;TEXT(I408,"000"))</x:f>
      </x:c>
      <x:c r="L408" s="21"/>
      <x:c r="M408" s="21"/>
      <x:c r="N408" s="21"/>
      <x:c r="O408" s="43"/>
      <x:c r="P408" s="43"/>
      <x:c r="Q408" s="25"/>
      <x:c r="R408" s="25"/>
      <x:c r="S408" s="39" t="str">
        <x:f>IF(A408="","",SUMIF('07_DUNG_CHO'!$B$6:$B$505,A408,'07_DUNG_CHO'!$E$6:$E$505))</x:f>
      </x:c>
      <x:c r="T408" s="39" t="str">
        <x:f>IF(A408="","",IF(N408="SETUP",0,MAX(0,(P408-O408)*1440-Q408-S408)))</x:f>
      </x:c>
      <x:c r="U408" s="25"/>
      <x:c r="V408" s="25"/>
      <x:c r="W408" s="25"/>
      <x:c r="X408" s="25"/>
      <x:c r="Y408" s="25"/>
      <x:c r="Z408" s="25"/>
      <x:c r="AA408" s="39" t="str">
        <x:f>IF(A408="","",U408-SUM(V408,X408:Z408))</x:f>
      </x:c>
      <x:c r="AB408" s="39" t="str">
        <x:f>IF(A408="","",IF(N408="SETUP",IFERROR(INDEX('04_KE_HOACH_CD'!$K$6:$K$305,MATCH(K408,'04_KE_HOACH_CD'!$G$6:$G$305,0)),0),IF(OR(N408="PRODUCTION",N408="REWORK"),IFERROR(INDEX('04_KE_HOACH_CD'!$L$6:$L$305,MATCH(K408,'04_KE_HOACH_CD'!$G$6:$G$305,0))*V408,0),0)))</x:f>
      </x:c>
      <x:c r="AC408" s="39" t="str">
        <x:f>IF(A408="","",MAX(0,(P408-O408)*1440-Q408))</x:f>
      </x:c>
      <x:c r="AD408" s="37" t="str">
        <x:f>IF(A408="","",IFERROR(AB408/AC408,0))</x:f>
      </x:c>
      <x:c r="AE408" s="33" t="str">
        <x:f>IF(A408="","",AC408/60*SUMIF(DM_NHAN_SU!$A$6:$A$105,L408,DM_NHAN_SU!$E$6:$E$105))</x:f>
      </x:c>
      <x:c r="AF408" s="33" t="str">
        <x:f>IF(A408="","",AC408/60*SUMIF(DM_MAY!$A$6:$A$105,M408,DM_MAY!$F$6:$F$105))</x:f>
      </x:c>
      <x:c r="AG408" s="33" t="str">
        <x:f>IF(A408="","",AE408+AF408)</x:f>
      </x:c>
      <x:c r="AH408" s="21"/>
      <x:c r="AI408" s="29" t="str">
        <x:f>IF(A408="","",IF(OR(B408="",D408="",E408="",I408="",L408="",N408="",O408="",P408=""),"Thiếu dữ liệu",IF(AND(OR(N408="PRODUCTION",N408="REWORK",N408="SETUP"),M408=""),"Thiếu máy",IF(P408&lt;O408,"Sai thời gian",IF(AA408&lt;&gt;0,"Sai cân đối SL","Hợp lệ")))))</x:f>
      </x:c>
      <x:c r="AJ408" s="21"/>
    </x:row>
    <x:row r="409">
      <x:c r="A409" s="21"/>
      <x:c r="B409" s="35"/>
      <x:c r="C409" s="21"/>
      <x:c r="D409" s="21"/>
      <x:c r="E409" s="21"/>
      <x:c r="F409" s="21"/>
      <x:c r="G409" s="21"/>
      <x:c r="H409" s="29" t="str">
        <x:f>IF(OR(D409="",E409=""),"",D409&amp;"|"&amp;E409&amp;"|"&amp;IF(F409="","00",F409)&amp;"|"&amp;IF(G409="","01",G409))</x:f>
      </x:c>
      <x:c r="I409" s="21"/>
      <x:c r="J409" s="29" t="str">
        <x:f>IF(K409="","",IFERROR(INDEX('04_KE_HOACH_CD'!$I$6:$I$305,MATCH(K409,'04_KE_HOACH_CD'!$G$6:$G$305,0)),""))</x:f>
      </x:c>
      <x:c r="K409" s="29" t="str">
        <x:f>IF(OR(H409="",I409=""),"",H409&amp;"|"&amp;TEXT(I409,"000"))</x:f>
      </x:c>
      <x:c r="L409" s="21"/>
      <x:c r="M409" s="21"/>
      <x:c r="N409" s="21"/>
      <x:c r="O409" s="43"/>
      <x:c r="P409" s="43"/>
      <x:c r="Q409" s="25"/>
      <x:c r="R409" s="25"/>
      <x:c r="S409" s="39" t="str">
        <x:f>IF(A409="","",SUMIF('07_DUNG_CHO'!$B$6:$B$505,A409,'07_DUNG_CHO'!$E$6:$E$505))</x:f>
      </x:c>
      <x:c r="T409" s="39" t="str">
        <x:f>IF(A409="","",IF(N409="SETUP",0,MAX(0,(P409-O409)*1440-Q409-S409)))</x:f>
      </x:c>
      <x:c r="U409" s="25"/>
      <x:c r="V409" s="25"/>
      <x:c r="W409" s="25"/>
      <x:c r="X409" s="25"/>
      <x:c r="Y409" s="25"/>
      <x:c r="Z409" s="25"/>
      <x:c r="AA409" s="39" t="str">
        <x:f>IF(A409="","",U409-SUM(V409,X409:Z409))</x:f>
      </x:c>
      <x:c r="AB409" s="39" t="str">
        <x:f>IF(A409="","",IF(N409="SETUP",IFERROR(INDEX('04_KE_HOACH_CD'!$K$6:$K$305,MATCH(K409,'04_KE_HOACH_CD'!$G$6:$G$305,0)),0),IF(OR(N409="PRODUCTION",N409="REWORK"),IFERROR(INDEX('04_KE_HOACH_CD'!$L$6:$L$305,MATCH(K409,'04_KE_HOACH_CD'!$G$6:$G$305,0))*V409,0),0)))</x:f>
      </x:c>
      <x:c r="AC409" s="39" t="str">
        <x:f>IF(A409="","",MAX(0,(P409-O409)*1440-Q409))</x:f>
      </x:c>
      <x:c r="AD409" s="37" t="str">
        <x:f>IF(A409="","",IFERROR(AB409/AC409,0))</x:f>
      </x:c>
      <x:c r="AE409" s="33" t="str">
        <x:f>IF(A409="","",AC409/60*SUMIF(DM_NHAN_SU!$A$6:$A$105,L409,DM_NHAN_SU!$E$6:$E$105))</x:f>
      </x:c>
      <x:c r="AF409" s="33" t="str">
        <x:f>IF(A409="","",AC409/60*SUMIF(DM_MAY!$A$6:$A$105,M409,DM_MAY!$F$6:$F$105))</x:f>
      </x:c>
      <x:c r="AG409" s="33" t="str">
        <x:f>IF(A409="","",AE409+AF409)</x:f>
      </x:c>
      <x:c r="AH409" s="21"/>
      <x:c r="AI409" s="29" t="str">
        <x:f>IF(A409="","",IF(OR(B409="",D409="",E409="",I409="",L409="",N409="",O409="",P409=""),"Thiếu dữ liệu",IF(AND(OR(N409="PRODUCTION",N409="REWORK",N409="SETUP"),M409=""),"Thiếu máy",IF(P409&lt;O409,"Sai thời gian",IF(AA409&lt;&gt;0,"Sai cân đối SL","Hợp lệ")))))</x:f>
      </x:c>
      <x:c r="AJ409" s="21"/>
    </x:row>
    <x:row r="410">
      <x:c r="A410" s="21"/>
      <x:c r="B410" s="35"/>
      <x:c r="C410" s="21"/>
      <x:c r="D410" s="21"/>
      <x:c r="E410" s="21"/>
      <x:c r="F410" s="21"/>
      <x:c r="G410" s="21"/>
      <x:c r="H410" s="29" t="str">
        <x:f>IF(OR(D410="",E410=""),"",D410&amp;"|"&amp;E410&amp;"|"&amp;IF(F410="","00",F410)&amp;"|"&amp;IF(G410="","01",G410))</x:f>
      </x:c>
      <x:c r="I410" s="21"/>
      <x:c r="J410" s="29" t="str">
        <x:f>IF(K410="","",IFERROR(INDEX('04_KE_HOACH_CD'!$I$6:$I$305,MATCH(K410,'04_KE_HOACH_CD'!$G$6:$G$305,0)),""))</x:f>
      </x:c>
      <x:c r="K410" s="29" t="str">
        <x:f>IF(OR(H410="",I410=""),"",H410&amp;"|"&amp;TEXT(I410,"000"))</x:f>
      </x:c>
      <x:c r="L410" s="21"/>
      <x:c r="M410" s="21"/>
      <x:c r="N410" s="21"/>
      <x:c r="O410" s="43"/>
      <x:c r="P410" s="43"/>
      <x:c r="Q410" s="25"/>
      <x:c r="R410" s="25"/>
      <x:c r="S410" s="39" t="str">
        <x:f>IF(A410="","",SUMIF('07_DUNG_CHO'!$B$6:$B$505,A410,'07_DUNG_CHO'!$E$6:$E$505))</x:f>
      </x:c>
      <x:c r="T410" s="39" t="str">
        <x:f>IF(A410="","",IF(N410="SETUP",0,MAX(0,(P410-O410)*1440-Q410-S410)))</x:f>
      </x:c>
      <x:c r="U410" s="25"/>
      <x:c r="V410" s="25"/>
      <x:c r="W410" s="25"/>
      <x:c r="X410" s="25"/>
      <x:c r="Y410" s="25"/>
      <x:c r="Z410" s="25"/>
      <x:c r="AA410" s="39" t="str">
        <x:f>IF(A410="","",U410-SUM(V410,X410:Z410))</x:f>
      </x:c>
      <x:c r="AB410" s="39" t="str">
        <x:f>IF(A410="","",IF(N410="SETUP",IFERROR(INDEX('04_KE_HOACH_CD'!$K$6:$K$305,MATCH(K410,'04_KE_HOACH_CD'!$G$6:$G$305,0)),0),IF(OR(N410="PRODUCTION",N410="REWORK"),IFERROR(INDEX('04_KE_HOACH_CD'!$L$6:$L$305,MATCH(K410,'04_KE_HOACH_CD'!$G$6:$G$305,0))*V410,0),0)))</x:f>
      </x:c>
      <x:c r="AC410" s="39" t="str">
        <x:f>IF(A410="","",MAX(0,(P410-O410)*1440-Q410))</x:f>
      </x:c>
      <x:c r="AD410" s="37" t="str">
        <x:f>IF(A410="","",IFERROR(AB410/AC410,0))</x:f>
      </x:c>
      <x:c r="AE410" s="33" t="str">
        <x:f>IF(A410="","",AC410/60*SUMIF(DM_NHAN_SU!$A$6:$A$105,L410,DM_NHAN_SU!$E$6:$E$105))</x:f>
      </x:c>
      <x:c r="AF410" s="33" t="str">
        <x:f>IF(A410="","",AC410/60*SUMIF(DM_MAY!$A$6:$A$105,M410,DM_MAY!$F$6:$F$105))</x:f>
      </x:c>
      <x:c r="AG410" s="33" t="str">
        <x:f>IF(A410="","",AE410+AF410)</x:f>
      </x:c>
      <x:c r="AH410" s="21"/>
      <x:c r="AI410" s="29" t="str">
        <x:f>IF(A410="","",IF(OR(B410="",D410="",E410="",I410="",L410="",N410="",O410="",P410=""),"Thiếu dữ liệu",IF(AND(OR(N410="PRODUCTION",N410="REWORK",N410="SETUP"),M410=""),"Thiếu máy",IF(P410&lt;O410,"Sai thời gian",IF(AA410&lt;&gt;0,"Sai cân đối SL","Hợp lệ")))))</x:f>
      </x:c>
      <x:c r="AJ410" s="21"/>
    </x:row>
    <x:row r="411">
      <x:c r="A411" s="21"/>
      <x:c r="B411" s="35"/>
      <x:c r="C411" s="21"/>
      <x:c r="D411" s="21"/>
      <x:c r="E411" s="21"/>
      <x:c r="F411" s="21"/>
      <x:c r="G411" s="21"/>
      <x:c r="H411" s="29" t="str">
        <x:f>IF(OR(D411="",E411=""),"",D411&amp;"|"&amp;E411&amp;"|"&amp;IF(F411="","00",F411)&amp;"|"&amp;IF(G411="","01",G411))</x:f>
      </x:c>
      <x:c r="I411" s="21"/>
      <x:c r="J411" s="29" t="str">
        <x:f>IF(K411="","",IFERROR(INDEX('04_KE_HOACH_CD'!$I$6:$I$305,MATCH(K411,'04_KE_HOACH_CD'!$G$6:$G$305,0)),""))</x:f>
      </x:c>
      <x:c r="K411" s="29" t="str">
        <x:f>IF(OR(H411="",I411=""),"",H411&amp;"|"&amp;TEXT(I411,"000"))</x:f>
      </x:c>
      <x:c r="L411" s="21"/>
      <x:c r="M411" s="21"/>
      <x:c r="N411" s="21"/>
      <x:c r="O411" s="43"/>
      <x:c r="P411" s="43"/>
      <x:c r="Q411" s="25"/>
      <x:c r="R411" s="25"/>
      <x:c r="S411" s="39" t="str">
        <x:f>IF(A411="","",SUMIF('07_DUNG_CHO'!$B$6:$B$505,A411,'07_DUNG_CHO'!$E$6:$E$505))</x:f>
      </x:c>
      <x:c r="T411" s="39" t="str">
        <x:f>IF(A411="","",IF(N411="SETUP",0,MAX(0,(P411-O411)*1440-Q411-S411)))</x:f>
      </x:c>
      <x:c r="U411" s="25"/>
      <x:c r="V411" s="25"/>
      <x:c r="W411" s="25"/>
      <x:c r="X411" s="25"/>
      <x:c r="Y411" s="25"/>
      <x:c r="Z411" s="25"/>
      <x:c r="AA411" s="39" t="str">
        <x:f>IF(A411="","",U411-SUM(V411,X411:Z411))</x:f>
      </x:c>
      <x:c r="AB411" s="39" t="str">
        <x:f>IF(A411="","",IF(N411="SETUP",IFERROR(INDEX('04_KE_HOACH_CD'!$K$6:$K$305,MATCH(K411,'04_KE_HOACH_CD'!$G$6:$G$305,0)),0),IF(OR(N411="PRODUCTION",N411="REWORK"),IFERROR(INDEX('04_KE_HOACH_CD'!$L$6:$L$305,MATCH(K411,'04_KE_HOACH_CD'!$G$6:$G$305,0))*V411,0),0)))</x:f>
      </x:c>
      <x:c r="AC411" s="39" t="str">
        <x:f>IF(A411="","",MAX(0,(P411-O411)*1440-Q411))</x:f>
      </x:c>
      <x:c r="AD411" s="37" t="str">
        <x:f>IF(A411="","",IFERROR(AB411/AC411,0))</x:f>
      </x:c>
      <x:c r="AE411" s="33" t="str">
        <x:f>IF(A411="","",AC411/60*SUMIF(DM_NHAN_SU!$A$6:$A$105,L411,DM_NHAN_SU!$E$6:$E$105))</x:f>
      </x:c>
      <x:c r="AF411" s="33" t="str">
        <x:f>IF(A411="","",AC411/60*SUMIF(DM_MAY!$A$6:$A$105,M411,DM_MAY!$F$6:$F$105))</x:f>
      </x:c>
      <x:c r="AG411" s="33" t="str">
        <x:f>IF(A411="","",AE411+AF411)</x:f>
      </x:c>
      <x:c r="AH411" s="21"/>
      <x:c r="AI411" s="29" t="str">
        <x:f>IF(A411="","",IF(OR(B411="",D411="",E411="",I411="",L411="",N411="",O411="",P411=""),"Thiếu dữ liệu",IF(AND(OR(N411="PRODUCTION",N411="REWORK",N411="SETUP"),M411=""),"Thiếu máy",IF(P411&lt;O411,"Sai thời gian",IF(AA411&lt;&gt;0,"Sai cân đối SL","Hợp lệ")))))</x:f>
      </x:c>
      <x:c r="AJ411" s="21"/>
    </x:row>
    <x:row r="412">
      <x:c r="A412" s="21"/>
      <x:c r="B412" s="35"/>
      <x:c r="C412" s="21"/>
      <x:c r="D412" s="21"/>
      <x:c r="E412" s="21"/>
      <x:c r="F412" s="21"/>
      <x:c r="G412" s="21"/>
      <x:c r="H412" s="29" t="str">
        <x:f>IF(OR(D412="",E412=""),"",D412&amp;"|"&amp;E412&amp;"|"&amp;IF(F412="","00",F412)&amp;"|"&amp;IF(G412="","01",G412))</x:f>
      </x:c>
      <x:c r="I412" s="21"/>
      <x:c r="J412" s="29" t="str">
        <x:f>IF(K412="","",IFERROR(INDEX('04_KE_HOACH_CD'!$I$6:$I$305,MATCH(K412,'04_KE_HOACH_CD'!$G$6:$G$305,0)),""))</x:f>
      </x:c>
      <x:c r="K412" s="29" t="str">
        <x:f>IF(OR(H412="",I412=""),"",H412&amp;"|"&amp;TEXT(I412,"000"))</x:f>
      </x:c>
      <x:c r="L412" s="21"/>
      <x:c r="M412" s="21"/>
      <x:c r="N412" s="21"/>
      <x:c r="O412" s="43"/>
      <x:c r="P412" s="43"/>
      <x:c r="Q412" s="25"/>
      <x:c r="R412" s="25"/>
      <x:c r="S412" s="39" t="str">
        <x:f>IF(A412="","",SUMIF('07_DUNG_CHO'!$B$6:$B$505,A412,'07_DUNG_CHO'!$E$6:$E$505))</x:f>
      </x:c>
      <x:c r="T412" s="39" t="str">
        <x:f>IF(A412="","",IF(N412="SETUP",0,MAX(0,(P412-O412)*1440-Q412-S412)))</x:f>
      </x:c>
      <x:c r="U412" s="25"/>
      <x:c r="V412" s="25"/>
      <x:c r="W412" s="25"/>
      <x:c r="X412" s="25"/>
      <x:c r="Y412" s="25"/>
      <x:c r="Z412" s="25"/>
      <x:c r="AA412" s="39" t="str">
        <x:f>IF(A412="","",U412-SUM(V412,X412:Z412))</x:f>
      </x:c>
      <x:c r="AB412" s="39" t="str">
        <x:f>IF(A412="","",IF(N412="SETUP",IFERROR(INDEX('04_KE_HOACH_CD'!$K$6:$K$305,MATCH(K412,'04_KE_HOACH_CD'!$G$6:$G$305,0)),0),IF(OR(N412="PRODUCTION",N412="REWORK"),IFERROR(INDEX('04_KE_HOACH_CD'!$L$6:$L$305,MATCH(K412,'04_KE_HOACH_CD'!$G$6:$G$305,0))*V412,0),0)))</x:f>
      </x:c>
      <x:c r="AC412" s="39" t="str">
        <x:f>IF(A412="","",MAX(0,(P412-O412)*1440-Q412))</x:f>
      </x:c>
      <x:c r="AD412" s="37" t="str">
        <x:f>IF(A412="","",IFERROR(AB412/AC412,0))</x:f>
      </x:c>
      <x:c r="AE412" s="33" t="str">
        <x:f>IF(A412="","",AC412/60*SUMIF(DM_NHAN_SU!$A$6:$A$105,L412,DM_NHAN_SU!$E$6:$E$105))</x:f>
      </x:c>
      <x:c r="AF412" s="33" t="str">
        <x:f>IF(A412="","",AC412/60*SUMIF(DM_MAY!$A$6:$A$105,M412,DM_MAY!$F$6:$F$105))</x:f>
      </x:c>
      <x:c r="AG412" s="33" t="str">
        <x:f>IF(A412="","",AE412+AF412)</x:f>
      </x:c>
      <x:c r="AH412" s="21"/>
      <x:c r="AI412" s="29" t="str">
        <x:f>IF(A412="","",IF(OR(B412="",D412="",E412="",I412="",L412="",N412="",O412="",P412=""),"Thiếu dữ liệu",IF(AND(OR(N412="PRODUCTION",N412="REWORK",N412="SETUP"),M412=""),"Thiếu máy",IF(P412&lt;O412,"Sai thời gian",IF(AA412&lt;&gt;0,"Sai cân đối SL","Hợp lệ")))))</x:f>
      </x:c>
      <x:c r="AJ412" s="21"/>
    </x:row>
    <x:row r="413">
      <x:c r="A413" s="21"/>
      <x:c r="B413" s="35"/>
      <x:c r="C413" s="21"/>
      <x:c r="D413" s="21"/>
      <x:c r="E413" s="21"/>
      <x:c r="F413" s="21"/>
      <x:c r="G413" s="21"/>
      <x:c r="H413" s="29" t="str">
        <x:f>IF(OR(D413="",E413=""),"",D413&amp;"|"&amp;E413&amp;"|"&amp;IF(F413="","00",F413)&amp;"|"&amp;IF(G413="","01",G413))</x:f>
      </x:c>
      <x:c r="I413" s="21"/>
      <x:c r="J413" s="29" t="str">
        <x:f>IF(K413="","",IFERROR(INDEX('04_KE_HOACH_CD'!$I$6:$I$305,MATCH(K413,'04_KE_HOACH_CD'!$G$6:$G$305,0)),""))</x:f>
      </x:c>
      <x:c r="K413" s="29" t="str">
        <x:f>IF(OR(H413="",I413=""),"",H413&amp;"|"&amp;TEXT(I413,"000"))</x:f>
      </x:c>
      <x:c r="L413" s="21"/>
      <x:c r="M413" s="21"/>
      <x:c r="N413" s="21"/>
      <x:c r="O413" s="43"/>
      <x:c r="P413" s="43"/>
      <x:c r="Q413" s="25"/>
      <x:c r="R413" s="25"/>
      <x:c r="S413" s="39" t="str">
        <x:f>IF(A413="","",SUMIF('07_DUNG_CHO'!$B$6:$B$505,A413,'07_DUNG_CHO'!$E$6:$E$505))</x:f>
      </x:c>
      <x:c r="T413" s="39" t="str">
        <x:f>IF(A413="","",IF(N413="SETUP",0,MAX(0,(P413-O413)*1440-Q413-S413)))</x:f>
      </x:c>
      <x:c r="U413" s="25"/>
      <x:c r="V413" s="25"/>
      <x:c r="W413" s="25"/>
      <x:c r="X413" s="25"/>
      <x:c r="Y413" s="25"/>
      <x:c r="Z413" s="25"/>
      <x:c r="AA413" s="39" t="str">
        <x:f>IF(A413="","",U413-SUM(V413,X413:Z413))</x:f>
      </x:c>
      <x:c r="AB413" s="39" t="str">
        <x:f>IF(A413="","",IF(N413="SETUP",IFERROR(INDEX('04_KE_HOACH_CD'!$K$6:$K$305,MATCH(K413,'04_KE_HOACH_CD'!$G$6:$G$305,0)),0),IF(OR(N413="PRODUCTION",N413="REWORK"),IFERROR(INDEX('04_KE_HOACH_CD'!$L$6:$L$305,MATCH(K413,'04_KE_HOACH_CD'!$G$6:$G$305,0))*V413,0),0)))</x:f>
      </x:c>
      <x:c r="AC413" s="39" t="str">
        <x:f>IF(A413="","",MAX(0,(P413-O413)*1440-Q413))</x:f>
      </x:c>
      <x:c r="AD413" s="37" t="str">
        <x:f>IF(A413="","",IFERROR(AB413/AC413,0))</x:f>
      </x:c>
      <x:c r="AE413" s="33" t="str">
        <x:f>IF(A413="","",AC413/60*SUMIF(DM_NHAN_SU!$A$6:$A$105,L413,DM_NHAN_SU!$E$6:$E$105))</x:f>
      </x:c>
      <x:c r="AF413" s="33" t="str">
        <x:f>IF(A413="","",AC413/60*SUMIF(DM_MAY!$A$6:$A$105,M413,DM_MAY!$F$6:$F$105))</x:f>
      </x:c>
      <x:c r="AG413" s="33" t="str">
        <x:f>IF(A413="","",AE413+AF413)</x:f>
      </x:c>
      <x:c r="AH413" s="21"/>
      <x:c r="AI413" s="29" t="str">
        <x:f>IF(A413="","",IF(OR(B413="",D413="",E413="",I413="",L413="",N413="",O413="",P413=""),"Thiếu dữ liệu",IF(AND(OR(N413="PRODUCTION",N413="REWORK",N413="SETUP"),M413=""),"Thiếu máy",IF(P413&lt;O413,"Sai thời gian",IF(AA413&lt;&gt;0,"Sai cân đối SL","Hợp lệ")))))</x:f>
      </x:c>
      <x:c r="AJ413" s="21"/>
    </x:row>
    <x:row r="414">
      <x:c r="A414" s="21"/>
      <x:c r="B414" s="35"/>
      <x:c r="C414" s="21"/>
      <x:c r="D414" s="21"/>
      <x:c r="E414" s="21"/>
      <x:c r="F414" s="21"/>
      <x:c r="G414" s="21"/>
      <x:c r="H414" s="29" t="str">
        <x:f>IF(OR(D414="",E414=""),"",D414&amp;"|"&amp;E414&amp;"|"&amp;IF(F414="","00",F414)&amp;"|"&amp;IF(G414="","01",G414))</x:f>
      </x:c>
      <x:c r="I414" s="21"/>
      <x:c r="J414" s="29" t="str">
        <x:f>IF(K414="","",IFERROR(INDEX('04_KE_HOACH_CD'!$I$6:$I$305,MATCH(K414,'04_KE_HOACH_CD'!$G$6:$G$305,0)),""))</x:f>
      </x:c>
      <x:c r="K414" s="29" t="str">
        <x:f>IF(OR(H414="",I414=""),"",H414&amp;"|"&amp;TEXT(I414,"000"))</x:f>
      </x:c>
      <x:c r="L414" s="21"/>
      <x:c r="M414" s="21"/>
      <x:c r="N414" s="21"/>
      <x:c r="O414" s="43"/>
      <x:c r="P414" s="43"/>
      <x:c r="Q414" s="25"/>
      <x:c r="R414" s="25"/>
      <x:c r="S414" s="39" t="str">
        <x:f>IF(A414="","",SUMIF('07_DUNG_CHO'!$B$6:$B$505,A414,'07_DUNG_CHO'!$E$6:$E$505))</x:f>
      </x:c>
      <x:c r="T414" s="39" t="str">
        <x:f>IF(A414="","",IF(N414="SETUP",0,MAX(0,(P414-O414)*1440-Q414-S414)))</x:f>
      </x:c>
      <x:c r="U414" s="25"/>
      <x:c r="V414" s="25"/>
      <x:c r="W414" s="25"/>
      <x:c r="X414" s="25"/>
      <x:c r="Y414" s="25"/>
      <x:c r="Z414" s="25"/>
      <x:c r="AA414" s="39" t="str">
        <x:f>IF(A414="","",U414-SUM(V414,X414:Z414))</x:f>
      </x:c>
      <x:c r="AB414" s="39" t="str">
        <x:f>IF(A414="","",IF(N414="SETUP",IFERROR(INDEX('04_KE_HOACH_CD'!$K$6:$K$305,MATCH(K414,'04_KE_HOACH_CD'!$G$6:$G$305,0)),0),IF(OR(N414="PRODUCTION",N414="REWORK"),IFERROR(INDEX('04_KE_HOACH_CD'!$L$6:$L$305,MATCH(K414,'04_KE_HOACH_CD'!$G$6:$G$305,0))*V414,0),0)))</x:f>
      </x:c>
      <x:c r="AC414" s="39" t="str">
        <x:f>IF(A414="","",MAX(0,(P414-O414)*1440-Q414))</x:f>
      </x:c>
      <x:c r="AD414" s="37" t="str">
        <x:f>IF(A414="","",IFERROR(AB414/AC414,0))</x:f>
      </x:c>
      <x:c r="AE414" s="33" t="str">
        <x:f>IF(A414="","",AC414/60*SUMIF(DM_NHAN_SU!$A$6:$A$105,L414,DM_NHAN_SU!$E$6:$E$105))</x:f>
      </x:c>
      <x:c r="AF414" s="33" t="str">
        <x:f>IF(A414="","",AC414/60*SUMIF(DM_MAY!$A$6:$A$105,M414,DM_MAY!$F$6:$F$105))</x:f>
      </x:c>
      <x:c r="AG414" s="33" t="str">
        <x:f>IF(A414="","",AE414+AF414)</x:f>
      </x:c>
      <x:c r="AH414" s="21"/>
      <x:c r="AI414" s="29" t="str">
        <x:f>IF(A414="","",IF(OR(B414="",D414="",E414="",I414="",L414="",N414="",O414="",P414=""),"Thiếu dữ liệu",IF(AND(OR(N414="PRODUCTION",N414="REWORK",N414="SETUP"),M414=""),"Thiếu máy",IF(P414&lt;O414,"Sai thời gian",IF(AA414&lt;&gt;0,"Sai cân đối SL","Hợp lệ")))))</x:f>
      </x:c>
      <x:c r="AJ414" s="21"/>
    </x:row>
    <x:row r="415">
      <x:c r="A415" s="21"/>
      <x:c r="B415" s="35"/>
      <x:c r="C415" s="21"/>
      <x:c r="D415" s="21"/>
      <x:c r="E415" s="21"/>
      <x:c r="F415" s="21"/>
      <x:c r="G415" s="21"/>
      <x:c r="H415" s="29" t="str">
        <x:f>IF(OR(D415="",E415=""),"",D415&amp;"|"&amp;E415&amp;"|"&amp;IF(F415="","00",F415)&amp;"|"&amp;IF(G415="","01",G415))</x:f>
      </x:c>
      <x:c r="I415" s="21"/>
      <x:c r="J415" s="29" t="str">
        <x:f>IF(K415="","",IFERROR(INDEX('04_KE_HOACH_CD'!$I$6:$I$305,MATCH(K415,'04_KE_HOACH_CD'!$G$6:$G$305,0)),""))</x:f>
      </x:c>
      <x:c r="K415" s="29" t="str">
        <x:f>IF(OR(H415="",I415=""),"",H415&amp;"|"&amp;TEXT(I415,"000"))</x:f>
      </x:c>
      <x:c r="L415" s="21"/>
      <x:c r="M415" s="21"/>
      <x:c r="N415" s="21"/>
      <x:c r="O415" s="43"/>
      <x:c r="P415" s="43"/>
      <x:c r="Q415" s="25"/>
      <x:c r="R415" s="25"/>
      <x:c r="S415" s="39" t="str">
        <x:f>IF(A415="","",SUMIF('07_DUNG_CHO'!$B$6:$B$505,A415,'07_DUNG_CHO'!$E$6:$E$505))</x:f>
      </x:c>
      <x:c r="T415" s="39" t="str">
        <x:f>IF(A415="","",IF(N415="SETUP",0,MAX(0,(P415-O415)*1440-Q415-S415)))</x:f>
      </x:c>
      <x:c r="U415" s="25"/>
      <x:c r="V415" s="25"/>
      <x:c r="W415" s="25"/>
      <x:c r="X415" s="25"/>
      <x:c r="Y415" s="25"/>
      <x:c r="Z415" s="25"/>
      <x:c r="AA415" s="39" t="str">
        <x:f>IF(A415="","",U415-SUM(V415,X415:Z415))</x:f>
      </x:c>
      <x:c r="AB415" s="39" t="str">
        <x:f>IF(A415="","",IF(N415="SETUP",IFERROR(INDEX('04_KE_HOACH_CD'!$K$6:$K$305,MATCH(K415,'04_KE_HOACH_CD'!$G$6:$G$305,0)),0),IF(OR(N415="PRODUCTION",N415="REWORK"),IFERROR(INDEX('04_KE_HOACH_CD'!$L$6:$L$305,MATCH(K415,'04_KE_HOACH_CD'!$G$6:$G$305,0))*V415,0),0)))</x:f>
      </x:c>
      <x:c r="AC415" s="39" t="str">
        <x:f>IF(A415="","",MAX(0,(P415-O415)*1440-Q415))</x:f>
      </x:c>
      <x:c r="AD415" s="37" t="str">
        <x:f>IF(A415="","",IFERROR(AB415/AC415,0))</x:f>
      </x:c>
      <x:c r="AE415" s="33" t="str">
        <x:f>IF(A415="","",AC415/60*SUMIF(DM_NHAN_SU!$A$6:$A$105,L415,DM_NHAN_SU!$E$6:$E$105))</x:f>
      </x:c>
      <x:c r="AF415" s="33" t="str">
        <x:f>IF(A415="","",AC415/60*SUMIF(DM_MAY!$A$6:$A$105,M415,DM_MAY!$F$6:$F$105))</x:f>
      </x:c>
      <x:c r="AG415" s="33" t="str">
        <x:f>IF(A415="","",AE415+AF415)</x:f>
      </x:c>
      <x:c r="AH415" s="21"/>
      <x:c r="AI415" s="29" t="str">
        <x:f>IF(A415="","",IF(OR(B415="",D415="",E415="",I415="",L415="",N415="",O415="",P415=""),"Thiếu dữ liệu",IF(AND(OR(N415="PRODUCTION",N415="REWORK",N415="SETUP"),M415=""),"Thiếu máy",IF(P415&lt;O415,"Sai thời gian",IF(AA415&lt;&gt;0,"Sai cân đối SL","Hợp lệ")))))</x:f>
      </x:c>
      <x:c r="AJ415" s="21"/>
    </x:row>
    <x:row r="416">
      <x:c r="A416" s="21"/>
      <x:c r="B416" s="35"/>
      <x:c r="C416" s="21"/>
      <x:c r="D416" s="21"/>
      <x:c r="E416" s="21"/>
      <x:c r="F416" s="21"/>
      <x:c r="G416" s="21"/>
      <x:c r="H416" s="29" t="str">
        <x:f>IF(OR(D416="",E416=""),"",D416&amp;"|"&amp;E416&amp;"|"&amp;IF(F416="","00",F416)&amp;"|"&amp;IF(G416="","01",G416))</x:f>
      </x:c>
      <x:c r="I416" s="21"/>
      <x:c r="J416" s="29" t="str">
        <x:f>IF(K416="","",IFERROR(INDEX('04_KE_HOACH_CD'!$I$6:$I$305,MATCH(K416,'04_KE_HOACH_CD'!$G$6:$G$305,0)),""))</x:f>
      </x:c>
      <x:c r="K416" s="29" t="str">
        <x:f>IF(OR(H416="",I416=""),"",H416&amp;"|"&amp;TEXT(I416,"000"))</x:f>
      </x:c>
      <x:c r="L416" s="21"/>
      <x:c r="M416" s="21"/>
      <x:c r="N416" s="21"/>
      <x:c r="O416" s="43"/>
      <x:c r="P416" s="43"/>
      <x:c r="Q416" s="25"/>
      <x:c r="R416" s="25"/>
      <x:c r="S416" s="39" t="str">
        <x:f>IF(A416="","",SUMIF('07_DUNG_CHO'!$B$6:$B$505,A416,'07_DUNG_CHO'!$E$6:$E$505))</x:f>
      </x:c>
      <x:c r="T416" s="39" t="str">
        <x:f>IF(A416="","",IF(N416="SETUP",0,MAX(0,(P416-O416)*1440-Q416-S416)))</x:f>
      </x:c>
      <x:c r="U416" s="25"/>
      <x:c r="V416" s="25"/>
      <x:c r="W416" s="25"/>
      <x:c r="X416" s="25"/>
      <x:c r="Y416" s="25"/>
      <x:c r="Z416" s="25"/>
      <x:c r="AA416" s="39" t="str">
        <x:f>IF(A416="","",U416-SUM(V416,X416:Z416))</x:f>
      </x:c>
      <x:c r="AB416" s="39" t="str">
        <x:f>IF(A416="","",IF(N416="SETUP",IFERROR(INDEX('04_KE_HOACH_CD'!$K$6:$K$305,MATCH(K416,'04_KE_HOACH_CD'!$G$6:$G$305,0)),0),IF(OR(N416="PRODUCTION",N416="REWORK"),IFERROR(INDEX('04_KE_HOACH_CD'!$L$6:$L$305,MATCH(K416,'04_KE_HOACH_CD'!$G$6:$G$305,0))*V416,0),0)))</x:f>
      </x:c>
      <x:c r="AC416" s="39" t="str">
        <x:f>IF(A416="","",MAX(0,(P416-O416)*1440-Q416))</x:f>
      </x:c>
      <x:c r="AD416" s="37" t="str">
        <x:f>IF(A416="","",IFERROR(AB416/AC416,0))</x:f>
      </x:c>
      <x:c r="AE416" s="33" t="str">
        <x:f>IF(A416="","",AC416/60*SUMIF(DM_NHAN_SU!$A$6:$A$105,L416,DM_NHAN_SU!$E$6:$E$105))</x:f>
      </x:c>
      <x:c r="AF416" s="33" t="str">
        <x:f>IF(A416="","",AC416/60*SUMIF(DM_MAY!$A$6:$A$105,M416,DM_MAY!$F$6:$F$105))</x:f>
      </x:c>
      <x:c r="AG416" s="33" t="str">
        <x:f>IF(A416="","",AE416+AF416)</x:f>
      </x:c>
      <x:c r="AH416" s="21"/>
      <x:c r="AI416" s="29" t="str">
        <x:f>IF(A416="","",IF(OR(B416="",D416="",E416="",I416="",L416="",N416="",O416="",P416=""),"Thiếu dữ liệu",IF(AND(OR(N416="PRODUCTION",N416="REWORK",N416="SETUP"),M416=""),"Thiếu máy",IF(P416&lt;O416,"Sai thời gian",IF(AA416&lt;&gt;0,"Sai cân đối SL","Hợp lệ")))))</x:f>
      </x:c>
      <x:c r="AJ416" s="21"/>
    </x:row>
    <x:row r="417">
      <x:c r="A417" s="21"/>
      <x:c r="B417" s="35"/>
      <x:c r="C417" s="21"/>
      <x:c r="D417" s="21"/>
      <x:c r="E417" s="21"/>
      <x:c r="F417" s="21"/>
      <x:c r="G417" s="21"/>
      <x:c r="H417" s="29" t="str">
        <x:f>IF(OR(D417="",E417=""),"",D417&amp;"|"&amp;E417&amp;"|"&amp;IF(F417="","00",F417)&amp;"|"&amp;IF(G417="","01",G417))</x:f>
      </x:c>
      <x:c r="I417" s="21"/>
      <x:c r="J417" s="29" t="str">
        <x:f>IF(K417="","",IFERROR(INDEX('04_KE_HOACH_CD'!$I$6:$I$305,MATCH(K417,'04_KE_HOACH_CD'!$G$6:$G$305,0)),""))</x:f>
      </x:c>
      <x:c r="K417" s="29" t="str">
        <x:f>IF(OR(H417="",I417=""),"",H417&amp;"|"&amp;TEXT(I417,"000"))</x:f>
      </x:c>
      <x:c r="L417" s="21"/>
      <x:c r="M417" s="21"/>
      <x:c r="N417" s="21"/>
      <x:c r="O417" s="43"/>
      <x:c r="P417" s="43"/>
      <x:c r="Q417" s="25"/>
      <x:c r="R417" s="25"/>
      <x:c r="S417" s="39" t="str">
        <x:f>IF(A417="","",SUMIF('07_DUNG_CHO'!$B$6:$B$505,A417,'07_DUNG_CHO'!$E$6:$E$505))</x:f>
      </x:c>
      <x:c r="T417" s="39" t="str">
        <x:f>IF(A417="","",IF(N417="SETUP",0,MAX(0,(P417-O417)*1440-Q417-S417)))</x:f>
      </x:c>
      <x:c r="U417" s="25"/>
      <x:c r="V417" s="25"/>
      <x:c r="W417" s="25"/>
      <x:c r="X417" s="25"/>
      <x:c r="Y417" s="25"/>
      <x:c r="Z417" s="25"/>
      <x:c r="AA417" s="39" t="str">
        <x:f>IF(A417="","",U417-SUM(V417,X417:Z417))</x:f>
      </x:c>
      <x:c r="AB417" s="39" t="str">
        <x:f>IF(A417="","",IF(N417="SETUP",IFERROR(INDEX('04_KE_HOACH_CD'!$K$6:$K$305,MATCH(K417,'04_KE_HOACH_CD'!$G$6:$G$305,0)),0),IF(OR(N417="PRODUCTION",N417="REWORK"),IFERROR(INDEX('04_KE_HOACH_CD'!$L$6:$L$305,MATCH(K417,'04_KE_HOACH_CD'!$G$6:$G$305,0))*V417,0),0)))</x:f>
      </x:c>
      <x:c r="AC417" s="39" t="str">
        <x:f>IF(A417="","",MAX(0,(P417-O417)*1440-Q417))</x:f>
      </x:c>
      <x:c r="AD417" s="37" t="str">
        <x:f>IF(A417="","",IFERROR(AB417/AC417,0))</x:f>
      </x:c>
      <x:c r="AE417" s="33" t="str">
        <x:f>IF(A417="","",AC417/60*SUMIF(DM_NHAN_SU!$A$6:$A$105,L417,DM_NHAN_SU!$E$6:$E$105))</x:f>
      </x:c>
      <x:c r="AF417" s="33" t="str">
        <x:f>IF(A417="","",AC417/60*SUMIF(DM_MAY!$A$6:$A$105,M417,DM_MAY!$F$6:$F$105))</x:f>
      </x:c>
      <x:c r="AG417" s="33" t="str">
        <x:f>IF(A417="","",AE417+AF417)</x:f>
      </x:c>
      <x:c r="AH417" s="21"/>
      <x:c r="AI417" s="29" t="str">
        <x:f>IF(A417="","",IF(OR(B417="",D417="",E417="",I417="",L417="",N417="",O417="",P417=""),"Thiếu dữ liệu",IF(AND(OR(N417="PRODUCTION",N417="REWORK",N417="SETUP"),M417=""),"Thiếu máy",IF(P417&lt;O417,"Sai thời gian",IF(AA417&lt;&gt;0,"Sai cân đối SL","Hợp lệ")))))</x:f>
      </x:c>
      <x:c r="AJ417" s="21"/>
    </x:row>
    <x:row r="418">
      <x:c r="A418" s="21"/>
      <x:c r="B418" s="35"/>
      <x:c r="C418" s="21"/>
      <x:c r="D418" s="21"/>
      <x:c r="E418" s="21"/>
      <x:c r="F418" s="21"/>
      <x:c r="G418" s="21"/>
      <x:c r="H418" s="29" t="str">
        <x:f>IF(OR(D418="",E418=""),"",D418&amp;"|"&amp;E418&amp;"|"&amp;IF(F418="","00",F418)&amp;"|"&amp;IF(G418="","01",G418))</x:f>
      </x:c>
      <x:c r="I418" s="21"/>
      <x:c r="J418" s="29" t="str">
        <x:f>IF(K418="","",IFERROR(INDEX('04_KE_HOACH_CD'!$I$6:$I$305,MATCH(K418,'04_KE_HOACH_CD'!$G$6:$G$305,0)),""))</x:f>
      </x:c>
      <x:c r="K418" s="29" t="str">
        <x:f>IF(OR(H418="",I418=""),"",H418&amp;"|"&amp;TEXT(I418,"000"))</x:f>
      </x:c>
      <x:c r="L418" s="21"/>
      <x:c r="M418" s="21"/>
      <x:c r="N418" s="21"/>
      <x:c r="O418" s="43"/>
      <x:c r="P418" s="43"/>
      <x:c r="Q418" s="25"/>
      <x:c r="R418" s="25"/>
      <x:c r="S418" s="39" t="str">
        <x:f>IF(A418="","",SUMIF('07_DUNG_CHO'!$B$6:$B$505,A418,'07_DUNG_CHO'!$E$6:$E$505))</x:f>
      </x:c>
      <x:c r="T418" s="39" t="str">
        <x:f>IF(A418="","",IF(N418="SETUP",0,MAX(0,(P418-O418)*1440-Q418-S418)))</x:f>
      </x:c>
      <x:c r="U418" s="25"/>
      <x:c r="V418" s="25"/>
      <x:c r="W418" s="25"/>
      <x:c r="X418" s="25"/>
      <x:c r="Y418" s="25"/>
      <x:c r="Z418" s="25"/>
      <x:c r="AA418" s="39" t="str">
        <x:f>IF(A418="","",U418-SUM(V418,X418:Z418))</x:f>
      </x:c>
      <x:c r="AB418" s="39" t="str">
        <x:f>IF(A418="","",IF(N418="SETUP",IFERROR(INDEX('04_KE_HOACH_CD'!$K$6:$K$305,MATCH(K418,'04_KE_HOACH_CD'!$G$6:$G$305,0)),0),IF(OR(N418="PRODUCTION",N418="REWORK"),IFERROR(INDEX('04_KE_HOACH_CD'!$L$6:$L$305,MATCH(K418,'04_KE_HOACH_CD'!$G$6:$G$305,0))*V418,0),0)))</x:f>
      </x:c>
      <x:c r="AC418" s="39" t="str">
        <x:f>IF(A418="","",MAX(0,(P418-O418)*1440-Q418))</x:f>
      </x:c>
      <x:c r="AD418" s="37" t="str">
        <x:f>IF(A418="","",IFERROR(AB418/AC418,0))</x:f>
      </x:c>
      <x:c r="AE418" s="33" t="str">
        <x:f>IF(A418="","",AC418/60*SUMIF(DM_NHAN_SU!$A$6:$A$105,L418,DM_NHAN_SU!$E$6:$E$105))</x:f>
      </x:c>
      <x:c r="AF418" s="33" t="str">
        <x:f>IF(A418="","",AC418/60*SUMIF(DM_MAY!$A$6:$A$105,M418,DM_MAY!$F$6:$F$105))</x:f>
      </x:c>
      <x:c r="AG418" s="33" t="str">
        <x:f>IF(A418="","",AE418+AF418)</x:f>
      </x:c>
      <x:c r="AH418" s="21"/>
      <x:c r="AI418" s="29" t="str">
        <x:f>IF(A418="","",IF(OR(B418="",D418="",E418="",I418="",L418="",N418="",O418="",P418=""),"Thiếu dữ liệu",IF(AND(OR(N418="PRODUCTION",N418="REWORK",N418="SETUP"),M418=""),"Thiếu máy",IF(P418&lt;O418,"Sai thời gian",IF(AA418&lt;&gt;0,"Sai cân đối SL","Hợp lệ")))))</x:f>
      </x:c>
      <x:c r="AJ418" s="21"/>
    </x:row>
    <x:row r="419">
      <x:c r="A419" s="21"/>
      <x:c r="B419" s="35"/>
      <x:c r="C419" s="21"/>
      <x:c r="D419" s="21"/>
      <x:c r="E419" s="21"/>
      <x:c r="F419" s="21"/>
      <x:c r="G419" s="21"/>
      <x:c r="H419" s="29" t="str">
        <x:f>IF(OR(D419="",E419=""),"",D419&amp;"|"&amp;E419&amp;"|"&amp;IF(F419="","00",F419)&amp;"|"&amp;IF(G419="","01",G419))</x:f>
      </x:c>
      <x:c r="I419" s="21"/>
      <x:c r="J419" s="29" t="str">
        <x:f>IF(K419="","",IFERROR(INDEX('04_KE_HOACH_CD'!$I$6:$I$305,MATCH(K419,'04_KE_HOACH_CD'!$G$6:$G$305,0)),""))</x:f>
      </x:c>
      <x:c r="K419" s="29" t="str">
        <x:f>IF(OR(H419="",I419=""),"",H419&amp;"|"&amp;TEXT(I419,"000"))</x:f>
      </x:c>
      <x:c r="L419" s="21"/>
      <x:c r="M419" s="21"/>
      <x:c r="N419" s="21"/>
      <x:c r="O419" s="43"/>
      <x:c r="P419" s="43"/>
      <x:c r="Q419" s="25"/>
      <x:c r="R419" s="25"/>
      <x:c r="S419" s="39" t="str">
        <x:f>IF(A419="","",SUMIF('07_DUNG_CHO'!$B$6:$B$505,A419,'07_DUNG_CHO'!$E$6:$E$505))</x:f>
      </x:c>
      <x:c r="T419" s="39" t="str">
        <x:f>IF(A419="","",IF(N419="SETUP",0,MAX(0,(P419-O419)*1440-Q419-S419)))</x:f>
      </x:c>
      <x:c r="U419" s="25"/>
      <x:c r="V419" s="25"/>
      <x:c r="W419" s="25"/>
      <x:c r="X419" s="25"/>
      <x:c r="Y419" s="25"/>
      <x:c r="Z419" s="25"/>
      <x:c r="AA419" s="39" t="str">
        <x:f>IF(A419="","",U419-SUM(V419,X419:Z419))</x:f>
      </x:c>
      <x:c r="AB419" s="39" t="str">
        <x:f>IF(A419="","",IF(N419="SETUP",IFERROR(INDEX('04_KE_HOACH_CD'!$K$6:$K$305,MATCH(K419,'04_KE_HOACH_CD'!$G$6:$G$305,0)),0),IF(OR(N419="PRODUCTION",N419="REWORK"),IFERROR(INDEX('04_KE_HOACH_CD'!$L$6:$L$305,MATCH(K419,'04_KE_HOACH_CD'!$G$6:$G$305,0))*V419,0),0)))</x:f>
      </x:c>
      <x:c r="AC419" s="39" t="str">
        <x:f>IF(A419="","",MAX(0,(P419-O419)*1440-Q419))</x:f>
      </x:c>
      <x:c r="AD419" s="37" t="str">
        <x:f>IF(A419="","",IFERROR(AB419/AC419,0))</x:f>
      </x:c>
      <x:c r="AE419" s="33" t="str">
        <x:f>IF(A419="","",AC419/60*SUMIF(DM_NHAN_SU!$A$6:$A$105,L419,DM_NHAN_SU!$E$6:$E$105))</x:f>
      </x:c>
      <x:c r="AF419" s="33" t="str">
        <x:f>IF(A419="","",AC419/60*SUMIF(DM_MAY!$A$6:$A$105,M419,DM_MAY!$F$6:$F$105))</x:f>
      </x:c>
      <x:c r="AG419" s="33" t="str">
        <x:f>IF(A419="","",AE419+AF419)</x:f>
      </x:c>
      <x:c r="AH419" s="21"/>
      <x:c r="AI419" s="29" t="str">
        <x:f>IF(A419="","",IF(OR(B419="",D419="",E419="",I419="",L419="",N419="",O419="",P419=""),"Thiếu dữ liệu",IF(AND(OR(N419="PRODUCTION",N419="REWORK",N419="SETUP"),M419=""),"Thiếu máy",IF(P419&lt;O419,"Sai thời gian",IF(AA419&lt;&gt;0,"Sai cân đối SL","Hợp lệ")))))</x:f>
      </x:c>
      <x:c r="AJ419" s="21"/>
    </x:row>
    <x:row r="420">
      <x:c r="A420" s="21"/>
      <x:c r="B420" s="35"/>
      <x:c r="C420" s="21"/>
      <x:c r="D420" s="21"/>
      <x:c r="E420" s="21"/>
      <x:c r="F420" s="21"/>
      <x:c r="G420" s="21"/>
      <x:c r="H420" s="29" t="str">
        <x:f>IF(OR(D420="",E420=""),"",D420&amp;"|"&amp;E420&amp;"|"&amp;IF(F420="","00",F420)&amp;"|"&amp;IF(G420="","01",G420))</x:f>
      </x:c>
      <x:c r="I420" s="21"/>
      <x:c r="J420" s="29" t="str">
        <x:f>IF(K420="","",IFERROR(INDEX('04_KE_HOACH_CD'!$I$6:$I$305,MATCH(K420,'04_KE_HOACH_CD'!$G$6:$G$305,0)),""))</x:f>
      </x:c>
      <x:c r="K420" s="29" t="str">
        <x:f>IF(OR(H420="",I420=""),"",H420&amp;"|"&amp;TEXT(I420,"000"))</x:f>
      </x:c>
      <x:c r="L420" s="21"/>
      <x:c r="M420" s="21"/>
      <x:c r="N420" s="21"/>
      <x:c r="O420" s="43"/>
      <x:c r="P420" s="43"/>
      <x:c r="Q420" s="25"/>
      <x:c r="R420" s="25"/>
      <x:c r="S420" s="39" t="str">
        <x:f>IF(A420="","",SUMIF('07_DUNG_CHO'!$B$6:$B$505,A420,'07_DUNG_CHO'!$E$6:$E$505))</x:f>
      </x:c>
      <x:c r="T420" s="39" t="str">
        <x:f>IF(A420="","",IF(N420="SETUP",0,MAX(0,(P420-O420)*1440-Q420-S420)))</x:f>
      </x:c>
      <x:c r="U420" s="25"/>
      <x:c r="V420" s="25"/>
      <x:c r="W420" s="25"/>
      <x:c r="X420" s="25"/>
      <x:c r="Y420" s="25"/>
      <x:c r="Z420" s="25"/>
      <x:c r="AA420" s="39" t="str">
        <x:f>IF(A420="","",U420-SUM(V420,X420:Z420))</x:f>
      </x:c>
      <x:c r="AB420" s="39" t="str">
        <x:f>IF(A420="","",IF(N420="SETUP",IFERROR(INDEX('04_KE_HOACH_CD'!$K$6:$K$305,MATCH(K420,'04_KE_HOACH_CD'!$G$6:$G$305,0)),0),IF(OR(N420="PRODUCTION",N420="REWORK"),IFERROR(INDEX('04_KE_HOACH_CD'!$L$6:$L$305,MATCH(K420,'04_KE_HOACH_CD'!$G$6:$G$305,0))*V420,0),0)))</x:f>
      </x:c>
      <x:c r="AC420" s="39" t="str">
        <x:f>IF(A420="","",MAX(0,(P420-O420)*1440-Q420))</x:f>
      </x:c>
      <x:c r="AD420" s="37" t="str">
        <x:f>IF(A420="","",IFERROR(AB420/AC420,0))</x:f>
      </x:c>
      <x:c r="AE420" s="33" t="str">
        <x:f>IF(A420="","",AC420/60*SUMIF(DM_NHAN_SU!$A$6:$A$105,L420,DM_NHAN_SU!$E$6:$E$105))</x:f>
      </x:c>
      <x:c r="AF420" s="33" t="str">
        <x:f>IF(A420="","",AC420/60*SUMIF(DM_MAY!$A$6:$A$105,M420,DM_MAY!$F$6:$F$105))</x:f>
      </x:c>
      <x:c r="AG420" s="33" t="str">
        <x:f>IF(A420="","",AE420+AF420)</x:f>
      </x:c>
      <x:c r="AH420" s="21"/>
      <x:c r="AI420" s="29" t="str">
        <x:f>IF(A420="","",IF(OR(B420="",D420="",E420="",I420="",L420="",N420="",O420="",P420=""),"Thiếu dữ liệu",IF(AND(OR(N420="PRODUCTION",N420="REWORK",N420="SETUP"),M420=""),"Thiếu máy",IF(P420&lt;O420,"Sai thời gian",IF(AA420&lt;&gt;0,"Sai cân đối SL","Hợp lệ")))))</x:f>
      </x:c>
      <x:c r="AJ420" s="21"/>
    </x:row>
    <x:row r="421">
      <x:c r="A421" s="21"/>
      <x:c r="B421" s="35"/>
      <x:c r="C421" s="21"/>
      <x:c r="D421" s="21"/>
      <x:c r="E421" s="21"/>
      <x:c r="F421" s="21"/>
      <x:c r="G421" s="21"/>
      <x:c r="H421" s="29" t="str">
        <x:f>IF(OR(D421="",E421=""),"",D421&amp;"|"&amp;E421&amp;"|"&amp;IF(F421="","00",F421)&amp;"|"&amp;IF(G421="","01",G421))</x:f>
      </x:c>
      <x:c r="I421" s="21"/>
      <x:c r="J421" s="29" t="str">
        <x:f>IF(K421="","",IFERROR(INDEX('04_KE_HOACH_CD'!$I$6:$I$305,MATCH(K421,'04_KE_HOACH_CD'!$G$6:$G$305,0)),""))</x:f>
      </x:c>
      <x:c r="K421" s="29" t="str">
        <x:f>IF(OR(H421="",I421=""),"",H421&amp;"|"&amp;TEXT(I421,"000"))</x:f>
      </x:c>
      <x:c r="L421" s="21"/>
      <x:c r="M421" s="21"/>
      <x:c r="N421" s="21"/>
      <x:c r="O421" s="43"/>
      <x:c r="P421" s="43"/>
      <x:c r="Q421" s="25"/>
      <x:c r="R421" s="25"/>
      <x:c r="S421" s="39" t="str">
        <x:f>IF(A421="","",SUMIF('07_DUNG_CHO'!$B$6:$B$505,A421,'07_DUNG_CHO'!$E$6:$E$505))</x:f>
      </x:c>
      <x:c r="T421" s="39" t="str">
        <x:f>IF(A421="","",IF(N421="SETUP",0,MAX(0,(P421-O421)*1440-Q421-S421)))</x:f>
      </x:c>
      <x:c r="U421" s="25"/>
      <x:c r="V421" s="25"/>
      <x:c r="W421" s="25"/>
      <x:c r="X421" s="25"/>
      <x:c r="Y421" s="25"/>
      <x:c r="Z421" s="25"/>
      <x:c r="AA421" s="39" t="str">
        <x:f>IF(A421="","",U421-SUM(V421,X421:Z421))</x:f>
      </x:c>
      <x:c r="AB421" s="39" t="str">
        <x:f>IF(A421="","",IF(N421="SETUP",IFERROR(INDEX('04_KE_HOACH_CD'!$K$6:$K$305,MATCH(K421,'04_KE_HOACH_CD'!$G$6:$G$305,0)),0),IF(OR(N421="PRODUCTION",N421="REWORK"),IFERROR(INDEX('04_KE_HOACH_CD'!$L$6:$L$305,MATCH(K421,'04_KE_HOACH_CD'!$G$6:$G$305,0))*V421,0),0)))</x:f>
      </x:c>
      <x:c r="AC421" s="39" t="str">
        <x:f>IF(A421="","",MAX(0,(P421-O421)*1440-Q421))</x:f>
      </x:c>
      <x:c r="AD421" s="37" t="str">
        <x:f>IF(A421="","",IFERROR(AB421/AC421,0))</x:f>
      </x:c>
      <x:c r="AE421" s="33" t="str">
        <x:f>IF(A421="","",AC421/60*SUMIF(DM_NHAN_SU!$A$6:$A$105,L421,DM_NHAN_SU!$E$6:$E$105))</x:f>
      </x:c>
      <x:c r="AF421" s="33" t="str">
        <x:f>IF(A421="","",AC421/60*SUMIF(DM_MAY!$A$6:$A$105,M421,DM_MAY!$F$6:$F$105))</x:f>
      </x:c>
      <x:c r="AG421" s="33" t="str">
        <x:f>IF(A421="","",AE421+AF421)</x:f>
      </x:c>
      <x:c r="AH421" s="21"/>
      <x:c r="AI421" s="29" t="str">
        <x:f>IF(A421="","",IF(OR(B421="",D421="",E421="",I421="",L421="",N421="",O421="",P421=""),"Thiếu dữ liệu",IF(AND(OR(N421="PRODUCTION",N421="REWORK",N421="SETUP"),M421=""),"Thiếu máy",IF(P421&lt;O421,"Sai thời gian",IF(AA421&lt;&gt;0,"Sai cân đối SL","Hợp lệ")))))</x:f>
      </x:c>
      <x:c r="AJ421" s="21"/>
    </x:row>
    <x:row r="422">
      <x:c r="A422" s="21"/>
      <x:c r="B422" s="35"/>
      <x:c r="C422" s="21"/>
      <x:c r="D422" s="21"/>
      <x:c r="E422" s="21"/>
      <x:c r="F422" s="21"/>
      <x:c r="G422" s="21"/>
      <x:c r="H422" s="29" t="str">
        <x:f>IF(OR(D422="",E422=""),"",D422&amp;"|"&amp;E422&amp;"|"&amp;IF(F422="","00",F422)&amp;"|"&amp;IF(G422="","01",G422))</x:f>
      </x:c>
      <x:c r="I422" s="21"/>
      <x:c r="J422" s="29" t="str">
        <x:f>IF(K422="","",IFERROR(INDEX('04_KE_HOACH_CD'!$I$6:$I$305,MATCH(K422,'04_KE_HOACH_CD'!$G$6:$G$305,0)),""))</x:f>
      </x:c>
      <x:c r="K422" s="29" t="str">
        <x:f>IF(OR(H422="",I422=""),"",H422&amp;"|"&amp;TEXT(I422,"000"))</x:f>
      </x:c>
      <x:c r="L422" s="21"/>
      <x:c r="M422" s="21"/>
      <x:c r="N422" s="21"/>
      <x:c r="O422" s="43"/>
      <x:c r="P422" s="43"/>
      <x:c r="Q422" s="25"/>
      <x:c r="R422" s="25"/>
      <x:c r="S422" s="39" t="str">
        <x:f>IF(A422="","",SUMIF('07_DUNG_CHO'!$B$6:$B$505,A422,'07_DUNG_CHO'!$E$6:$E$505))</x:f>
      </x:c>
      <x:c r="T422" s="39" t="str">
        <x:f>IF(A422="","",IF(N422="SETUP",0,MAX(0,(P422-O422)*1440-Q422-S422)))</x:f>
      </x:c>
      <x:c r="U422" s="25"/>
      <x:c r="V422" s="25"/>
      <x:c r="W422" s="25"/>
      <x:c r="X422" s="25"/>
      <x:c r="Y422" s="25"/>
      <x:c r="Z422" s="25"/>
      <x:c r="AA422" s="39" t="str">
        <x:f>IF(A422="","",U422-SUM(V422,X422:Z422))</x:f>
      </x:c>
      <x:c r="AB422" s="39" t="str">
        <x:f>IF(A422="","",IF(N422="SETUP",IFERROR(INDEX('04_KE_HOACH_CD'!$K$6:$K$305,MATCH(K422,'04_KE_HOACH_CD'!$G$6:$G$305,0)),0),IF(OR(N422="PRODUCTION",N422="REWORK"),IFERROR(INDEX('04_KE_HOACH_CD'!$L$6:$L$305,MATCH(K422,'04_KE_HOACH_CD'!$G$6:$G$305,0))*V422,0),0)))</x:f>
      </x:c>
      <x:c r="AC422" s="39" t="str">
        <x:f>IF(A422="","",MAX(0,(P422-O422)*1440-Q422))</x:f>
      </x:c>
      <x:c r="AD422" s="37" t="str">
        <x:f>IF(A422="","",IFERROR(AB422/AC422,0))</x:f>
      </x:c>
      <x:c r="AE422" s="33" t="str">
        <x:f>IF(A422="","",AC422/60*SUMIF(DM_NHAN_SU!$A$6:$A$105,L422,DM_NHAN_SU!$E$6:$E$105))</x:f>
      </x:c>
      <x:c r="AF422" s="33" t="str">
        <x:f>IF(A422="","",AC422/60*SUMIF(DM_MAY!$A$6:$A$105,M422,DM_MAY!$F$6:$F$105))</x:f>
      </x:c>
      <x:c r="AG422" s="33" t="str">
        <x:f>IF(A422="","",AE422+AF422)</x:f>
      </x:c>
      <x:c r="AH422" s="21"/>
      <x:c r="AI422" s="29" t="str">
        <x:f>IF(A422="","",IF(OR(B422="",D422="",E422="",I422="",L422="",N422="",O422="",P422=""),"Thiếu dữ liệu",IF(AND(OR(N422="PRODUCTION",N422="REWORK",N422="SETUP"),M422=""),"Thiếu máy",IF(P422&lt;O422,"Sai thời gian",IF(AA422&lt;&gt;0,"Sai cân đối SL","Hợp lệ")))))</x:f>
      </x:c>
      <x:c r="AJ422" s="21"/>
    </x:row>
    <x:row r="423">
      <x:c r="A423" s="21"/>
      <x:c r="B423" s="35"/>
      <x:c r="C423" s="21"/>
      <x:c r="D423" s="21"/>
      <x:c r="E423" s="21"/>
      <x:c r="F423" s="21"/>
      <x:c r="G423" s="21"/>
      <x:c r="H423" s="29" t="str">
        <x:f>IF(OR(D423="",E423=""),"",D423&amp;"|"&amp;E423&amp;"|"&amp;IF(F423="","00",F423)&amp;"|"&amp;IF(G423="","01",G423))</x:f>
      </x:c>
      <x:c r="I423" s="21"/>
      <x:c r="J423" s="29" t="str">
        <x:f>IF(K423="","",IFERROR(INDEX('04_KE_HOACH_CD'!$I$6:$I$305,MATCH(K423,'04_KE_HOACH_CD'!$G$6:$G$305,0)),""))</x:f>
      </x:c>
      <x:c r="K423" s="29" t="str">
        <x:f>IF(OR(H423="",I423=""),"",H423&amp;"|"&amp;TEXT(I423,"000"))</x:f>
      </x:c>
      <x:c r="L423" s="21"/>
      <x:c r="M423" s="21"/>
      <x:c r="N423" s="21"/>
      <x:c r="O423" s="43"/>
      <x:c r="P423" s="43"/>
      <x:c r="Q423" s="25"/>
      <x:c r="R423" s="25"/>
      <x:c r="S423" s="39" t="str">
        <x:f>IF(A423="","",SUMIF('07_DUNG_CHO'!$B$6:$B$505,A423,'07_DUNG_CHO'!$E$6:$E$505))</x:f>
      </x:c>
      <x:c r="T423" s="39" t="str">
        <x:f>IF(A423="","",IF(N423="SETUP",0,MAX(0,(P423-O423)*1440-Q423-S423)))</x:f>
      </x:c>
      <x:c r="U423" s="25"/>
      <x:c r="V423" s="25"/>
      <x:c r="W423" s="25"/>
      <x:c r="X423" s="25"/>
      <x:c r="Y423" s="25"/>
      <x:c r="Z423" s="25"/>
      <x:c r="AA423" s="39" t="str">
        <x:f>IF(A423="","",U423-SUM(V423,X423:Z423))</x:f>
      </x:c>
      <x:c r="AB423" s="39" t="str">
        <x:f>IF(A423="","",IF(N423="SETUP",IFERROR(INDEX('04_KE_HOACH_CD'!$K$6:$K$305,MATCH(K423,'04_KE_HOACH_CD'!$G$6:$G$305,0)),0),IF(OR(N423="PRODUCTION",N423="REWORK"),IFERROR(INDEX('04_KE_HOACH_CD'!$L$6:$L$305,MATCH(K423,'04_KE_HOACH_CD'!$G$6:$G$305,0))*V423,0),0)))</x:f>
      </x:c>
      <x:c r="AC423" s="39" t="str">
        <x:f>IF(A423="","",MAX(0,(P423-O423)*1440-Q423))</x:f>
      </x:c>
      <x:c r="AD423" s="37" t="str">
        <x:f>IF(A423="","",IFERROR(AB423/AC423,0))</x:f>
      </x:c>
      <x:c r="AE423" s="33" t="str">
        <x:f>IF(A423="","",AC423/60*SUMIF(DM_NHAN_SU!$A$6:$A$105,L423,DM_NHAN_SU!$E$6:$E$105))</x:f>
      </x:c>
      <x:c r="AF423" s="33" t="str">
        <x:f>IF(A423="","",AC423/60*SUMIF(DM_MAY!$A$6:$A$105,M423,DM_MAY!$F$6:$F$105))</x:f>
      </x:c>
      <x:c r="AG423" s="33" t="str">
        <x:f>IF(A423="","",AE423+AF423)</x:f>
      </x:c>
      <x:c r="AH423" s="21"/>
      <x:c r="AI423" s="29" t="str">
        <x:f>IF(A423="","",IF(OR(B423="",D423="",E423="",I423="",L423="",N423="",O423="",P423=""),"Thiếu dữ liệu",IF(AND(OR(N423="PRODUCTION",N423="REWORK",N423="SETUP"),M423=""),"Thiếu máy",IF(P423&lt;O423,"Sai thời gian",IF(AA423&lt;&gt;0,"Sai cân đối SL","Hợp lệ")))))</x:f>
      </x:c>
      <x:c r="AJ423" s="21"/>
    </x:row>
    <x:row r="424">
      <x:c r="A424" s="21"/>
      <x:c r="B424" s="35"/>
      <x:c r="C424" s="21"/>
      <x:c r="D424" s="21"/>
      <x:c r="E424" s="21"/>
      <x:c r="F424" s="21"/>
      <x:c r="G424" s="21"/>
      <x:c r="H424" s="29" t="str">
        <x:f>IF(OR(D424="",E424=""),"",D424&amp;"|"&amp;E424&amp;"|"&amp;IF(F424="","00",F424)&amp;"|"&amp;IF(G424="","01",G424))</x:f>
      </x:c>
      <x:c r="I424" s="21"/>
      <x:c r="J424" s="29" t="str">
        <x:f>IF(K424="","",IFERROR(INDEX('04_KE_HOACH_CD'!$I$6:$I$305,MATCH(K424,'04_KE_HOACH_CD'!$G$6:$G$305,0)),""))</x:f>
      </x:c>
      <x:c r="K424" s="29" t="str">
        <x:f>IF(OR(H424="",I424=""),"",H424&amp;"|"&amp;TEXT(I424,"000"))</x:f>
      </x:c>
      <x:c r="L424" s="21"/>
      <x:c r="M424" s="21"/>
      <x:c r="N424" s="21"/>
      <x:c r="O424" s="43"/>
      <x:c r="P424" s="43"/>
      <x:c r="Q424" s="25"/>
      <x:c r="R424" s="25"/>
      <x:c r="S424" s="39" t="str">
        <x:f>IF(A424="","",SUMIF('07_DUNG_CHO'!$B$6:$B$505,A424,'07_DUNG_CHO'!$E$6:$E$505))</x:f>
      </x:c>
      <x:c r="T424" s="39" t="str">
        <x:f>IF(A424="","",IF(N424="SETUP",0,MAX(0,(P424-O424)*1440-Q424-S424)))</x:f>
      </x:c>
      <x:c r="U424" s="25"/>
      <x:c r="V424" s="25"/>
      <x:c r="W424" s="25"/>
      <x:c r="X424" s="25"/>
      <x:c r="Y424" s="25"/>
      <x:c r="Z424" s="25"/>
      <x:c r="AA424" s="39" t="str">
        <x:f>IF(A424="","",U424-SUM(V424,X424:Z424))</x:f>
      </x:c>
      <x:c r="AB424" s="39" t="str">
        <x:f>IF(A424="","",IF(N424="SETUP",IFERROR(INDEX('04_KE_HOACH_CD'!$K$6:$K$305,MATCH(K424,'04_KE_HOACH_CD'!$G$6:$G$305,0)),0),IF(OR(N424="PRODUCTION",N424="REWORK"),IFERROR(INDEX('04_KE_HOACH_CD'!$L$6:$L$305,MATCH(K424,'04_KE_HOACH_CD'!$G$6:$G$305,0))*V424,0),0)))</x:f>
      </x:c>
      <x:c r="AC424" s="39" t="str">
        <x:f>IF(A424="","",MAX(0,(P424-O424)*1440-Q424))</x:f>
      </x:c>
      <x:c r="AD424" s="37" t="str">
        <x:f>IF(A424="","",IFERROR(AB424/AC424,0))</x:f>
      </x:c>
      <x:c r="AE424" s="33" t="str">
        <x:f>IF(A424="","",AC424/60*SUMIF(DM_NHAN_SU!$A$6:$A$105,L424,DM_NHAN_SU!$E$6:$E$105))</x:f>
      </x:c>
      <x:c r="AF424" s="33" t="str">
        <x:f>IF(A424="","",AC424/60*SUMIF(DM_MAY!$A$6:$A$105,M424,DM_MAY!$F$6:$F$105))</x:f>
      </x:c>
      <x:c r="AG424" s="33" t="str">
        <x:f>IF(A424="","",AE424+AF424)</x:f>
      </x:c>
      <x:c r="AH424" s="21"/>
      <x:c r="AI424" s="29" t="str">
        <x:f>IF(A424="","",IF(OR(B424="",D424="",E424="",I424="",L424="",N424="",O424="",P424=""),"Thiếu dữ liệu",IF(AND(OR(N424="PRODUCTION",N424="REWORK",N424="SETUP"),M424=""),"Thiếu máy",IF(P424&lt;O424,"Sai thời gian",IF(AA424&lt;&gt;0,"Sai cân đối SL","Hợp lệ")))))</x:f>
      </x:c>
      <x:c r="AJ424" s="21"/>
    </x:row>
    <x:row r="425">
      <x:c r="A425" s="21"/>
      <x:c r="B425" s="35"/>
      <x:c r="C425" s="21"/>
      <x:c r="D425" s="21"/>
      <x:c r="E425" s="21"/>
      <x:c r="F425" s="21"/>
      <x:c r="G425" s="21"/>
      <x:c r="H425" s="29" t="str">
        <x:f>IF(OR(D425="",E425=""),"",D425&amp;"|"&amp;E425&amp;"|"&amp;IF(F425="","00",F425)&amp;"|"&amp;IF(G425="","01",G425))</x:f>
      </x:c>
      <x:c r="I425" s="21"/>
      <x:c r="J425" s="29" t="str">
        <x:f>IF(K425="","",IFERROR(INDEX('04_KE_HOACH_CD'!$I$6:$I$305,MATCH(K425,'04_KE_HOACH_CD'!$G$6:$G$305,0)),""))</x:f>
      </x:c>
      <x:c r="K425" s="29" t="str">
        <x:f>IF(OR(H425="",I425=""),"",H425&amp;"|"&amp;TEXT(I425,"000"))</x:f>
      </x:c>
      <x:c r="L425" s="21"/>
      <x:c r="M425" s="21"/>
      <x:c r="N425" s="21"/>
      <x:c r="O425" s="43"/>
      <x:c r="P425" s="43"/>
      <x:c r="Q425" s="25"/>
      <x:c r="R425" s="25"/>
      <x:c r="S425" s="39" t="str">
        <x:f>IF(A425="","",SUMIF('07_DUNG_CHO'!$B$6:$B$505,A425,'07_DUNG_CHO'!$E$6:$E$505))</x:f>
      </x:c>
      <x:c r="T425" s="39" t="str">
        <x:f>IF(A425="","",IF(N425="SETUP",0,MAX(0,(P425-O425)*1440-Q425-S425)))</x:f>
      </x:c>
      <x:c r="U425" s="25"/>
      <x:c r="V425" s="25"/>
      <x:c r="W425" s="25"/>
      <x:c r="X425" s="25"/>
      <x:c r="Y425" s="25"/>
      <x:c r="Z425" s="25"/>
      <x:c r="AA425" s="39" t="str">
        <x:f>IF(A425="","",U425-SUM(V425,X425:Z425))</x:f>
      </x:c>
      <x:c r="AB425" s="39" t="str">
        <x:f>IF(A425="","",IF(N425="SETUP",IFERROR(INDEX('04_KE_HOACH_CD'!$K$6:$K$305,MATCH(K425,'04_KE_HOACH_CD'!$G$6:$G$305,0)),0),IF(OR(N425="PRODUCTION",N425="REWORK"),IFERROR(INDEX('04_KE_HOACH_CD'!$L$6:$L$305,MATCH(K425,'04_KE_HOACH_CD'!$G$6:$G$305,0))*V425,0),0)))</x:f>
      </x:c>
      <x:c r="AC425" s="39" t="str">
        <x:f>IF(A425="","",MAX(0,(P425-O425)*1440-Q425))</x:f>
      </x:c>
      <x:c r="AD425" s="37" t="str">
        <x:f>IF(A425="","",IFERROR(AB425/AC425,0))</x:f>
      </x:c>
      <x:c r="AE425" s="33" t="str">
        <x:f>IF(A425="","",AC425/60*SUMIF(DM_NHAN_SU!$A$6:$A$105,L425,DM_NHAN_SU!$E$6:$E$105))</x:f>
      </x:c>
      <x:c r="AF425" s="33" t="str">
        <x:f>IF(A425="","",AC425/60*SUMIF(DM_MAY!$A$6:$A$105,M425,DM_MAY!$F$6:$F$105))</x:f>
      </x:c>
      <x:c r="AG425" s="33" t="str">
        <x:f>IF(A425="","",AE425+AF425)</x:f>
      </x:c>
      <x:c r="AH425" s="21"/>
      <x:c r="AI425" s="29" t="str">
        <x:f>IF(A425="","",IF(OR(B425="",D425="",E425="",I425="",L425="",N425="",O425="",P425=""),"Thiếu dữ liệu",IF(AND(OR(N425="PRODUCTION",N425="REWORK",N425="SETUP"),M425=""),"Thiếu máy",IF(P425&lt;O425,"Sai thời gian",IF(AA425&lt;&gt;0,"Sai cân đối SL","Hợp lệ")))))</x:f>
      </x:c>
      <x:c r="AJ425" s="21"/>
    </x:row>
    <x:row r="426">
      <x:c r="A426" s="21"/>
      <x:c r="B426" s="35"/>
      <x:c r="C426" s="21"/>
      <x:c r="D426" s="21"/>
      <x:c r="E426" s="21"/>
      <x:c r="F426" s="21"/>
      <x:c r="G426" s="21"/>
      <x:c r="H426" s="29" t="str">
        <x:f>IF(OR(D426="",E426=""),"",D426&amp;"|"&amp;E426&amp;"|"&amp;IF(F426="","00",F426)&amp;"|"&amp;IF(G426="","01",G426))</x:f>
      </x:c>
      <x:c r="I426" s="21"/>
      <x:c r="J426" s="29" t="str">
        <x:f>IF(K426="","",IFERROR(INDEX('04_KE_HOACH_CD'!$I$6:$I$305,MATCH(K426,'04_KE_HOACH_CD'!$G$6:$G$305,0)),""))</x:f>
      </x:c>
      <x:c r="K426" s="29" t="str">
        <x:f>IF(OR(H426="",I426=""),"",H426&amp;"|"&amp;TEXT(I426,"000"))</x:f>
      </x:c>
      <x:c r="L426" s="21"/>
      <x:c r="M426" s="21"/>
      <x:c r="N426" s="21"/>
      <x:c r="O426" s="43"/>
      <x:c r="P426" s="43"/>
      <x:c r="Q426" s="25"/>
      <x:c r="R426" s="25"/>
      <x:c r="S426" s="39" t="str">
        <x:f>IF(A426="","",SUMIF('07_DUNG_CHO'!$B$6:$B$505,A426,'07_DUNG_CHO'!$E$6:$E$505))</x:f>
      </x:c>
      <x:c r="T426" s="39" t="str">
        <x:f>IF(A426="","",IF(N426="SETUP",0,MAX(0,(P426-O426)*1440-Q426-S426)))</x:f>
      </x:c>
      <x:c r="U426" s="25"/>
      <x:c r="V426" s="25"/>
      <x:c r="W426" s="25"/>
      <x:c r="X426" s="25"/>
      <x:c r="Y426" s="25"/>
      <x:c r="Z426" s="25"/>
      <x:c r="AA426" s="39" t="str">
        <x:f>IF(A426="","",U426-SUM(V426,X426:Z426))</x:f>
      </x:c>
      <x:c r="AB426" s="39" t="str">
        <x:f>IF(A426="","",IF(N426="SETUP",IFERROR(INDEX('04_KE_HOACH_CD'!$K$6:$K$305,MATCH(K426,'04_KE_HOACH_CD'!$G$6:$G$305,0)),0),IF(OR(N426="PRODUCTION",N426="REWORK"),IFERROR(INDEX('04_KE_HOACH_CD'!$L$6:$L$305,MATCH(K426,'04_KE_HOACH_CD'!$G$6:$G$305,0))*V426,0),0)))</x:f>
      </x:c>
      <x:c r="AC426" s="39" t="str">
        <x:f>IF(A426="","",MAX(0,(P426-O426)*1440-Q426))</x:f>
      </x:c>
      <x:c r="AD426" s="37" t="str">
        <x:f>IF(A426="","",IFERROR(AB426/AC426,0))</x:f>
      </x:c>
      <x:c r="AE426" s="33" t="str">
        <x:f>IF(A426="","",AC426/60*SUMIF(DM_NHAN_SU!$A$6:$A$105,L426,DM_NHAN_SU!$E$6:$E$105))</x:f>
      </x:c>
      <x:c r="AF426" s="33" t="str">
        <x:f>IF(A426="","",AC426/60*SUMIF(DM_MAY!$A$6:$A$105,M426,DM_MAY!$F$6:$F$105))</x:f>
      </x:c>
      <x:c r="AG426" s="33" t="str">
        <x:f>IF(A426="","",AE426+AF426)</x:f>
      </x:c>
      <x:c r="AH426" s="21"/>
      <x:c r="AI426" s="29" t="str">
        <x:f>IF(A426="","",IF(OR(B426="",D426="",E426="",I426="",L426="",N426="",O426="",P426=""),"Thiếu dữ liệu",IF(AND(OR(N426="PRODUCTION",N426="REWORK",N426="SETUP"),M426=""),"Thiếu máy",IF(P426&lt;O426,"Sai thời gian",IF(AA426&lt;&gt;0,"Sai cân đối SL","Hợp lệ")))))</x:f>
      </x:c>
      <x:c r="AJ426" s="21"/>
    </x:row>
    <x:row r="427">
      <x:c r="A427" s="21"/>
      <x:c r="B427" s="35"/>
      <x:c r="C427" s="21"/>
      <x:c r="D427" s="21"/>
      <x:c r="E427" s="21"/>
      <x:c r="F427" s="21"/>
      <x:c r="G427" s="21"/>
      <x:c r="H427" s="29" t="str">
        <x:f>IF(OR(D427="",E427=""),"",D427&amp;"|"&amp;E427&amp;"|"&amp;IF(F427="","00",F427)&amp;"|"&amp;IF(G427="","01",G427))</x:f>
      </x:c>
      <x:c r="I427" s="21"/>
      <x:c r="J427" s="29" t="str">
        <x:f>IF(K427="","",IFERROR(INDEX('04_KE_HOACH_CD'!$I$6:$I$305,MATCH(K427,'04_KE_HOACH_CD'!$G$6:$G$305,0)),""))</x:f>
      </x:c>
      <x:c r="K427" s="29" t="str">
        <x:f>IF(OR(H427="",I427=""),"",H427&amp;"|"&amp;TEXT(I427,"000"))</x:f>
      </x:c>
      <x:c r="L427" s="21"/>
      <x:c r="M427" s="21"/>
      <x:c r="N427" s="21"/>
      <x:c r="O427" s="43"/>
      <x:c r="P427" s="43"/>
      <x:c r="Q427" s="25"/>
      <x:c r="R427" s="25"/>
      <x:c r="S427" s="39" t="str">
        <x:f>IF(A427="","",SUMIF('07_DUNG_CHO'!$B$6:$B$505,A427,'07_DUNG_CHO'!$E$6:$E$505))</x:f>
      </x:c>
      <x:c r="T427" s="39" t="str">
        <x:f>IF(A427="","",IF(N427="SETUP",0,MAX(0,(P427-O427)*1440-Q427-S427)))</x:f>
      </x:c>
      <x:c r="U427" s="25"/>
      <x:c r="V427" s="25"/>
      <x:c r="W427" s="25"/>
      <x:c r="X427" s="25"/>
      <x:c r="Y427" s="25"/>
      <x:c r="Z427" s="25"/>
      <x:c r="AA427" s="39" t="str">
        <x:f>IF(A427="","",U427-SUM(V427,X427:Z427))</x:f>
      </x:c>
      <x:c r="AB427" s="39" t="str">
        <x:f>IF(A427="","",IF(N427="SETUP",IFERROR(INDEX('04_KE_HOACH_CD'!$K$6:$K$305,MATCH(K427,'04_KE_HOACH_CD'!$G$6:$G$305,0)),0),IF(OR(N427="PRODUCTION",N427="REWORK"),IFERROR(INDEX('04_KE_HOACH_CD'!$L$6:$L$305,MATCH(K427,'04_KE_HOACH_CD'!$G$6:$G$305,0))*V427,0),0)))</x:f>
      </x:c>
      <x:c r="AC427" s="39" t="str">
        <x:f>IF(A427="","",MAX(0,(P427-O427)*1440-Q427))</x:f>
      </x:c>
      <x:c r="AD427" s="37" t="str">
        <x:f>IF(A427="","",IFERROR(AB427/AC427,0))</x:f>
      </x:c>
      <x:c r="AE427" s="33" t="str">
        <x:f>IF(A427="","",AC427/60*SUMIF(DM_NHAN_SU!$A$6:$A$105,L427,DM_NHAN_SU!$E$6:$E$105))</x:f>
      </x:c>
      <x:c r="AF427" s="33" t="str">
        <x:f>IF(A427="","",AC427/60*SUMIF(DM_MAY!$A$6:$A$105,M427,DM_MAY!$F$6:$F$105))</x:f>
      </x:c>
      <x:c r="AG427" s="33" t="str">
        <x:f>IF(A427="","",AE427+AF427)</x:f>
      </x:c>
      <x:c r="AH427" s="21"/>
      <x:c r="AI427" s="29" t="str">
        <x:f>IF(A427="","",IF(OR(B427="",D427="",E427="",I427="",L427="",N427="",O427="",P427=""),"Thiếu dữ liệu",IF(AND(OR(N427="PRODUCTION",N427="REWORK",N427="SETUP"),M427=""),"Thiếu máy",IF(P427&lt;O427,"Sai thời gian",IF(AA427&lt;&gt;0,"Sai cân đối SL","Hợp lệ")))))</x:f>
      </x:c>
      <x:c r="AJ427" s="21"/>
    </x:row>
    <x:row r="428">
      <x:c r="A428" s="21"/>
      <x:c r="B428" s="35"/>
      <x:c r="C428" s="21"/>
      <x:c r="D428" s="21"/>
      <x:c r="E428" s="21"/>
      <x:c r="F428" s="21"/>
      <x:c r="G428" s="21"/>
      <x:c r="H428" s="29" t="str">
        <x:f>IF(OR(D428="",E428=""),"",D428&amp;"|"&amp;E428&amp;"|"&amp;IF(F428="","00",F428)&amp;"|"&amp;IF(G428="","01",G428))</x:f>
      </x:c>
      <x:c r="I428" s="21"/>
      <x:c r="J428" s="29" t="str">
        <x:f>IF(K428="","",IFERROR(INDEX('04_KE_HOACH_CD'!$I$6:$I$305,MATCH(K428,'04_KE_HOACH_CD'!$G$6:$G$305,0)),""))</x:f>
      </x:c>
      <x:c r="K428" s="29" t="str">
        <x:f>IF(OR(H428="",I428=""),"",H428&amp;"|"&amp;TEXT(I428,"000"))</x:f>
      </x:c>
      <x:c r="L428" s="21"/>
      <x:c r="M428" s="21"/>
      <x:c r="N428" s="21"/>
      <x:c r="O428" s="43"/>
      <x:c r="P428" s="43"/>
      <x:c r="Q428" s="25"/>
      <x:c r="R428" s="25"/>
      <x:c r="S428" s="39" t="str">
        <x:f>IF(A428="","",SUMIF('07_DUNG_CHO'!$B$6:$B$505,A428,'07_DUNG_CHO'!$E$6:$E$505))</x:f>
      </x:c>
      <x:c r="T428" s="39" t="str">
        <x:f>IF(A428="","",IF(N428="SETUP",0,MAX(0,(P428-O428)*1440-Q428-S428)))</x:f>
      </x:c>
      <x:c r="U428" s="25"/>
      <x:c r="V428" s="25"/>
      <x:c r="W428" s="25"/>
      <x:c r="X428" s="25"/>
      <x:c r="Y428" s="25"/>
      <x:c r="Z428" s="25"/>
      <x:c r="AA428" s="39" t="str">
        <x:f>IF(A428="","",U428-SUM(V428,X428:Z428))</x:f>
      </x:c>
      <x:c r="AB428" s="39" t="str">
        <x:f>IF(A428="","",IF(N428="SETUP",IFERROR(INDEX('04_KE_HOACH_CD'!$K$6:$K$305,MATCH(K428,'04_KE_HOACH_CD'!$G$6:$G$305,0)),0),IF(OR(N428="PRODUCTION",N428="REWORK"),IFERROR(INDEX('04_KE_HOACH_CD'!$L$6:$L$305,MATCH(K428,'04_KE_HOACH_CD'!$G$6:$G$305,0))*V428,0),0)))</x:f>
      </x:c>
      <x:c r="AC428" s="39" t="str">
        <x:f>IF(A428="","",MAX(0,(P428-O428)*1440-Q428))</x:f>
      </x:c>
      <x:c r="AD428" s="37" t="str">
        <x:f>IF(A428="","",IFERROR(AB428/AC428,0))</x:f>
      </x:c>
      <x:c r="AE428" s="33" t="str">
        <x:f>IF(A428="","",AC428/60*SUMIF(DM_NHAN_SU!$A$6:$A$105,L428,DM_NHAN_SU!$E$6:$E$105))</x:f>
      </x:c>
      <x:c r="AF428" s="33" t="str">
        <x:f>IF(A428="","",AC428/60*SUMIF(DM_MAY!$A$6:$A$105,M428,DM_MAY!$F$6:$F$105))</x:f>
      </x:c>
      <x:c r="AG428" s="33" t="str">
        <x:f>IF(A428="","",AE428+AF428)</x:f>
      </x:c>
      <x:c r="AH428" s="21"/>
      <x:c r="AI428" s="29" t="str">
        <x:f>IF(A428="","",IF(OR(B428="",D428="",E428="",I428="",L428="",N428="",O428="",P428=""),"Thiếu dữ liệu",IF(AND(OR(N428="PRODUCTION",N428="REWORK",N428="SETUP"),M428=""),"Thiếu máy",IF(P428&lt;O428,"Sai thời gian",IF(AA428&lt;&gt;0,"Sai cân đối SL","Hợp lệ")))))</x:f>
      </x:c>
      <x:c r="AJ428" s="21"/>
    </x:row>
    <x:row r="429">
      <x:c r="A429" s="21"/>
      <x:c r="B429" s="35"/>
      <x:c r="C429" s="21"/>
      <x:c r="D429" s="21"/>
      <x:c r="E429" s="21"/>
      <x:c r="F429" s="21"/>
      <x:c r="G429" s="21"/>
      <x:c r="H429" s="29" t="str">
        <x:f>IF(OR(D429="",E429=""),"",D429&amp;"|"&amp;E429&amp;"|"&amp;IF(F429="","00",F429)&amp;"|"&amp;IF(G429="","01",G429))</x:f>
      </x:c>
      <x:c r="I429" s="21"/>
      <x:c r="J429" s="29" t="str">
        <x:f>IF(K429="","",IFERROR(INDEX('04_KE_HOACH_CD'!$I$6:$I$305,MATCH(K429,'04_KE_HOACH_CD'!$G$6:$G$305,0)),""))</x:f>
      </x:c>
      <x:c r="K429" s="29" t="str">
        <x:f>IF(OR(H429="",I429=""),"",H429&amp;"|"&amp;TEXT(I429,"000"))</x:f>
      </x:c>
      <x:c r="L429" s="21"/>
      <x:c r="M429" s="21"/>
      <x:c r="N429" s="21"/>
      <x:c r="O429" s="43"/>
      <x:c r="P429" s="43"/>
      <x:c r="Q429" s="25"/>
      <x:c r="R429" s="25"/>
      <x:c r="S429" s="39" t="str">
        <x:f>IF(A429="","",SUMIF('07_DUNG_CHO'!$B$6:$B$505,A429,'07_DUNG_CHO'!$E$6:$E$505))</x:f>
      </x:c>
      <x:c r="T429" s="39" t="str">
        <x:f>IF(A429="","",IF(N429="SETUP",0,MAX(0,(P429-O429)*1440-Q429-S429)))</x:f>
      </x:c>
      <x:c r="U429" s="25"/>
      <x:c r="V429" s="25"/>
      <x:c r="W429" s="25"/>
      <x:c r="X429" s="25"/>
      <x:c r="Y429" s="25"/>
      <x:c r="Z429" s="25"/>
      <x:c r="AA429" s="39" t="str">
        <x:f>IF(A429="","",U429-SUM(V429,X429:Z429))</x:f>
      </x:c>
      <x:c r="AB429" s="39" t="str">
        <x:f>IF(A429="","",IF(N429="SETUP",IFERROR(INDEX('04_KE_HOACH_CD'!$K$6:$K$305,MATCH(K429,'04_KE_HOACH_CD'!$G$6:$G$305,0)),0),IF(OR(N429="PRODUCTION",N429="REWORK"),IFERROR(INDEX('04_KE_HOACH_CD'!$L$6:$L$305,MATCH(K429,'04_KE_HOACH_CD'!$G$6:$G$305,0))*V429,0),0)))</x:f>
      </x:c>
      <x:c r="AC429" s="39" t="str">
        <x:f>IF(A429="","",MAX(0,(P429-O429)*1440-Q429))</x:f>
      </x:c>
      <x:c r="AD429" s="37" t="str">
        <x:f>IF(A429="","",IFERROR(AB429/AC429,0))</x:f>
      </x:c>
      <x:c r="AE429" s="33" t="str">
        <x:f>IF(A429="","",AC429/60*SUMIF(DM_NHAN_SU!$A$6:$A$105,L429,DM_NHAN_SU!$E$6:$E$105))</x:f>
      </x:c>
      <x:c r="AF429" s="33" t="str">
        <x:f>IF(A429="","",AC429/60*SUMIF(DM_MAY!$A$6:$A$105,M429,DM_MAY!$F$6:$F$105))</x:f>
      </x:c>
      <x:c r="AG429" s="33" t="str">
        <x:f>IF(A429="","",AE429+AF429)</x:f>
      </x:c>
      <x:c r="AH429" s="21"/>
      <x:c r="AI429" s="29" t="str">
        <x:f>IF(A429="","",IF(OR(B429="",D429="",E429="",I429="",L429="",N429="",O429="",P429=""),"Thiếu dữ liệu",IF(AND(OR(N429="PRODUCTION",N429="REWORK",N429="SETUP"),M429=""),"Thiếu máy",IF(P429&lt;O429,"Sai thời gian",IF(AA429&lt;&gt;0,"Sai cân đối SL","Hợp lệ")))))</x:f>
      </x:c>
      <x:c r="AJ429" s="21"/>
    </x:row>
    <x:row r="430">
      <x:c r="A430" s="21"/>
      <x:c r="B430" s="35"/>
      <x:c r="C430" s="21"/>
      <x:c r="D430" s="21"/>
      <x:c r="E430" s="21"/>
      <x:c r="F430" s="21"/>
      <x:c r="G430" s="21"/>
      <x:c r="H430" s="29" t="str">
        <x:f>IF(OR(D430="",E430=""),"",D430&amp;"|"&amp;E430&amp;"|"&amp;IF(F430="","00",F430)&amp;"|"&amp;IF(G430="","01",G430))</x:f>
      </x:c>
      <x:c r="I430" s="21"/>
      <x:c r="J430" s="29" t="str">
        <x:f>IF(K430="","",IFERROR(INDEX('04_KE_HOACH_CD'!$I$6:$I$305,MATCH(K430,'04_KE_HOACH_CD'!$G$6:$G$305,0)),""))</x:f>
      </x:c>
      <x:c r="K430" s="29" t="str">
        <x:f>IF(OR(H430="",I430=""),"",H430&amp;"|"&amp;TEXT(I430,"000"))</x:f>
      </x:c>
      <x:c r="L430" s="21"/>
      <x:c r="M430" s="21"/>
      <x:c r="N430" s="21"/>
      <x:c r="O430" s="43"/>
      <x:c r="P430" s="43"/>
      <x:c r="Q430" s="25"/>
      <x:c r="R430" s="25"/>
      <x:c r="S430" s="39" t="str">
        <x:f>IF(A430="","",SUMIF('07_DUNG_CHO'!$B$6:$B$505,A430,'07_DUNG_CHO'!$E$6:$E$505))</x:f>
      </x:c>
      <x:c r="T430" s="39" t="str">
        <x:f>IF(A430="","",IF(N430="SETUP",0,MAX(0,(P430-O430)*1440-Q430-S430)))</x:f>
      </x:c>
      <x:c r="U430" s="25"/>
      <x:c r="V430" s="25"/>
      <x:c r="W430" s="25"/>
      <x:c r="X430" s="25"/>
      <x:c r="Y430" s="25"/>
      <x:c r="Z430" s="25"/>
      <x:c r="AA430" s="39" t="str">
        <x:f>IF(A430="","",U430-SUM(V430,X430:Z430))</x:f>
      </x:c>
      <x:c r="AB430" s="39" t="str">
        <x:f>IF(A430="","",IF(N430="SETUP",IFERROR(INDEX('04_KE_HOACH_CD'!$K$6:$K$305,MATCH(K430,'04_KE_HOACH_CD'!$G$6:$G$305,0)),0),IF(OR(N430="PRODUCTION",N430="REWORK"),IFERROR(INDEX('04_KE_HOACH_CD'!$L$6:$L$305,MATCH(K430,'04_KE_HOACH_CD'!$G$6:$G$305,0))*V430,0),0)))</x:f>
      </x:c>
      <x:c r="AC430" s="39" t="str">
        <x:f>IF(A430="","",MAX(0,(P430-O430)*1440-Q430))</x:f>
      </x:c>
      <x:c r="AD430" s="37" t="str">
        <x:f>IF(A430="","",IFERROR(AB430/AC430,0))</x:f>
      </x:c>
      <x:c r="AE430" s="33" t="str">
        <x:f>IF(A430="","",AC430/60*SUMIF(DM_NHAN_SU!$A$6:$A$105,L430,DM_NHAN_SU!$E$6:$E$105))</x:f>
      </x:c>
      <x:c r="AF430" s="33" t="str">
        <x:f>IF(A430="","",AC430/60*SUMIF(DM_MAY!$A$6:$A$105,M430,DM_MAY!$F$6:$F$105))</x:f>
      </x:c>
      <x:c r="AG430" s="33" t="str">
        <x:f>IF(A430="","",AE430+AF430)</x:f>
      </x:c>
      <x:c r="AH430" s="21"/>
      <x:c r="AI430" s="29" t="str">
        <x:f>IF(A430="","",IF(OR(B430="",D430="",E430="",I430="",L430="",N430="",O430="",P430=""),"Thiếu dữ liệu",IF(AND(OR(N430="PRODUCTION",N430="REWORK",N430="SETUP"),M430=""),"Thiếu máy",IF(P430&lt;O430,"Sai thời gian",IF(AA430&lt;&gt;0,"Sai cân đối SL","Hợp lệ")))))</x:f>
      </x:c>
      <x:c r="AJ430" s="21"/>
    </x:row>
    <x:row r="431">
      <x:c r="A431" s="21"/>
      <x:c r="B431" s="35"/>
      <x:c r="C431" s="21"/>
      <x:c r="D431" s="21"/>
      <x:c r="E431" s="21"/>
      <x:c r="F431" s="21"/>
      <x:c r="G431" s="21"/>
      <x:c r="H431" s="29" t="str">
        <x:f>IF(OR(D431="",E431=""),"",D431&amp;"|"&amp;E431&amp;"|"&amp;IF(F431="","00",F431)&amp;"|"&amp;IF(G431="","01",G431))</x:f>
      </x:c>
      <x:c r="I431" s="21"/>
      <x:c r="J431" s="29" t="str">
        <x:f>IF(K431="","",IFERROR(INDEX('04_KE_HOACH_CD'!$I$6:$I$305,MATCH(K431,'04_KE_HOACH_CD'!$G$6:$G$305,0)),""))</x:f>
      </x:c>
      <x:c r="K431" s="29" t="str">
        <x:f>IF(OR(H431="",I431=""),"",H431&amp;"|"&amp;TEXT(I431,"000"))</x:f>
      </x:c>
      <x:c r="L431" s="21"/>
      <x:c r="M431" s="21"/>
      <x:c r="N431" s="21"/>
      <x:c r="O431" s="43"/>
      <x:c r="P431" s="43"/>
      <x:c r="Q431" s="25"/>
      <x:c r="R431" s="25"/>
      <x:c r="S431" s="39" t="str">
        <x:f>IF(A431="","",SUMIF('07_DUNG_CHO'!$B$6:$B$505,A431,'07_DUNG_CHO'!$E$6:$E$505))</x:f>
      </x:c>
      <x:c r="T431" s="39" t="str">
        <x:f>IF(A431="","",IF(N431="SETUP",0,MAX(0,(P431-O431)*1440-Q431-S431)))</x:f>
      </x:c>
      <x:c r="U431" s="25"/>
      <x:c r="V431" s="25"/>
      <x:c r="W431" s="25"/>
      <x:c r="X431" s="25"/>
      <x:c r="Y431" s="25"/>
      <x:c r="Z431" s="25"/>
      <x:c r="AA431" s="39" t="str">
        <x:f>IF(A431="","",U431-SUM(V431,X431:Z431))</x:f>
      </x:c>
      <x:c r="AB431" s="39" t="str">
        <x:f>IF(A431="","",IF(N431="SETUP",IFERROR(INDEX('04_KE_HOACH_CD'!$K$6:$K$305,MATCH(K431,'04_KE_HOACH_CD'!$G$6:$G$305,0)),0),IF(OR(N431="PRODUCTION",N431="REWORK"),IFERROR(INDEX('04_KE_HOACH_CD'!$L$6:$L$305,MATCH(K431,'04_KE_HOACH_CD'!$G$6:$G$305,0))*V431,0),0)))</x:f>
      </x:c>
      <x:c r="AC431" s="39" t="str">
        <x:f>IF(A431="","",MAX(0,(P431-O431)*1440-Q431))</x:f>
      </x:c>
      <x:c r="AD431" s="37" t="str">
        <x:f>IF(A431="","",IFERROR(AB431/AC431,0))</x:f>
      </x:c>
      <x:c r="AE431" s="33" t="str">
        <x:f>IF(A431="","",AC431/60*SUMIF(DM_NHAN_SU!$A$6:$A$105,L431,DM_NHAN_SU!$E$6:$E$105))</x:f>
      </x:c>
      <x:c r="AF431" s="33" t="str">
        <x:f>IF(A431="","",AC431/60*SUMIF(DM_MAY!$A$6:$A$105,M431,DM_MAY!$F$6:$F$105))</x:f>
      </x:c>
      <x:c r="AG431" s="33" t="str">
        <x:f>IF(A431="","",AE431+AF431)</x:f>
      </x:c>
      <x:c r="AH431" s="21"/>
      <x:c r="AI431" s="29" t="str">
        <x:f>IF(A431="","",IF(OR(B431="",D431="",E431="",I431="",L431="",N431="",O431="",P431=""),"Thiếu dữ liệu",IF(AND(OR(N431="PRODUCTION",N431="REWORK",N431="SETUP"),M431=""),"Thiếu máy",IF(P431&lt;O431,"Sai thời gian",IF(AA431&lt;&gt;0,"Sai cân đối SL","Hợp lệ")))))</x:f>
      </x:c>
      <x:c r="AJ431" s="21"/>
    </x:row>
    <x:row r="432">
      <x:c r="A432" s="21"/>
      <x:c r="B432" s="35"/>
      <x:c r="C432" s="21"/>
      <x:c r="D432" s="21"/>
      <x:c r="E432" s="21"/>
      <x:c r="F432" s="21"/>
      <x:c r="G432" s="21"/>
      <x:c r="H432" s="29" t="str">
        <x:f>IF(OR(D432="",E432=""),"",D432&amp;"|"&amp;E432&amp;"|"&amp;IF(F432="","00",F432)&amp;"|"&amp;IF(G432="","01",G432))</x:f>
      </x:c>
      <x:c r="I432" s="21"/>
      <x:c r="J432" s="29" t="str">
        <x:f>IF(K432="","",IFERROR(INDEX('04_KE_HOACH_CD'!$I$6:$I$305,MATCH(K432,'04_KE_HOACH_CD'!$G$6:$G$305,0)),""))</x:f>
      </x:c>
      <x:c r="K432" s="29" t="str">
        <x:f>IF(OR(H432="",I432=""),"",H432&amp;"|"&amp;TEXT(I432,"000"))</x:f>
      </x:c>
      <x:c r="L432" s="21"/>
      <x:c r="M432" s="21"/>
      <x:c r="N432" s="21"/>
      <x:c r="O432" s="43"/>
      <x:c r="P432" s="43"/>
      <x:c r="Q432" s="25"/>
      <x:c r="R432" s="25"/>
      <x:c r="S432" s="39" t="str">
        <x:f>IF(A432="","",SUMIF('07_DUNG_CHO'!$B$6:$B$505,A432,'07_DUNG_CHO'!$E$6:$E$505))</x:f>
      </x:c>
      <x:c r="T432" s="39" t="str">
        <x:f>IF(A432="","",IF(N432="SETUP",0,MAX(0,(P432-O432)*1440-Q432-S432)))</x:f>
      </x:c>
      <x:c r="U432" s="25"/>
      <x:c r="V432" s="25"/>
      <x:c r="W432" s="25"/>
      <x:c r="X432" s="25"/>
      <x:c r="Y432" s="25"/>
      <x:c r="Z432" s="25"/>
      <x:c r="AA432" s="39" t="str">
        <x:f>IF(A432="","",U432-SUM(V432,X432:Z432))</x:f>
      </x:c>
      <x:c r="AB432" s="39" t="str">
        <x:f>IF(A432="","",IF(N432="SETUP",IFERROR(INDEX('04_KE_HOACH_CD'!$K$6:$K$305,MATCH(K432,'04_KE_HOACH_CD'!$G$6:$G$305,0)),0),IF(OR(N432="PRODUCTION",N432="REWORK"),IFERROR(INDEX('04_KE_HOACH_CD'!$L$6:$L$305,MATCH(K432,'04_KE_HOACH_CD'!$G$6:$G$305,0))*V432,0),0)))</x:f>
      </x:c>
      <x:c r="AC432" s="39" t="str">
        <x:f>IF(A432="","",MAX(0,(P432-O432)*1440-Q432))</x:f>
      </x:c>
      <x:c r="AD432" s="37" t="str">
        <x:f>IF(A432="","",IFERROR(AB432/AC432,0))</x:f>
      </x:c>
      <x:c r="AE432" s="33" t="str">
        <x:f>IF(A432="","",AC432/60*SUMIF(DM_NHAN_SU!$A$6:$A$105,L432,DM_NHAN_SU!$E$6:$E$105))</x:f>
      </x:c>
      <x:c r="AF432" s="33" t="str">
        <x:f>IF(A432="","",AC432/60*SUMIF(DM_MAY!$A$6:$A$105,M432,DM_MAY!$F$6:$F$105))</x:f>
      </x:c>
      <x:c r="AG432" s="33" t="str">
        <x:f>IF(A432="","",AE432+AF432)</x:f>
      </x:c>
      <x:c r="AH432" s="21"/>
      <x:c r="AI432" s="29" t="str">
        <x:f>IF(A432="","",IF(OR(B432="",D432="",E432="",I432="",L432="",N432="",O432="",P432=""),"Thiếu dữ liệu",IF(AND(OR(N432="PRODUCTION",N432="REWORK",N432="SETUP"),M432=""),"Thiếu máy",IF(P432&lt;O432,"Sai thời gian",IF(AA432&lt;&gt;0,"Sai cân đối SL","Hợp lệ")))))</x:f>
      </x:c>
      <x:c r="AJ432" s="21"/>
    </x:row>
    <x:row r="433">
      <x:c r="A433" s="21"/>
      <x:c r="B433" s="35"/>
      <x:c r="C433" s="21"/>
      <x:c r="D433" s="21"/>
      <x:c r="E433" s="21"/>
      <x:c r="F433" s="21"/>
      <x:c r="G433" s="21"/>
      <x:c r="H433" s="29" t="str">
        <x:f>IF(OR(D433="",E433=""),"",D433&amp;"|"&amp;E433&amp;"|"&amp;IF(F433="","00",F433)&amp;"|"&amp;IF(G433="","01",G433))</x:f>
      </x:c>
      <x:c r="I433" s="21"/>
      <x:c r="J433" s="29" t="str">
        <x:f>IF(K433="","",IFERROR(INDEX('04_KE_HOACH_CD'!$I$6:$I$305,MATCH(K433,'04_KE_HOACH_CD'!$G$6:$G$305,0)),""))</x:f>
      </x:c>
      <x:c r="K433" s="29" t="str">
        <x:f>IF(OR(H433="",I433=""),"",H433&amp;"|"&amp;TEXT(I433,"000"))</x:f>
      </x:c>
      <x:c r="L433" s="21"/>
      <x:c r="M433" s="21"/>
      <x:c r="N433" s="21"/>
      <x:c r="O433" s="43"/>
      <x:c r="P433" s="43"/>
      <x:c r="Q433" s="25"/>
      <x:c r="R433" s="25"/>
      <x:c r="S433" s="39" t="str">
        <x:f>IF(A433="","",SUMIF('07_DUNG_CHO'!$B$6:$B$505,A433,'07_DUNG_CHO'!$E$6:$E$505))</x:f>
      </x:c>
      <x:c r="T433" s="39" t="str">
        <x:f>IF(A433="","",IF(N433="SETUP",0,MAX(0,(P433-O433)*1440-Q433-S433)))</x:f>
      </x:c>
      <x:c r="U433" s="25"/>
      <x:c r="V433" s="25"/>
      <x:c r="W433" s="25"/>
      <x:c r="X433" s="25"/>
      <x:c r="Y433" s="25"/>
      <x:c r="Z433" s="25"/>
      <x:c r="AA433" s="39" t="str">
        <x:f>IF(A433="","",U433-SUM(V433,X433:Z433))</x:f>
      </x:c>
      <x:c r="AB433" s="39" t="str">
        <x:f>IF(A433="","",IF(N433="SETUP",IFERROR(INDEX('04_KE_HOACH_CD'!$K$6:$K$305,MATCH(K433,'04_KE_HOACH_CD'!$G$6:$G$305,0)),0),IF(OR(N433="PRODUCTION",N433="REWORK"),IFERROR(INDEX('04_KE_HOACH_CD'!$L$6:$L$305,MATCH(K433,'04_KE_HOACH_CD'!$G$6:$G$305,0))*V433,0),0)))</x:f>
      </x:c>
      <x:c r="AC433" s="39" t="str">
        <x:f>IF(A433="","",MAX(0,(P433-O433)*1440-Q433))</x:f>
      </x:c>
      <x:c r="AD433" s="37" t="str">
        <x:f>IF(A433="","",IFERROR(AB433/AC433,0))</x:f>
      </x:c>
      <x:c r="AE433" s="33" t="str">
        <x:f>IF(A433="","",AC433/60*SUMIF(DM_NHAN_SU!$A$6:$A$105,L433,DM_NHAN_SU!$E$6:$E$105))</x:f>
      </x:c>
      <x:c r="AF433" s="33" t="str">
        <x:f>IF(A433="","",AC433/60*SUMIF(DM_MAY!$A$6:$A$105,M433,DM_MAY!$F$6:$F$105))</x:f>
      </x:c>
      <x:c r="AG433" s="33" t="str">
        <x:f>IF(A433="","",AE433+AF433)</x:f>
      </x:c>
      <x:c r="AH433" s="21"/>
      <x:c r="AI433" s="29" t="str">
        <x:f>IF(A433="","",IF(OR(B433="",D433="",E433="",I433="",L433="",N433="",O433="",P433=""),"Thiếu dữ liệu",IF(AND(OR(N433="PRODUCTION",N433="REWORK",N433="SETUP"),M433=""),"Thiếu máy",IF(P433&lt;O433,"Sai thời gian",IF(AA433&lt;&gt;0,"Sai cân đối SL","Hợp lệ")))))</x:f>
      </x:c>
      <x:c r="AJ433" s="21"/>
    </x:row>
    <x:row r="434">
      <x:c r="A434" s="21"/>
      <x:c r="B434" s="35"/>
      <x:c r="C434" s="21"/>
      <x:c r="D434" s="21"/>
      <x:c r="E434" s="21"/>
      <x:c r="F434" s="21"/>
      <x:c r="G434" s="21"/>
      <x:c r="H434" s="29" t="str">
        <x:f>IF(OR(D434="",E434=""),"",D434&amp;"|"&amp;E434&amp;"|"&amp;IF(F434="","00",F434)&amp;"|"&amp;IF(G434="","01",G434))</x:f>
      </x:c>
      <x:c r="I434" s="21"/>
      <x:c r="J434" s="29" t="str">
        <x:f>IF(K434="","",IFERROR(INDEX('04_KE_HOACH_CD'!$I$6:$I$305,MATCH(K434,'04_KE_HOACH_CD'!$G$6:$G$305,0)),""))</x:f>
      </x:c>
      <x:c r="K434" s="29" t="str">
        <x:f>IF(OR(H434="",I434=""),"",H434&amp;"|"&amp;TEXT(I434,"000"))</x:f>
      </x:c>
      <x:c r="L434" s="21"/>
      <x:c r="M434" s="21"/>
      <x:c r="N434" s="21"/>
      <x:c r="O434" s="43"/>
      <x:c r="P434" s="43"/>
      <x:c r="Q434" s="25"/>
      <x:c r="R434" s="25"/>
      <x:c r="S434" s="39" t="str">
        <x:f>IF(A434="","",SUMIF('07_DUNG_CHO'!$B$6:$B$505,A434,'07_DUNG_CHO'!$E$6:$E$505))</x:f>
      </x:c>
      <x:c r="T434" s="39" t="str">
        <x:f>IF(A434="","",IF(N434="SETUP",0,MAX(0,(P434-O434)*1440-Q434-S434)))</x:f>
      </x:c>
      <x:c r="U434" s="25"/>
      <x:c r="V434" s="25"/>
      <x:c r="W434" s="25"/>
      <x:c r="X434" s="25"/>
      <x:c r="Y434" s="25"/>
      <x:c r="Z434" s="25"/>
      <x:c r="AA434" s="39" t="str">
        <x:f>IF(A434="","",U434-SUM(V434,X434:Z434))</x:f>
      </x:c>
      <x:c r="AB434" s="39" t="str">
        <x:f>IF(A434="","",IF(N434="SETUP",IFERROR(INDEX('04_KE_HOACH_CD'!$K$6:$K$305,MATCH(K434,'04_KE_HOACH_CD'!$G$6:$G$305,0)),0),IF(OR(N434="PRODUCTION",N434="REWORK"),IFERROR(INDEX('04_KE_HOACH_CD'!$L$6:$L$305,MATCH(K434,'04_KE_HOACH_CD'!$G$6:$G$305,0))*V434,0),0)))</x:f>
      </x:c>
      <x:c r="AC434" s="39" t="str">
        <x:f>IF(A434="","",MAX(0,(P434-O434)*1440-Q434))</x:f>
      </x:c>
      <x:c r="AD434" s="37" t="str">
        <x:f>IF(A434="","",IFERROR(AB434/AC434,0))</x:f>
      </x:c>
      <x:c r="AE434" s="33" t="str">
        <x:f>IF(A434="","",AC434/60*SUMIF(DM_NHAN_SU!$A$6:$A$105,L434,DM_NHAN_SU!$E$6:$E$105))</x:f>
      </x:c>
      <x:c r="AF434" s="33" t="str">
        <x:f>IF(A434="","",AC434/60*SUMIF(DM_MAY!$A$6:$A$105,M434,DM_MAY!$F$6:$F$105))</x:f>
      </x:c>
      <x:c r="AG434" s="33" t="str">
        <x:f>IF(A434="","",AE434+AF434)</x:f>
      </x:c>
      <x:c r="AH434" s="21"/>
      <x:c r="AI434" s="29" t="str">
        <x:f>IF(A434="","",IF(OR(B434="",D434="",E434="",I434="",L434="",N434="",O434="",P434=""),"Thiếu dữ liệu",IF(AND(OR(N434="PRODUCTION",N434="REWORK",N434="SETUP"),M434=""),"Thiếu máy",IF(P434&lt;O434,"Sai thời gian",IF(AA434&lt;&gt;0,"Sai cân đối SL","Hợp lệ")))))</x:f>
      </x:c>
      <x:c r="AJ434" s="21"/>
    </x:row>
    <x:row r="435">
      <x:c r="A435" s="21"/>
      <x:c r="B435" s="35"/>
      <x:c r="C435" s="21"/>
      <x:c r="D435" s="21"/>
      <x:c r="E435" s="21"/>
      <x:c r="F435" s="21"/>
      <x:c r="G435" s="21"/>
      <x:c r="H435" s="29" t="str">
        <x:f>IF(OR(D435="",E435=""),"",D435&amp;"|"&amp;E435&amp;"|"&amp;IF(F435="","00",F435)&amp;"|"&amp;IF(G435="","01",G435))</x:f>
      </x:c>
      <x:c r="I435" s="21"/>
      <x:c r="J435" s="29" t="str">
        <x:f>IF(K435="","",IFERROR(INDEX('04_KE_HOACH_CD'!$I$6:$I$305,MATCH(K435,'04_KE_HOACH_CD'!$G$6:$G$305,0)),""))</x:f>
      </x:c>
      <x:c r="K435" s="29" t="str">
        <x:f>IF(OR(H435="",I435=""),"",H435&amp;"|"&amp;TEXT(I435,"000"))</x:f>
      </x:c>
      <x:c r="L435" s="21"/>
      <x:c r="M435" s="21"/>
      <x:c r="N435" s="21"/>
      <x:c r="O435" s="43"/>
      <x:c r="P435" s="43"/>
      <x:c r="Q435" s="25"/>
      <x:c r="R435" s="25"/>
      <x:c r="S435" s="39" t="str">
        <x:f>IF(A435="","",SUMIF('07_DUNG_CHO'!$B$6:$B$505,A435,'07_DUNG_CHO'!$E$6:$E$505))</x:f>
      </x:c>
      <x:c r="T435" s="39" t="str">
        <x:f>IF(A435="","",IF(N435="SETUP",0,MAX(0,(P435-O435)*1440-Q435-S435)))</x:f>
      </x:c>
      <x:c r="U435" s="25"/>
      <x:c r="V435" s="25"/>
      <x:c r="W435" s="25"/>
      <x:c r="X435" s="25"/>
      <x:c r="Y435" s="25"/>
      <x:c r="Z435" s="25"/>
      <x:c r="AA435" s="39" t="str">
        <x:f>IF(A435="","",U435-SUM(V435,X435:Z435))</x:f>
      </x:c>
      <x:c r="AB435" s="39" t="str">
        <x:f>IF(A435="","",IF(N435="SETUP",IFERROR(INDEX('04_KE_HOACH_CD'!$K$6:$K$305,MATCH(K435,'04_KE_HOACH_CD'!$G$6:$G$305,0)),0),IF(OR(N435="PRODUCTION",N435="REWORK"),IFERROR(INDEX('04_KE_HOACH_CD'!$L$6:$L$305,MATCH(K435,'04_KE_HOACH_CD'!$G$6:$G$305,0))*V435,0),0)))</x:f>
      </x:c>
      <x:c r="AC435" s="39" t="str">
        <x:f>IF(A435="","",MAX(0,(P435-O435)*1440-Q435))</x:f>
      </x:c>
      <x:c r="AD435" s="37" t="str">
        <x:f>IF(A435="","",IFERROR(AB435/AC435,0))</x:f>
      </x:c>
      <x:c r="AE435" s="33" t="str">
        <x:f>IF(A435="","",AC435/60*SUMIF(DM_NHAN_SU!$A$6:$A$105,L435,DM_NHAN_SU!$E$6:$E$105))</x:f>
      </x:c>
      <x:c r="AF435" s="33" t="str">
        <x:f>IF(A435="","",AC435/60*SUMIF(DM_MAY!$A$6:$A$105,M435,DM_MAY!$F$6:$F$105))</x:f>
      </x:c>
      <x:c r="AG435" s="33" t="str">
        <x:f>IF(A435="","",AE435+AF435)</x:f>
      </x:c>
      <x:c r="AH435" s="21"/>
      <x:c r="AI435" s="29" t="str">
        <x:f>IF(A435="","",IF(OR(B435="",D435="",E435="",I435="",L435="",N435="",O435="",P435=""),"Thiếu dữ liệu",IF(AND(OR(N435="PRODUCTION",N435="REWORK",N435="SETUP"),M435=""),"Thiếu máy",IF(P435&lt;O435,"Sai thời gian",IF(AA435&lt;&gt;0,"Sai cân đối SL","Hợp lệ")))))</x:f>
      </x:c>
      <x:c r="AJ435" s="21"/>
    </x:row>
    <x:row r="436">
      <x:c r="A436" s="21"/>
      <x:c r="B436" s="35"/>
      <x:c r="C436" s="21"/>
      <x:c r="D436" s="21"/>
      <x:c r="E436" s="21"/>
      <x:c r="F436" s="21"/>
      <x:c r="G436" s="21"/>
      <x:c r="H436" s="29" t="str">
        <x:f>IF(OR(D436="",E436=""),"",D436&amp;"|"&amp;E436&amp;"|"&amp;IF(F436="","00",F436)&amp;"|"&amp;IF(G436="","01",G436))</x:f>
      </x:c>
      <x:c r="I436" s="21"/>
      <x:c r="J436" s="29" t="str">
        <x:f>IF(K436="","",IFERROR(INDEX('04_KE_HOACH_CD'!$I$6:$I$305,MATCH(K436,'04_KE_HOACH_CD'!$G$6:$G$305,0)),""))</x:f>
      </x:c>
      <x:c r="K436" s="29" t="str">
        <x:f>IF(OR(H436="",I436=""),"",H436&amp;"|"&amp;TEXT(I436,"000"))</x:f>
      </x:c>
      <x:c r="L436" s="21"/>
      <x:c r="M436" s="21"/>
      <x:c r="N436" s="21"/>
      <x:c r="O436" s="43"/>
      <x:c r="P436" s="43"/>
      <x:c r="Q436" s="25"/>
      <x:c r="R436" s="25"/>
      <x:c r="S436" s="39" t="str">
        <x:f>IF(A436="","",SUMIF('07_DUNG_CHO'!$B$6:$B$505,A436,'07_DUNG_CHO'!$E$6:$E$505))</x:f>
      </x:c>
      <x:c r="T436" s="39" t="str">
        <x:f>IF(A436="","",IF(N436="SETUP",0,MAX(0,(P436-O436)*1440-Q436-S436)))</x:f>
      </x:c>
      <x:c r="U436" s="25"/>
      <x:c r="V436" s="25"/>
      <x:c r="W436" s="25"/>
      <x:c r="X436" s="25"/>
      <x:c r="Y436" s="25"/>
      <x:c r="Z436" s="25"/>
      <x:c r="AA436" s="39" t="str">
        <x:f>IF(A436="","",U436-SUM(V436,X436:Z436))</x:f>
      </x:c>
      <x:c r="AB436" s="39" t="str">
        <x:f>IF(A436="","",IF(N436="SETUP",IFERROR(INDEX('04_KE_HOACH_CD'!$K$6:$K$305,MATCH(K436,'04_KE_HOACH_CD'!$G$6:$G$305,0)),0),IF(OR(N436="PRODUCTION",N436="REWORK"),IFERROR(INDEX('04_KE_HOACH_CD'!$L$6:$L$305,MATCH(K436,'04_KE_HOACH_CD'!$G$6:$G$305,0))*V436,0),0)))</x:f>
      </x:c>
      <x:c r="AC436" s="39" t="str">
        <x:f>IF(A436="","",MAX(0,(P436-O436)*1440-Q436))</x:f>
      </x:c>
      <x:c r="AD436" s="37" t="str">
        <x:f>IF(A436="","",IFERROR(AB436/AC436,0))</x:f>
      </x:c>
      <x:c r="AE436" s="33" t="str">
        <x:f>IF(A436="","",AC436/60*SUMIF(DM_NHAN_SU!$A$6:$A$105,L436,DM_NHAN_SU!$E$6:$E$105))</x:f>
      </x:c>
      <x:c r="AF436" s="33" t="str">
        <x:f>IF(A436="","",AC436/60*SUMIF(DM_MAY!$A$6:$A$105,M436,DM_MAY!$F$6:$F$105))</x:f>
      </x:c>
      <x:c r="AG436" s="33" t="str">
        <x:f>IF(A436="","",AE436+AF436)</x:f>
      </x:c>
      <x:c r="AH436" s="21"/>
      <x:c r="AI436" s="29" t="str">
        <x:f>IF(A436="","",IF(OR(B436="",D436="",E436="",I436="",L436="",N436="",O436="",P436=""),"Thiếu dữ liệu",IF(AND(OR(N436="PRODUCTION",N436="REWORK",N436="SETUP"),M436=""),"Thiếu máy",IF(P436&lt;O436,"Sai thời gian",IF(AA436&lt;&gt;0,"Sai cân đối SL","Hợp lệ")))))</x:f>
      </x:c>
      <x:c r="AJ436" s="21"/>
    </x:row>
    <x:row r="437">
      <x:c r="A437" s="21"/>
      <x:c r="B437" s="35"/>
      <x:c r="C437" s="21"/>
      <x:c r="D437" s="21"/>
      <x:c r="E437" s="21"/>
      <x:c r="F437" s="21"/>
      <x:c r="G437" s="21"/>
      <x:c r="H437" s="29" t="str">
        <x:f>IF(OR(D437="",E437=""),"",D437&amp;"|"&amp;E437&amp;"|"&amp;IF(F437="","00",F437)&amp;"|"&amp;IF(G437="","01",G437))</x:f>
      </x:c>
      <x:c r="I437" s="21"/>
      <x:c r="J437" s="29" t="str">
        <x:f>IF(K437="","",IFERROR(INDEX('04_KE_HOACH_CD'!$I$6:$I$305,MATCH(K437,'04_KE_HOACH_CD'!$G$6:$G$305,0)),""))</x:f>
      </x:c>
      <x:c r="K437" s="29" t="str">
        <x:f>IF(OR(H437="",I437=""),"",H437&amp;"|"&amp;TEXT(I437,"000"))</x:f>
      </x:c>
      <x:c r="L437" s="21"/>
      <x:c r="M437" s="21"/>
      <x:c r="N437" s="21"/>
      <x:c r="O437" s="43"/>
      <x:c r="P437" s="43"/>
      <x:c r="Q437" s="25"/>
      <x:c r="R437" s="25"/>
      <x:c r="S437" s="39" t="str">
        <x:f>IF(A437="","",SUMIF('07_DUNG_CHO'!$B$6:$B$505,A437,'07_DUNG_CHO'!$E$6:$E$505))</x:f>
      </x:c>
      <x:c r="T437" s="39" t="str">
        <x:f>IF(A437="","",IF(N437="SETUP",0,MAX(0,(P437-O437)*1440-Q437-S437)))</x:f>
      </x:c>
      <x:c r="U437" s="25"/>
      <x:c r="V437" s="25"/>
      <x:c r="W437" s="25"/>
      <x:c r="X437" s="25"/>
      <x:c r="Y437" s="25"/>
      <x:c r="Z437" s="25"/>
      <x:c r="AA437" s="39" t="str">
        <x:f>IF(A437="","",U437-SUM(V437,X437:Z437))</x:f>
      </x:c>
      <x:c r="AB437" s="39" t="str">
        <x:f>IF(A437="","",IF(N437="SETUP",IFERROR(INDEX('04_KE_HOACH_CD'!$K$6:$K$305,MATCH(K437,'04_KE_HOACH_CD'!$G$6:$G$305,0)),0),IF(OR(N437="PRODUCTION",N437="REWORK"),IFERROR(INDEX('04_KE_HOACH_CD'!$L$6:$L$305,MATCH(K437,'04_KE_HOACH_CD'!$G$6:$G$305,0))*V437,0),0)))</x:f>
      </x:c>
      <x:c r="AC437" s="39" t="str">
        <x:f>IF(A437="","",MAX(0,(P437-O437)*1440-Q437))</x:f>
      </x:c>
      <x:c r="AD437" s="37" t="str">
        <x:f>IF(A437="","",IFERROR(AB437/AC437,0))</x:f>
      </x:c>
      <x:c r="AE437" s="33" t="str">
        <x:f>IF(A437="","",AC437/60*SUMIF(DM_NHAN_SU!$A$6:$A$105,L437,DM_NHAN_SU!$E$6:$E$105))</x:f>
      </x:c>
      <x:c r="AF437" s="33" t="str">
        <x:f>IF(A437="","",AC437/60*SUMIF(DM_MAY!$A$6:$A$105,M437,DM_MAY!$F$6:$F$105))</x:f>
      </x:c>
      <x:c r="AG437" s="33" t="str">
        <x:f>IF(A437="","",AE437+AF437)</x:f>
      </x:c>
      <x:c r="AH437" s="21"/>
      <x:c r="AI437" s="29" t="str">
        <x:f>IF(A437="","",IF(OR(B437="",D437="",E437="",I437="",L437="",N437="",O437="",P437=""),"Thiếu dữ liệu",IF(AND(OR(N437="PRODUCTION",N437="REWORK",N437="SETUP"),M437=""),"Thiếu máy",IF(P437&lt;O437,"Sai thời gian",IF(AA437&lt;&gt;0,"Sai cân đối SL","Hợp lệ")))))</x:f>
      </x:c>
      <x:c r="AJ437" s="21"/>
    </x:row>
    <x:row r="438">
      <x:c r="A438" s="21"/>
      <x:c r="B438" s="35"/>
      <x:c r="C438" s="21"/>
      <x:c r="D438" s="21"/>
      <x:c r="E438" s="21"/>
      <x:c r="F438" s="21"/>
      <x:c r="G438" s="21"/>
      <x:c r="H438" s="29" t="str">
        <x:f>IF(OR(D438="",E438=""),"",D438&amp;"|"&amp;E438&amp;"|"&amp;IF(F438="","00",F438)&amp;"|"&amp;IF(G438="","01",G438))</x:f>
      </x:c>
      <x:c r="I438" s="21"/>
      <x:c r="J438" s="29" t="str">
        <x:f>IF(K438="","",IFERROR(INDEX('04_KE_HOACH_CD'!$I$6:$I$305,MATCH(K438,'04_KE_HOACH_CD'!$G$6:$G$305,0)),""))</x:f>
      </x:c>
      <x:c r="K438" s="29" t="str">
        <x:f>IF(OR(H438="",I438=""),"",H438&amp;"|"&amp;TEXT(I438,"000"))</x:f>
      </x:c>
      <x:c r="L438" s="21"/>
      <x:c r="M438" s="21"/>
      <x:c r="N438" s="21"/>
      <x:c r="O438" s="43"/>
      <x:c r="P438" s="43"/>
      <x:c r="Q438" s="25"/>
      <x:c r="R438" s="25"/>
      <x:c r="S438" s="39" t="str">
        <x:f>IF(A438="","",SUMIF('07_DUNG_CHO'!$B$6:$B$505,A438,'07_DUNG_CHO'!$E$6:$E$505))</x:f>
      </x:c>
      <x:c r="T438" s="39" t="str">
        <x:f>IF(A438="","",IF(N438="SETUP",0,MAX(0,(P438-O438)*1440-Q438-S438)))</x:f>
      </x:c>
      <x:c r="U438" s="25"/>
      <x:c r="V438" s="25"/>
      <x:c r="W438" s="25"/>
      <x:c r="X438" s="25"/>
      <x:c r="Y438" s="25"/>
      <x:c r="Z438" s="25"/>
      <x:c r="AA438" s="39" t="str">
        <x:f>IF(A438="","",U438-SUM(V438,X438:Z438))</x:f>
      </x:c>
      <x:c r="AB438" s="39" t="str">
        <x:f>IF(A438="","",IF(N438="SETUP",IFERROR(INDEX('04_KE_HOACH_CD'!$K$6:$K$305,MATCH(K438,'04_KE_HOACH_CD'!$G$6:$G$305,0)),0),IF(OR(N438="PRODUCTION",N438="REWORK"),IFERROR(INDEX('04_KE_HOACH_CD'!$L$6:$L$305,MATCH(K438,'04_KE_HOACH_CD'!$G$6:$G$305,0))*V438,0),0)))</x:f>
      </x:c>
      <x:c r="AC438" s="39" t="str">
        <x:f>IF(A438="","",MAX(0,(P438-O438)*1440-Q438))</x:f>
      </x:c>
      <x:c r="AD438" s="37" t="str">
        <x:f>IF(A438="","",IFERROR(AB438/AC438,0))</x:f>
      </x:c>
      <x:c r="AE438" s="33" t="str">
        <x:f>IF(A438="","",AC438/60*SUMIF(DM_NHAN_SU!$A$6:$A$105,L438,DM_NHAN_SU!$E$6:$E$105))</x:f>
      </x:c>
      <x:c r="AF438" s="33" t="str">
        <x:f>IF(A438="","",AC438/60*SUMIF(DM_MAY!$A$6:$A$105,M438,DM_MAY!$F$6:$F$105))</x:f>
      </x:c>
      <x:c r="AG438" s="33" t="str">
        <x:f>IF(A438="","",AE438+AF438)</x:f>
      </x:c>
      <x:c r="AH438" s="21"/>
      <x:c r="AI438" s="29" t="str">
        <x:f>IF(A438="","",IF(OR(B438="",D438="",E438="",I438="",L438="",N438="",O438="",P438=""),"Thiếu dữ liệu",IF(AND(OR(N438="PRODUCTION",N438="REWORK",N438="SETUP"),M438=""),"Thiếu máy",IF(P438&lt;O438,"Sai thời gian",IF(AA438&lt;&gt;0,"Sai cân đối SL","Hợp lệ")))))</x:f>
      </x:c>
      <x:c r="AJ438" s="21"/>
    </x:row>
    <x:row r="439">
      <x:c r="A439" s="21"/>
      <x:c r="B439" s="35"/>
      <x:c r="C439" s="21"/>
      <x:c r="D439" s="21"/>
      <x:c r="E439" s="21"/>
      <x:c r="F439" s="21"/>
      <x:c r="G439" s="21"/>
      <x:c r="H439" s="29" t="str">
        <x:f>IF(OR(D439="",E439=""),"",D439&amp;"|"&amp;E439&amp;"|"&amp;IF(F439="","00",F439)&amp;"|"&amp;IF(G439="","01",G439))</x:f>
      </x:c>
      <x:c r="I439" s="21"/>
      <x:c r="J439" s="29" t="str">
        <x:f>IF(K439="","",IFERROR(INDEX('04_KE_HOACH_CD'!$I$6:$I$305,MATCH(K439,'04_KE_HOACH_CD'!$G$6:$G$305,0)),""))</x:f>
      </x:c>
      <x:c r="K439" s="29" t="str">
        <x:f>IF(OR(H439="",I439=""),"",H439&amp;"|"&amp;TEXT(I439,"000"))</x:f>
      </x:c>
      <x:c r="L439" s="21"/>
      <x:c r="M439" s="21"/>
      <x:c r="N439" s="21"/>
      <x:c r="O439" s="43"/>
      <x:c r="P439" s="43"/>
      <x:c r="Q439" s="25"/>
      <x:c r="R439" s="25"/>
      <x:c r="S439" s="39" t="str">
        <x:f>IF(A439="","",SUMIF('07_DUNG_CHO'!$B$6:$B$505,A439,'07_DUNG_CHO'!$E$6:$E$505))</x:f>
      </x:c>
      <x:c r="T439" s="39" t="str">
        <x:f>IF(A439="","",IF(N439="SETUP",0,MAX(0,(P439-O439)*1440-Q439-S439)))</x:f>
      </x:c>
      <x:c r="U439" s="25"/>
      <x:c r="V439" s="25"/>
      <x:c r="W439" s="25"/>
      <x:c r="X439" s="25"/>
      <x:c r="Y439" s="25"/>
      <x:c r="Z439" s="25"/>
      <x:c r="AA439" s="39" t="str">
        <x:f>IF(A439="","",U439-SUM(V439,X439:Z439))</x:f>
      </x:c>
      <x:c r="AB439" s="39" t="str">
        <x:f>IF(A439="","",IF(N439="SETUP",IFERROR(INDEX('04_KE_HOACH_CD'!$K$6:$K$305,MATCH(K439,'04_KE_HOACH_CD'!$G$6:$G$305,0)),0),IF(OR(N439="PRODUCTION",N439="REWORK"),IFERROR(INDEX('04_KE_HOACH_CD'!$L$6:$L$305,MATCH(K439,'04_KE_HOACH_CD'!$G$6:$G$305,0))*V439,0),0)))</x:f>
      </x:c>
      <x:c r="AC439" s="39" t="str">
        <x:f>IF(A439="","",MAX(0,(P439-O439)*1440-Q439))</x:f>
      </x:c>
      <x:c r="AD439" s="37" t="str">
        <x:f>IF(A439="","",IFERROR(AB439/AC439,0))</x:f>
      </x:c>
      <x:c r="AE439" s="33" t="str">
        <x:f>IF(A439="","",AC439/60*SUMIF(DM_NHAN_SU!$A$6:$A$105,L439,DM_NHAN_SU!$E$6:$E$105))</x:f>
      </x:c>
      <x:c r="AF439" s="33" t="str">
        <x:f>IF(A439="","",AC439/60*SUMIF(DM_MAY!$A$6:$A$105,M439,DM_MAY!$F$6:$F$105))</x:f>
      </x:c>
      <x:c r="AG439" s="33" t="str">
        <x:f>IF(A439="","",AE439+AF439)</x:f>
      </x:c>
      <x:c r="AH439" s="21"/>
      <x:c r="AI439" s="29" t="str">
        <x:f>IF(A439="","",IF(OR(B439="",D439="",E439="",I439="",L439="",N439="",O439="",P439=""),"Thiếu dữ liệu",IF(AND(OR(N439="PRODUCTION",N439="REWORK",N439="SETUP"),M439=""),"Thiếu máy",IF(P439&lt;O439,"Sai thời gian",IF(AA439&lt;&gt;0,"Sai cân đối SL","Hợp lệ")))))</x:f>
      </x:c>
      <x:c r="AJ439" s="21"/>
    </x:row>
    <x:row r="440">
      <x:c r="A440" s="21"/>
      <x:c r="B440" s="35"/>
      <x:c r="C440" s="21"/>
      <x:c r="D440" s="21"/>
      <x:c r="E440" s="21"/>
      <x:c r="F440" s="21"/>
      <x:c r="G440" s="21"/>
      <x:c r="H440" s="29" t="str">
        <x:f>IF(OR(D440="",E440=""),"",D440&amp;"|"&amp;E440&amp;"|"&amp;IF(F440="","00",F440)&amp;"|"&amp;IF(G440="","01",G440))</x:f>
      </x:c>
      <x:c r="I440" s="21"/>
      <x:c r="J440" s="29" t="str">
        <x:f>IF(K440="","",IFERROR(INDEX('04_KE_HOACH_CD'!$I$6:$I$305,MATCH(K440,'04_KE_HOACH_CD'!$G$6:$G$305,0)),""))</x:f>
      </x:c>
      <x:c r="K440" s="29" t="str">
        <x:f>IF(OR(H440="",I440=""),"",H440&amp;"|"&amp;TEXT(I440,"000"))</x:f>
      </x:c>
      <x:c r="L440" s="21"/>
      <x:c r="M440" s="21"/>
      <x:c r="N440" s="21"/>
      <x:c r="O440" s="43"/>
      <x:c r="P440" s="43"/>
      <x:c r="Q440" s="25"/>
      <x:c r="R440" s="25"/>
      <x:c r="S440" s="39" t="str">
        <x:f>IF(A440="","",SUMIF('07_DUNG_CHO'!$B$6:$B$505,A440,'07_DUNG_CHO'!$E$6:$E$505))</x:f>
      </x:c>
      <x:c r="T440" s="39" t="str">
        <x:f>IF(A440="","",IF(N440="SETUP",0,MAX(0,(P440-O440)*1440-Q440-S440)))</x:f>
      </x:c>
      <x:c r="U440" s="25"/>
      <x:c r="V440" s="25"/>
      <x:c r="W440" s="25"/>
      <x:c r="X440" s="25"/>
      <x:c r="Y440" s="25"/>
      <x:c r="Z440" s="25"/>
      <x:c r="AA440" s="39" t="str">
        <x:f>IF(A440="","",U440-SUM(V440,X440:Z440))</x:f>
      </x:c>
      <x:c r="AB440" s="39" t="str">
        <x:f>IF(A440="","",IF(N440="SETUP",IFERROR(INDEX('04_KE_HOACH_CD'!$K$6:$K$305,MATCH(K440,'04_KE_HOACH_CD'!$G$6:$G$305,0)),0),IF(OR(N440="PRODUCTION",N440="REWORK"),IFERROR(INDEX('04_KE_HOACH_CD'!$L$6:$L$305,MATCH(K440,'04_KE_HOACH_CD'!$G$6:$G$305,0))*V440,0),0)))</x:f>
      </x:c>
      <x:c r="AC440" s="39" t="str">
        <x:f>IF(A440="","",MAX(0,(P440-O440)*1440-Q440))</x:f>
      </x:c>
      <x:c r="AD440" s="37" t="str">
        <x:f>IF(A440="","",IFERROR(AB440/AC440,0))</x:f>
      </x:c>
      <x:c r="AE440" s="33" t="str">
        <x:f>IF(A440="","",AC440/60*SUMIF(DM_NHAN_SU!$A$6:$A$105,L440,DM_NHAN_SU!$E$6:$E$105))</x:f>
      </x:c>
      <x:c r="AF440" s="33" t="str">
        <x:f>IF(A440="","",AC440/60*SUMIF(DM_MAY!$A$6:$A$105,M440,DM_MAY!$F$6:$F$105))</x:f>
      </x:c>
      <x:c r="AG440" s="33" t="str">
        <x:f>IF(A440="","",AE440+AF440)</x:f>
      </x:c>
      <x:c r="AH440" s="21"/>
      <x:c r="AI440" s="29" t="str">
        <x:f>IF(A440="","",IF(OR(B440="",D440="",E440="",I440="",L440="",N440="",O440="",P440=""),"Thiếu dữ liệu",IF(AND(OR(N440="PRODUCTION",N440="REWORK",N440="SETUP"),M440=""),"Thiếu máy",IF(P440&lt;O440,"Sai thời gian",IF(AA440&lt;&gt;0,"Sai cân đối SL","Hợp lệ")))))</x:f>
      </x:c>
      <x:c r="AJ440" s="21"/>
    </x:row>
    <x:row r="441">
      <x:c r="A441" s="21"/>
      <x:c r="B441" s="35"/>
      <x:c r="C441" s="21"/>
      <x:c r="D441" s="21"/>
      <x:c r="E441" s="21"/>
      <x:c r="F441" s="21"/>
      <x:c r="G441" s="21"/>
      <x:c r="H441" s="29" t="str">
        <x:f>IF(OR(D441="",E441=""),"",D441&amp;"|"&amp;E441&amp;"|"&amp;IF(F441="","00",F441)&amp;"|"&amp;IF(G441="","01",G441))</x:f>
      </x:c>
      <x:c r="I441" s="21"/>
      <x:c r="J441" s="29" t="str">
        <x:f>IF(K441="","",IFERROR(INDEX('04_KE_HOACH_CD'!$I$6:$I$305,MATCH(K441,'04_KE_HOACH_CD'!$G$6:$G$305,0)),""))</x:f>
      </x:c>
      <x:c r="K441" s="29" t="str">
        <x:f>IF(OR(H441="",I441=""),"",H441&amp;"|"&amp;TEXT(I441,"000"))</x:f>
      </x:c>
      <x:c r="L441" s="21"/>
      <x:c r="M441" s="21"/>
      <x:c r="N441" s="21"/>
      <x:c r="O441" s="43"/>
      <x:c r="P441" s="43"/>
      <x:c r="Q441" s="25"/>
      <x:c r="R441" s="25"/>
      <x:c r="S441" s="39" t="str">
        <x:f>IF(A441="","",SUMIF('07_DUNG_CHO'!$B$6:$B$505,A441,'07_DUNG_CHO'!$E$6:$E$505))</x:f>
      </x:c>
      <x:c r="T441" s="39" t="str">
        <x:f>IF(A441="","",IF(N441="SETUP",0,MAX(0,(P441-O441)*1440-Q441-S441)))</x:f>
      </x:c>
      <x:c r="U441" s="25"/>
      <x:c r="V441" s="25"/>
      <x:c r="W441" s="25"/>
      <x:c r="X441" s="25"/>
      <x:c r="Y441" s="25"/>
      <x:c r="Z441" s="25"/>
      <x:c r="AA441" s="39" t="str">
        <x:f>IF(A441="","",U441-SUM(V441,X441:Z441))</x:f>
      </x:c>
      <x:c r="AB441" s="39" t="str">
        <x:f>IF(A441="","",IF(N441="SETUP",IFERROR(INDEX('04_KE_HOACH_CD'!$K$6:$K$305,MATCH(K441,'04_KE_HOACH_CD'!$G$6:$G$305,0)),0),IF(OR(N441="PRODUCTION",N441="REWORK"),IFERROR(INDEX('04_KE_HOACH_CD'!$L$6:$L$305,MATCH(K441,'04_KE_HOACH_CD'!$G$6:$G$305,0))*V441,0),0)))</x:f>
      </x:c>
      <x:c r="AC441" s="39" t="str">
        <x:f>IF(A441="","",MAX(0,(P441-O441)*1440-Q441))</x:f>
      </x:c>
      <x:c r="AD441" s="37" t="str">
        <x:f>IF(A441="","",IFERROR(AB441/AC441,0))</x:f>
      </x:c>
      <x:c r="AE441" s="33" t="str">
        <x:f>IF(A441="","",AC441/60*SUMIF(DM_NHAN_SU!$A$6:$A$105,L441,DM_NHAN_SU!$E$6:$E$105))</x:f>
      </x:c>
      <x:c r="AF441" s="33" t="str">
        <x:f>IF(A441="","",AC441/60*SUMIF(DM_MAY!$A$6:$A$105,M441,DM_MAY!$F$6:$F$105))</x:f>
      </x:c>
      <x:c r="AG441" s="33" t="str">
        <x:f>IF(A441="","",AE441+AF441)</x:f>
      </x:c>
      <x:c r="AH441" s="21"/>
      <x:c r="AI441" s="29" t="str">
        <x:f>IF(A441="","",IF(OR(B441="",D441="",E441="",I441="",L441="",N441="",O441="",P441=""),"Thiếu dữ liệu",IF(AND(OR(N441="PRODUCTION",N441="REWORK",N441="SETUP"),M441=""),"Thiếu máy",IF(P441&lt;O441,"Sai thời gian",IF(AA441&lt;&gt;0,"Sai cân đối SL","Hợp lệ")))))</x:f>
      </x:c>
      <x:c r="AJ441" s="21"/>
    </x:row>
    <x:row r="442">
      <x:c r="A442" s="21"/>
      <x:c r="B442" s="35"/>
      <x:c r="C442" s="21"/>
      <x:c r="D442" s="21"/>
      <x:c r="E442" s="21"/>
      <x:c r="F442" s="21"/>
      <x:c r="G442" s="21"/>
      <x:c r="H442" s="29" t="str">
        <x:f>IF(OR(D442="",E442=""),"",D442&amp;"|"&amp;E442&amp;"|"&amp;IF(F442="","00",F442)&amp;"|"&amp;IF(G442="","01",G442))</x:f>
      </x:c>
      <x:c r="I442" s="21"/>
      <x:c r="J442" s="29" t="str">
        <x:f>IF(K442="","",IFERROR(INDEX('04_KE_HOACH_CD'!$I$6:$I$305,MATCH(K442,'04_KE_HOACH_CD'!$G$6:$G$305,0)),""))</x:f>
      </x:c>
      <x:c r="K442" s="29" t="str">
        <x:f>IF(OR(H442="",I442=""),"",H442&amp;"|"&amp;TEXT(I442,"000"))</x:f>
      </x:c>
      <x:c r="L442" s="21"/>
      <x:c r="M442" s="21"/>
      <x:c r="N442" s="21"/>
      <x:c r="O442" s="43"/>
      <x:c r="P442" s="43"/>
      <x:c r="Q442" s="25"/>
      <x:c r="R442" s="25"/>
      <x:c r="S442" s="39" t="str">
        <x:f>IF(A442="","",SUMIF('07_DUNG_CHO'!$B$6:$B$505,A442,'07_DUNG_CHO'!$E$6:$E$505))</x:f>
      </x:c>
      <x:c r="T442" s="39" t="str">
        <x:f>IF(A442="","",IF(N442="SETUP",0,MAX(0,(P442-O442)*1440-Q442-S442)))</x:f>
      </x:c>
      <x:c r="U442" s="25"/>
      <x:c r="V442" s="25"/>
      <x:c r="W442" s="25"/>
      <x:c r="X442" s="25"/>
      <x:c r="Y442" s="25"/>
      <x:c r="Z442" s="25"/>
      <x:c r="AA442" s="39" t="str">
        <x:f>IF(A442="","",U442-SUM(V442,X442:Z442))</x:f>
      </x:c>
      <x:c r="AB442" s="39" t="str">
        <x:f>IF(A442="","",IF(N442="SETUP",IFERROR(INDEX('04_KE_HOACH_CD'!$K$6:$K$305,MATCH(K442,'04_KE_HOACH_CD'!$G$6:$G$305,0)),0),IF(OR(N442="PRODUCTION",N442="REWORK"),IFERROR(INDEX('04_KE_HOACH_CD'!$L$6:$L$305,MATCH(K442,'04_KE_HOACH_CD'!$G$6:$G$305,0))*V442,0),0)))</x:f>
      </x:c>
      <x:c r="AC442" s="39" t="str">
        <x:f>IF(A442="","",MAX(0,(P442-O442)*1440-Q442))</x:f>
      </x:c>
      <x:c r="AD442" s="37" t="str">
        <x:f>IF(A442="","",IFERROR(AB442/AC442,0))</x:f>
      </x:c>
      <x:c r="AE442" s="33" t="str">
        <x:f>IF(A442="","",AC442/60*SUMIF(DM_NHAN_SU!$A$6:$A$105,L442,DM_NHAN_SU!$E$6:$E$105))</x:f>
      </x:c>
      <x:c r="AF442" s="33" t="str">
        <x:f>IF(A442="","",AC442/60*SUMIF(DM_MAY!$A$6:$A$105,M442,DM_MAY!$F$6:$F$105))</x:f>
      </x:c>
      <x:c r="AG442" s="33" t="str">
        <x:f>IF(A442="","",AE442+AF442)</x:f>
      </x:c>
      <x:c r="AH442" s="21"/>
      <x:c r="AI442" s="29" t="str">
        <x:f>IF(A442="","",IF(OR(B442="",D442="",E442="",I442="",L442="",N442="",O442="",P442=""),"Thiếu dữ liệu",IF(AND(OR(N442="PRODUCTION",N442="REWORK",N442="SETUP"),M442=""),"Thiếu máy",IF(P442&lt;O442,"Sai thời gian",IF(AA442&lt;&gt;0,"Sai cân đối SL","Hợp lệ")))))</x:f>
      </x:c>
      <x:c r="AJ442" s="21"/>
    </x:row>
    <x:row r="443">
      <x:c r="A443" s="21"/>
      <x:c r="B443" s="35"/>
      <x:c r="C443" s="21"/>
      <x:c r="D443" s="21"/>
      <x:c r="E443" s="21"/>
      <x:c r="F443" s="21"/>
      <x:c r="G443" s="21"/>
      <x:c r="H443" s="29" t="str">
        <x:f>IF(OR(D443="",E443=""),"",D443&amp;"|"&amp;E443&amp;"|"&amp;IF(F443="","00",F443)&amp;"|"&amp;IF(G443="","01",G443))</x:f>
      </x:c>
      <x:c r="I443" s="21"/>
      <x:c r="J443" s="29" t="str">
        <x:f>IF(K443="","",IFERROR(INDEX('04_KE_HOACH_CD'!$I$6:$I$305,MATCH(K443,'04_KE_HOACH_CD'!$G$6:$G$305,0)),""))</x:f>
      </x:c>
      <x:c r="K443" s="29" t="str">
        <x:f>IF(OR(H443="",I443=""),"",H443&amp;"|"&amp;TEXT(I443,"000"))</x:f>
      </x:c>
      <x:c r="L443" s="21"/>
      <x:c r="M443" s="21"/>
      <x:c r="N443" s="21"/>
      <x:c r="O443" s="43"/>
      <x:c r="P443" s="43"/>
      <x:c r="Q443" s="25"/>
      <x:c r="R443" s="25"/>
      <x:c r="S443" s="39" t="str">
        <x:f>IF(A443="","",SUMIF('07_DUNG_CHO'!$B$6:$B$505,A443,'07_DUNG_CHO'!$E$6:$E$505))</x:f>
      </x:c>
      <x:c r="T443" s="39" t="str">
        <x:f>IF(A443="","",IF(N443="SETUP",0,MAX(0,(P443-O443)*1440-Q443-S443)))</x:f>
      </x:c>
      <x:c r="U443" s="25"/>
      <x:c r="V443" s="25"/>
      <x:c r="W443" s="25"/>
      <x:c r="X443" s="25"/>
      <x:c r="Y443" s="25"/>
      <x:c r="Z443" s="25"/>
      <x:c r="AA443" s="39" t="str">
        <x:f>IF(A443="","",U443-SUM(V443,X443:Z443))</x:f>
      </x:c>
      <x:c r="AB443" s="39" t="str">
        <x:f>IF(A443="","",IF(N443="SETUP",IFERROR(INDEX('04_KE_HOACH_CD'!$K$6:$K$305,MATCH(K443,'04_KE_HOACH_CD'!$G$6:$G$305,0)),0),IF(OR(N443="PRODUCTION",N443="REWORK"),IFERROR(INDEX('04_KE_HOACH_CD'!$L$6:$L$305,MATCH(K443,'04_KE_HOACH_CD'!$G$6:$G$305,0))*V443,0),0)))</x:f>
      </x:c>
      <x:c r="AC443" s="39" t="str">
        <x:f>IF(A443="","",MAX(0,(P443-O443)*1440-Q443))</x:f>
      </x:c>
      <x:c r="AD443" s="37" t="str">
        <x:f>IF(A443="","",IFERROR(AB443/AC443,0))</x:f>
      </x:c>
      <x:c r="AE443" s="33" t="str">
        <x:f>IF(A443="","",AC443/60*SUMIF(DM_NHAN_SU!$A$6:$A$105,L443,DM_NHAN_SU!$E$6:$E$105))</x:f>
      </x:c>
      <x:c r="AF443" s="33" t="str">
        <x:f>IF(A443="","",AC443/60*SUMIF(DM_MAY!$A$6:$A$105,M443,DM_MAY!$F$6:$F$105))</x:f>
      </x:c>
      <x:c r="AG443" s="33" t="str">
        <x:f>IF(A443="","",AE443+AF443)</x:f>
      </x:c>
      <x:c r="AH443" s="21"/>
      <x:c r="AI443" s="29" t="str">
        <x:f>IF(A443="","",IF(OR(B443="",D443="",E443="",I443="",L443="",N443="",O443="",P443=""),"Thiếu dữ liệu",IF(AND(OR(N443="PRODUCTION",N443="REWORK",N443="SETUP"),M443=""),"Thiếu máy",IF(P443&lt;O443,"Sai thời gian",IF(AA443&lt;&gt;0,"Sai cân đối SL","Hợp lệ")))))</x:f>
      </x:c>
      <x:c r="AJ443" s="21"/>
    </x:row>
    <x:row r="444">
      <x:c r="A444" s="21"/>
      <x:c r="B444" s="35"/>
      <x:c r="C444" s="21"/>
      <x:c r="D444" s="21"/>
      <x:c r="E444" s="21"/>
      <x:c r="F444" s="21"/>
      <x:c r="G444" s="21"/>
      <x:c r="H444" s="29" t="str">
        <x:f>IF(OR(D444="",E444=""),"",D444&amp;"|"&amp;E444&amp;"|"&amp;IF(F444="","00",F444)&amp;"|"&amp;IF(G444="","01",G444))</x:f>
      </x:c>
      <x:c r="I444" s="21"/>
      <x:c r="J444" s="29" t="str">
        <x:f>IF(K444="","",IFERROR(INDEX('04_KE_HOACH_CD'!$I$6:$I$305,MATCH(K444,'04_KE_HOACH_CD'!$G$6:$G$305,0)),""))</x:f>
      </x:c>
      <x:c r="K444" s="29" t="str">
        <x:f>IF(OR(H444="",I444=""),"",H444&amp;"|"&amp;TEXT(I444,"000"))</x:f>
      </x:c>
      <x:c r="L444" s="21"/>
      <x:c r="M444" s="21"/>
      <x:c r="N444" s="21"/>
      <x:c r="O444" s="43"/>
      <x:c r="P444" s="43"/>
      <x:c r="Q444" s="25"/>
      <x:c r="R444" s="25"/>
      <x:c r="S444" s="39" t="str">
        <x:f>IF(A444="","",SUMIF('07_DUNG_CHO'!$B$6:$B$505,A444,'07_DUNG_CHO'!$E$6:$E$505))</x:f>
      </x:c>
      <x:c r="T444" s="39" t="str">
        <x:f>IF(A444="","",IF(N444="SETUP",0,MAX(0,(P444-O444)*1440-Q444-S444)))</x:f>
      </x:c>
      <x:c r="U444" s="25"/>
      <x:c r="V444" s="25"/>
      <x:c r="W444" s="25"/>
      <x:c r="X444" s="25"/>
      <x:c r="Y444" s="25"/>
      <x:c r="Z444" s="25"/>
      <x:c r="AA444" s="39" t="str">
        <x:f>IF(A444="","",U444-SUM(V444,X444:Z444))</x:f>
      </x:c>
      <x:c r="AB444" s="39" t="str">
        <x:f>IF(A444="","",IF(N444="SETUP",IFERROR(INDEX('04_KE_HOACH_CD'!$K$6:$K$305,MATCH(K444,'04_KE_HOACH_CD'!$G$6:$G$305,0)),0),IF(OR(N444="PRODUCTION",N444="REWORK"),IFERROR(INDEX('04_KE_HOACH_CD'!$L$6:$L$305,MATCH(K444,'04_KE_HOACH_CD'!$G$6:$G$305,0))*V444,0),0)))</x:f>
      </x:c>
      <x:c r="AC444" s="39" t="str">
        <x:f>IF(A444="","",MAX(0,(P444-O444)*1440-Q444))</x:f>
      </x:c>
      <x:c r="AD444" s="37" t="str">
        <x:f>IF(A444="","",IFERROR(AB444/AC444,0))</x:f>
      </x:c>
      <x:c r="AE444" s="33" t="str">
        <x:f>IF(A444="","",AC444/60*SUMIF(DM_NHAN_SU!$A$6:$A$105,L444,DM_NHAN_SU!$E$6:$E$105))</x:f>
      </x:c>
      <x:c r="AF444" s="33" t="str">
        <x:f>IF(A444="","",AC444/60*SUMIF(DM_MAY!$A$6:$A$105,M444,DM_MAY!$F$6:$F$105))</x:f>
      </x:c>
      <x:c r="AG444" s="33" t="str">
        <x:f>IF(A444="","",AE444+AF444)</x:f>
      </x:c>
      <x:c r="AH444" s="21"/>
      <x:c r="AI444" s="29" t="str">
        <x:f>IF(A444="","",IF(OR(B444="",D444="",E444="",I444="",L444="",N444="",O444="",P444=""),"Thiếu dữ liệu",IF(AND(OR(N444="PRODUCTION",N444="REWORK",N444="SETUP"),M444=""),"Thiếu máy",IF(P444&lt;O444,"Sai thời gian",IF(AA444&lt;&gt;0,"Sai cân đối SL","Hợp lệ")))))</x:f>
      </x:c>
      <x:c r="AJ444" s="21"/>
    </x:row>
    <x:row r="445">
      <x:c r="A445" s="21"/>
      <x:c r="B445" s="35"/>
      <x:c r="C445" s="21"/>
      <x:c r="D445" s="21"/>
      <x:c r="E445" s="21"/>
      <x:c r="F445" s="21"/>
      <x:c r="G445" s="21"/>
      <x:c r="H445" s="29" t="str">
        <x:f>IF(OR(D445="",E445=""),"",D445&amp;"|"&amp;E445&amp;"|"&amp;IF(F445="","00",F445)&amp;"|"&amp;IF(G445="","01",G445))</x:f>
      </x:c>
      <x:c r="I445" s="21"/>
      <x:c r="J445" s="29" t="str">
        <x:f>IF(K445="","",IFERROR(INDEX('04_KE_HOACH_CD'!$I$6:$I$305,MATCH(K445,'04_KE_HOACH_CD'!$G$6:$G$305,0)),""))</x:f>
      </x:c>
      <x:c r="K445" s="29" t="str">
        <x:f>IF(OR(H445="",I445=""),"",H445&amp;"|"&amp;TEXT(I445,"000"))</x:f>
      </x:c>
      <x:c r="L445" s="21"/>
      <x:c r="M445" s="21"/>
      <x:c r="N445" s="21"/>
      <x:c r="O445" s="43"/>
      <x:c r="P445" s="43"/>
      <x:c r="Q445" s="25"/>
      <x:c r="R445" s="25"/>
      <x:c r="S445" s="39" t="str">
        <x:f>IF(A445="","",SUMIF('07_DUNG_CHO'!$B$6:$B$505,A445,'07_DUNG_CHO'!$E$6:$E$505))</x:f>
      </x:c>
      <x:c r="T445" s="39" t="str">
        <x:f>IF(A445="","",IF(N445="SETUP",0,MAX(0,(P445-O445)*1440-Q445-S445)))</x:f>
      </x:c>
      <x:c r="U445" s="25"/>
      <x:c r="V445" s="25"/>
      <x:c r="W445" s="25"/>
      <x:c r="X445" s="25"/>
      <x:c r="Y445" s="25"/>
      <x:c r="Z445" s="25"/>
      <x:c r="AA445" s="39" t="str">
        <x:f>IF(A445="","",U445-SUM(V445,X445:Z445))</x:f>
      </x:c>
      <x:c r="AB445" s="39" t="str">
        <x:f>IF(A445="","",IF(N445="SETUP",IFERROR(INDEX('04_KE_HOACH_CD'!$K$6:$K$305,MATCH(K445,'04_KE_HOACH_CD'!$G$6:$G$305,0)),0),IF(OR(N445="PRODUCTION",N445="REWORK"),IFERROR(INDEX('04_KE_HOACH_CD'!$L$6:$L$305,MATCH(K445,'04_KE_HOACH_CD'!$G$6:$G$305,0))*V445,0),0)))</x:f>
      </x:c>
      <x:c r="AC445" s="39" t="str">
        <x:f>IF(A445="","",MAX(0,(P445-O445)*1440-Q445))</x:f>
      </x:c>
      <x:c r="AD445" s="37" t="str">
        <x:f>IF(A445="","",IFERROR(AB445/AC445,0))</x:f>
      </x:c>
      <x:c r="AE445" s="33" t="str">
        <x:f>IF(A445="","",AC445/60*SUMIF(DM_NHAN_SU!$A$6:$A$105,L445,DM_NHAN_SU!$E$6:$E$105))</x:f>
      </x:c>
      <x:c r="AF445" s="33" t="str">
        <x:f>IF(A445="","",AC445/60*SUMIF(DM_MAY!$A$6:$A$105,M445,DM_MAY!$F$6:$F$105))</x:f>
      </x:c>
      <x:c r="AG445" s="33" t="str">
        <x:f>IF(A445="","",AE445+AF445)</x:f>
      </x:c>
      <x:c r="AH445" s="21"/>
      <x:c r="AI445" s="29" t="str">
        <x:f>IF(A445="","",IF(OR(B445="",D445="",E445="",I445="",L445="",N445="",O445="",P445=""),"Thiếu dữ liệu",IF(AND(OR(N445="PRODUCTION",N445="REWORK",N445="SETUP"),M445=""),"Thiếu máy",IF(P445&lt;O445,"Sai thời gian",IF(AA445&lt;&gt;0,"Sai cân đối SL","Hợp lệ")))))</x:f>
      </x:c>
      <x:c r="AJ445" s="21"/>
    </x:row>
    <x:row r="446">
      <x:c r="A446" s="21"/>
      <x:c r="B446" s="35"/>
      <x:c r="C446" s="21"/>
      <x:c r="D446" s="21"/>
      <x:c r="E446" s="21"/>
      <x:c r="F446" s="21"/>
      <x:c r="G446" s="21"/>
      <x:c r="H446" s="29" t="str">
        <x:f>IF(OR(D446="",E446=""),"",D446&amp;"|"&amp;E446&amp;"|"&amp;IF(F446="","00",F446)&amp;"|"&amp;IF(G446="","01",G446))</x:f>
      </x:c>
      <x:c r="I446" s="21"/>
      <x:c r="J446" s="29" t="str">
        <x:f>IF(K446="","",IFERROR(INDEX('04_KE_HOACH_CD'!$I$6:$I$305,MATCH(K446,'04_KE_HOACH_CD'!$G$6:$G$305,0)),""))</x:f>
      </x:c>
      <x:c r="K446" s="29" t="str">
        <x:f>IF(OR(H446="",I446=""),"",H446&amp;"|"&amp;TEXT(I446,"000"))</x:f>
      </x:c>
      <x:c r="L446" s="21"/>
      <x:c r="M446" s="21"/>
      <x:c r="N446" s="21"/>
      <x:c r="O446" s="43"/>
      <x:c r="P446" s="43"/>
      <x:c r="Q446" s="25"/>
      <x:c r="R446" s="25"/>
      <x:c r="S446" s="39" t="str">
        <x:f>IF(A446="","",SUMIF('07_DUNG_CHO'!$B$6:$B$505,A446,'07_DUNG_CHO'!$E$6:$E$505))</x:f>
      </x:c>
      <x:c r="T446" s="39" t="str">
        <x:f>IF(A446="","",IF(N446="SETUP",0,MAX(0,(P446-O446)*1440-Q446-S446)))</x:f>
      </x:c>
      <x:c r="U446" s="25"/>
      <x:c r="V446" s="25"/>
      <x:c r="W446" s="25"/>
      <x:c r="X446" s="25"/>
      <x:c r="Y446" s="25"/>
      <x:c r="Z446" s="25"/>
      <x:c r="AA446" s="39" t="str">
        <x:f>IF(A446="","",U446-SUM(V446,X446:Z446))</x:f>
      </x:c>
      <x:c r="AB446" s="39" t="str">
        <x:f>IF(A446="","",IF(N446="SETUP",IFERROR(INDEX('04_KE_HOACH_CD'!$K$6:$K$305,MATCH(K446,'04_KE_HOACH_CD'!$G$6:$G$305,0)),0),IF(OR(N446="PRODUCTION",N446="REWORK"),IFERROR(INDEX('04_KE_HOACH_CD'!$L$6:$L$305,MATCH(K446,'04_KE_HOACH_CD'!$G$6:$G$305,0))*V446,0),0)))</x:f>
      </x:c>
      <x:c r="AC446" s="39" t="str">
        <x:f>IF(A446="","",MAX(0,(P446-O446)*1440-Q446))</x:f>
      </x:c>
      <x:c r="AD446" s="37" t="str">
        <x:f>IF(A446="","",IFERROR(AB446/AC446,0))</x:f>
      </x:c>
      <x:c r="AE446" s="33" t="str">
        <x:f>IF(A446="","",AC446/60*SUMIF(DM_NHAN_SU!$A$6:$A$105,L446,DM_NHAN_SU!$E$6:$E$105))</x:f>
      </x:c>
      <x:c r="AF446" s="33" t="str">
        <x:f>IF(A446="","",AC446/60*SUMIF(DM_MAY!$A$6:$A$105,M446,DM_MAY!$F$6:$F$105))</x:f>
      </x:c>
      <x:c r="AG446" s="33" t="str">
        <x:f>IF(A446="","",AE446+AF446)</x:f>
      </x:c>
      <x:c r="AH446" s="21"/>
      <x:c r="AI446" s="29" t="str">
        <x:f>IF(A446="","",IF(OR(B446="",D446="",E446="",I446="",L446="",N446="",O446="",P446=""),"Thiếu dữ liệu",IF(AND(OR(N446="PRODUCTION",N446="REWORK",N446="SETUP"),M446=""),"Thiếu máy",IF(P446&lt;O446,"Sai thời gian",IF(AA446&lt;&gt;0,"Sai cân đối SL","Hợp lệ")))))</x:f>
      </x:c>
      <x:c r="AJ446" s="21"/>
    </x:row>
    <x:row r="447">
      <x:c r="A447" s="21"/>
      <x:c r="B447" s="35"/>
      <x:c r="C447" s="21"/>
      <x:c r="D447" s="21"/>
      <x:c r="E447" s="21"/>
      <x:c r="F447" s="21"/>
      <x:c r="G447" s="21"/>
      <x:c r="H447" s="29" t="str">
        <x:f>IF(OR(D447="",E447=""),"",D447&amp;"|"&amp;E447&amp;"|"&amp;IF(F447="","00",F447)&amp;"|"&amp;IF(G447="","01",G447))</x:f>
      </x:c>
      <x:c r="I447" s="21"/>
      <x:c r="J447" s="29" t="str">
        <x:f>IF(K447="","",IFERROR(INDEX('04_KE_HOACH_CD'!$I$6:$I$305,MATCH(K447,'04_KE_HOACH_CD'!$G$6:$G$305,0)),""))</x:f>
      </x:c>
      <x:c r="K447" s="29" t="str">
        <x:f>IF(OR(H447="",I447=""),"",H447&amp;"|"&amp;TEXT(I447,"000"))</x:f>
      </x:c>
      <x:c r="L447" s="21"/>
      <x:c r="M447" s="21"/>
      <x:c r="N447" s="21"/>
      <x:c r="O447" s="43"/>
      <x:c r="P447" s="43"/>
      <x:c r="Q447" s="25"/>
      <x:c r="R447" s="25"/>
      <x:c r="S447" s="39" t="str">
        <x:f>IF(A447="","",SUMIF('07_DUNG_CHO'!$B$6:$B$505,A447,'07_DUNG_CHO'!$E$6:$E$505))</x:f>
      </x:c>
      <x:c r="T447" s="39" t="str">
        <x:f>IF(A447="","",IF(N447="SETUP",0,MAX(0,(P447-O447)*1440-Q447-S447)))</x:f>
      </x:c>
      <x:c r="U447" s="25"/>
      <x:c r="V447" s="25"/>
      <x:c r="W447" s="25"/>
      <x:c r="X447" s="25"/>
      <x:c r="Y447" s="25"/>
      <x:c r="Z447" s="25"/>
      <x:c r="AA447" s="39" t="str">
        <x:f>IF(A447="","",U447-SUM(V447,X447:Z447))</x:f>
      </x:c>
      <x:c r="AB447" s="39" t="str">
        <x:f>IF(A447="","",IF(N447="SETUP",IFERROR(INDEX('04_KE_HOACH_CD'!$K$6:$K$305,MATCH(K447,'04_KE_HOACH_CD'!$G$6:$G$305,0)),0),IF(OR(N447="PRODUCTION",N447="REWORK"),IFERROR(INDEX('04_KE_HOACH_CD'!$L$6:$L$305,MATCH(K447,'04_KE_HOACH_CD'!$G$6:$G$305,0))*V447,0),0)))</x:f>
      </x:c>
      <x:c r="AC447" s="39" t="str">
        <x:f>IF(A447="","",MAX(0,(P447-O447)*1440-Q447))</x:f>
      </x:c>
      <x:c r="AD447" s="37" t="str">
        <x:f>IF(A447="","",IFERROR(AB447/AC447,0))</x:f>
      </x:c>
      <x:c r="AE447" s="33" t="str">
        <x:f>IF(A447="","",AC447/60*SUMIF(DM_NHAN_SU!$A$6:$A$105,L447,DM_NHAN_SU!$E$6:$E$105))</x:f>
      </x:c>
      <x:c r="AF447" s="33" t="str">
        <x:f>IF(A447="","",AC447/60*SUMIF(DM_MAY!$A$6:$A$105,M447,DM_MAY!$F$6:$F$105))</x:f>
      </x:c>
      <x:c r="AG447" s="33" t="str">
        <x:f>IF(A447="","",AE447+AF447)</x:f>
      </x:c>
      <x:c r="AH447" s="21"/>
      <x:c r="AI447" s="29" t="str">
        <x:f>IF(A447="","",IF(OR(B447="",D447="",E447="",I447="",L447="",N447="",O447="",P447=""),"Thiếu dữ liệu",IF(AND(OR(N447="PRODUCTION",N447="REWORK",N447="SETUP"),M447=""),"Thiếu máy",IF(P447&lt;O447,"Sai thời gian",IF(AA447&lt;&gt;0,"Sai cân đối SL","Hợp lệ")))))</x:f>
      </x:c>
      <x:c r="AJ447" s="21"/>
    </x:row>
    <x:row r="448">
      <x:c r="A448" s="21"/>
      <x:c r="B448" s="35"/>
      <x:c r="C448" s="21"/>
      <x:c r="D448" s="21"/>
      <x:c r="E448" s="21"/>
      <x:c r="F448" s="21"/>
      <x:c r="G448" s="21"/>
      <x:c r="H448" s="29" t="str">
        <x:f>IF(OR(D448="",E448=""),"",D448&amp;"|"&amp;E448&amp;"|"&amp;IF(F448="","00",F448)&amp;"|"&amp;IF(G448="","01",G448))</x:f>
      </x:c>
      <x:c r="I448" s="21"/>
      <x:c r="J448" s="29" t="str">
        <x:f>IF(K448="","",IFERROR(INDEX('04_KE_HOACH_CD'!$I$6:$I$305,MATCH(K448,'04_KE_HOACH_CD'!$G$6:$G$305,0)),""))</x:f>
      </x:c>
      <x:c r="K448" s="29" t="str">
        <x:f>IF(OR(H448="",I448=""),"",H448&amp;"|"&amp;TEXT(I448,"000"))</x:f>
      </x:c>
      <x:c r="L448" s="21"/>
      <x:c r="M448" s="21"/>
      <x:c r="N448" s="21"/>
      <x:c r="O448" s="43"/>
      <x:c r="P448" s="43"/>
      <x:c r="Q448" s="25"/>
      <x:c r="R448" s="25"/>
      <x:c r="S448" s="39" t="str">
        <x:f>IF(A448="","",SUMIF('07_DUNG_CHO'!$B$6:$B$505,A448,'07_DUNG_CHO'!$E$6:$E$505))</x:f>
      </x:c>
      <x:c r="T448" s="39" t="str">
        <x:f>IF(A448="","",IF(N448="SETUP",0,MAX(0,(P448-O448)*1440-Q448-S448)))</x:f>
      </x:c>
      <x:c r="U448" s="25"/>
      <x:c r="V448" s="25"/>
      <x:c r="W448" s="25"/>
      <x:c r="X448" s="25"/>
      <x:c r="Y448" s="25"/>
      <x:c r="Z448" s="25"/>
      <x:c r="AA448" s="39" t="str">
        <x:f>IF(A448="","",U448-SUM(V448,X448:Z448))</x:f>
      </x:c>
      <x:c r="AB448" s="39" t="str">
        <x:f>IF(A448="","",IF(N448="SETUP",IFERROR(INDEX('04_KE_HOACH_CD'!$K$6:$K$305,MATCH(K448,'04_KE_HOACH_CD'!$G$6:$G$305,0)),0),IF(OR(N448="PRODUCTION",N448="REWORK"),IFERROR(INDEX('04_KE_HOACH_CD'!$L$6:$L$305,MATCH(K448,'04_KE_HOACH_CD'!$G$6:$G$305,0))*V448,0),0)))</x:f>
      </x:c>
      <x:c r="AC448" s="39" t="str">
        <x:f>IF(A448="","",MAX(0,(P448-O448)*1440-Q448))</x:f>
      </x:c>
      <x:c r="AD448" s="37" t="str">
        <x:f>IF(A448="","",IFERROR(AB448/AC448,0))</x:f>
      </x:c>
      <x:c r="AE448" s="33" t="str">
        <x:f>IF(A448="","",AC448/60*SUMIF(DM_NHAN_SU!$A$6:$A$105,L448,DM_NHAN_SU!$E$6:$E$105))</x:f>
      </x:c>
      <x:c r="AF448" s="33" t="str">
        <x:f>IF(A448="","",AC448/60*SUMIF(DM_MAY!$A$6:$A$105,M448,DM_MAY!$F$6:$F$105))</x:f>
      </x:c>
      <x:c r="AG448" s="33" t="str">
        <x:f>IF(A448="","",AE448+AF448)</x:f>
      </x:c>
      <x:c r="AH448" s="21"/>
      <x:c r="AI448" s="29" t="str">
        <x:f>IF(A448="","",IF(OR(B448="",D448="",E448="",I448="",L448="",N448="",O448="",P448=""),"Thiếu dữ liệu",IF(AND(OR(N448="PRODUCTION",N448="REWORK",N448="SETUP"),M448=""),"Thiếu máy",IF(P448&lt;O448,"Sai thời gian",IF(AA448&lt;&gt;0,"Sai cân đối SL","Hợp lệ")))))</x:f>
      </x:c>
      <x:c r="AJ448" s="21"/>
    </x:row>
    <x:row r="449">
      <x:c r="A449" s="21"/>
      <x:c r="B449" s="35"/>
      <x:c r="C449" s="21"/>
      <x:c r="D449" s="21"/>
      <x:c r="E449" s="21"/>
      <x:c r="F449" s="21"/>
      <x:c r="G449" s="21"/>
      <x:c r="H449" s="29" t="str">
        <x:f>IF(OR(D449="",E449=""),"",D449&amp;"|"&amp;E449&amp;"|"&amp;IF(F449="","00",F449)&amp;"|"&amp;IF(G449="","01",G449))</x:f>
      </x:c>
      <x:c r="I449" s="21"/>
      <x:c r="J449" s="29" t="str">
        <x:f>IF(K449="","",IFERROR(INDEX('04_KE_HOACH_CD'!$I$6:$I$305,MATCH(K449,'04_KE_HOACH_CD'!$G$6:$G$305,0)),""))</x:f>
      </x:c>
      <x:c r="K449" s="29" t="str">
        <x:f>IF(OR(H449="",I449=""),"",H449&amp;"|"&amp;TEXT(I449,"000"))</x:f>
      </x:c>
      <x:c r="L449" s="21"/>
      <x:c r="M449" s="21"/>
      <x:c r="N449" s="21"/>
      <x:c r="O449" s="43"/>
      <x:c r="P449" s="43"/>
      <x:c r="Q449" s="25"/>
      <x:c r="R449" s="25"/>
      <x:c r="S449" s="39" t="str">
        <x:f>IF(A449="","",SUMIF('07_DUNG_CHO'!$B$6:$B$505,A449,'07_DUNG_CHO'!$E$6:$E$505))</x:f>
      </x:c>
      <x:c r="T449" s="39" t="str">
        <x:f>IF(A449="","",IF(N449="SETUP",0,MAX(0,(P449-O449)*1440-Q449-S449)))</x:f>
      </x:c>
      <x:c r="U449" s="25"/>
      <x:c r="V449" s="25"/>
      <x:c r="W449" s="25"/>
      <x:c r="X449" s="25"/>
      <x:c r="Y449" s="25"/>
      <x:c r="Z449" s="25"/>
      <x:c r="AA449" s="39" t="str">
        <x:f>IF(A449="","",U449-SUM(V449,X449:Z449))</x:f>
      </x:c>
      <x:c r="AB449" s="39" t="str">
        <x:f>IF(A449="","",IF(N449="SETUP",IFERROR(INDEX('04_KE_HOACH_CD'!$K$6:$K$305,MATCH(K449,'04_KE_HOACH_CD'!$G$6:$G$305,0)),0),IF(OR(N449="PRODUCTION",N449="REWORK"),IFERROR(INDEX('04_KE_HOACH_CD'!$L$6:$L$305,MATCH(K449,'04_KE_HOACH_CD'!$G$6:$G$305,0))*V449,0),0)))</x:f>
      </x:c>
      <x:c r="AC449" s="39" t="str">
        <x:f>IF(A449="","",MAX(0,(P449-O449)*1440-Q449))</x:f>
      </x:c>
      <x:c r="AD449" s="37" t="str">
        <x:f>IF(A449="","",IFERROR(AB449/AC449,0))</x:f>
      </x:c>
      <x:c r="AE449" s="33" t="str">
        <x:f>IF(A449="","",AC449/60*SUMIF(DM_NHAN_SU!$A$6:$A$105,L449,DM_NHAN_SU!$E$6:$E$105))</x:f>
      </x:c>
      <x:c r="AF449" s="33" t="str">
        <x:f>IF(A449="","",AC449/60*SUMIF(DM_MAY!$A$6:$A$105,M449,DM_MAY!$F$6:$F$105))</x:f>
      </x:c>
      <x:c r="AG449" s="33" t="str">
        <x:f>IF(A449="","",AE449+AF449)</x:f>
      </x:c>
      <x:c r="AH449" s="21"/>
      <x:c r="AI449" s="29" t="str">
        <x:f>IF(A449="","",IF(OR(B449="",D449="",E449="",I449="",L449="",N449="",O449="",P449=""),"Thiếu dữ liệu",IF(AND(OR(N449="PRODUCTION",N449="REWORK",N449="SETUP"),M449=""),"Thiếu máy",IF(P449&lt;O449,"Sai thời gian",IF(AA449&lt;&gt;0,"Sai cân đối SL","Hợp lệ")))))</x:f>
      </x:c>
      <x:c r="AJ449" s="21"/>
    </x:row>
    <x:row r="450">
      <x:c r="A450" s="21"/>
      <x:c r="B450" s="35"/>
      <x:c r="C450" s="21"/>
      <x:c r="D450" s="21"/>
      <x:c r="E450" s="21"/>
      <x:c r="F450" s="21"/>
      <x:c r="G450" s="21"/>
      <x:c r="H450" s="29" t="str">
        <x:f>IF(OR(D450="",E450=""),"",D450&amp;"|"&amp;E450&amp;"|"&amp;IF(F450="","00",F450)&amp;"|"&amp;IF(G450="","01",G450))</x:f>
      </x:c>
      <x:c r="I450" s="21"/>
      <x:c r="J450" s="29" t="str">
        <x:f>IF(K450="","",IFERROR(INDEX('04_KE_HOACH_CD'!$I$6:$I$305,MATCH(K450,'04_KE_HOACH_CD'!$G$6:$G$305,0)),""))</x:f>
      </x:c>
      <x:c r="K450" s="29" t="str">
        <x:f>IF(OR(H450="",I450=""),"",H450&amp;"|"&amp;TEXT(I450,"000"))</x:f>
      </x:c>
      <x:c r="L450" s="21"/>
      <x:c r="M450" s="21"/>
      <x:c r="N450" s="21"/>
      <x:c r="O450" s="43"/>
      <x:c r="P450" s="43"/>
      <x:c r="Q450" s="25"/>
      <x:c r="R450" s="25"/>
      <x:c r="S450" s="39" t="str">
        <x:f>IF(A450="","",SUMIF('07_DUNG_CHO'!$B$6:$B$505,A450,'07_DUNG_CHO'!$E$6:$E$505))</x:f>
      </x:c>
      <x:c r="T450" s="39" t="str">
        <x:f>IF(A450="","",IF(N450="SETUP",0,MAX(0,(P450-O450)*1440-Q450-S450)))</x:f>
      </x:c>
      <x:c r="U450" s="25"/>
      <x:c r="V450" s="25"/>
      <x:c r="W450" s="25"/>
      <x:c r="X450" s="25"/>
      <x:c r="Y450" s="25"/>
      <x:c r="Z450" s="25"/>
      <x:c r="AA450" s="39" t="str">
        <x:f>IF(A450="","",U450-SUM(V450,X450:Z450))</x:f>
      </x:c>
      <x:c r="AB450" s="39" t="str">
        <x:f>IF(A450="","",IF(N450="SETUP",IFERROR(INDEX('04_KE_HOACH_CD'!$K$6:$K$305,MATCH(K450,'04_KE_HOACH_CD'!$G$6:$G$305,0)),0),IF(OR(N450="PRODUCTION",N450="REWORK"),IFERROR(INDEX('04_KE_HOACH_CD'!$L$6:$L$305,MATCH(K450,'04_KE_HOACH_CD'!$G$6:$G$305,0))*V450,0),0)))</x:f>
      </x:c>
      <x:c r="AC450" s="39" t="str">
        <x:f>IF(A450="","",MAX(0,(P450-O450)*1440-Q450))</x:f>
      </x:c>
      <x:c r="AD450" s="37" t="str">
        <x:f>IF(A450="","",IFERROR(AB450/AC450,0))</x:f>
      </x:c>
      <x:c r="AE450" s="33" t="str">
        <x:f>IF(A450="","",AC450/60*SUMIF(DM_NHAN_SU!$A$6:$A$105,L450,DM_NHAN_SU!$E$6:$E$105))</x:f>
      </x:c>
      <x:c r="AF450" s="33" t="str">
        <x:f>IF(A450="","",AC450/60*SUMIF(DM_MAY!$A$6:$A$105,M450,DM_MAY!$F$6:$F$105))</x:f>
      </x:c>
      <x:c r="AG450" s="33" t="str">
        <x:f>IF(A450="","",AE450+AF450)</x:f>
      </x:c>
      <x:c r="AH450" s="21"/>
      <x:c r="AI450" s="29" t="str">
        <x:f>IF(A450="","",IF(OR(B450="",D450="",E450="",I450="",L450="",N450="",O450="",P450=""),"Thiếu dữ liệu",IF(AND(OR(N450="PRODUCTION",N450="REWORK",N450="SETUP"),M450=""),"Thiếu máy",IF(P450&lt;O450,"Sai thời gian",IF(AA450&lt;&gt;0,"Sai cân đối SL","Hợp lệ")))))</x:f>
      </x:c>
      <x:c r="AJ450" s="21"/>
    </x:row>
    <x:row r="451">
      <x:c r="A451" s="21"/>
      <x:c r="B451" s="35"/>
      <x:c r="C451" s="21"/>
      <x:c r="D451" s="21"/>
      <x:c r="E451" s="21"/>
      <x:c r="F451" s="21"/>
      <x:c r="G451" s="21"/>
      <x:c r="H451" s="29" t="str">
        <x:f>IF(OR(D451="",E451=""),"",D451&amp;"|"&amp;E451&amp;"|"&amp;IF(F451="","00",F451)&amp;"|"&amp;IF(G451="","01",G451))</x:f>
      </x:c>
      <x:c r="I451" s="21"/>
      <x:c r="J451" s="29" t="str">
        <x:f>IF(K451="","",IFERROR(INDEX('04_KE_HOACH_CD'!$I$6:$I$305,MATCH(K451,'04_KE_HOACH_CD'!$G$6:$G$305,0)),""))</x:f>
      </x:c>
      <x:c r="K451" s="29" t="str">
        <x:f>IF(OR(H451="",I451=""),"",H451&amp;"|"&amp;TEXT(I451,"000"))</x:f>
      </x:c>
      <x:c r="L451" s="21"/>
      <x:c r="M451" s="21"/>
      <x:c r="N451" s="21"/>
      <x:c r="O451" s="43"/>
      <x:c r="P451" s="43"/>
      <x:c r="Q451" s="25"/>
      <x:c r="R451" s="25"/>
      <x:c r="S451" s="39" t="str">
        <x:f>IF(A451="","",SUMIF('07_DUNG_CHO'!$B$6:$B$505,A451,'07_DUNG_CHO'!$E$6:$E$505))</x:f>
      </x:c>
      <x:c r="T451" s="39" t="str">
        <x:f>IF(A451="","",IF(N451="SETUP",0,MAX(0,(P451-O451)*1440-Q451-S451)))</x:f>
      </x:c>
      <x:c r="U451" s="25"/>
      <x:c r="V451" s="25"/>
      <x:c r="W451" s="25"/>
      <x:c r="X451" s="25"/>
      <x:c r="Y451" s="25"/>
      <x:c r="Z451" s="25"/>
      <x:c r="AA451" s="39" t="str">
        <x:f>IF(A451="","",U451-SUM(V451,X451:Z451))</x:f>
      </x:c>
      <x:c r="AB451" s="39" t="str">
        <x:f>IF(A451="","",IF(N451="SETUP",IFERROR(INDEX('04_KE_HOACH_CD'!$K$6:$K$305,MATCH(K451,'04_KE_HOACH_CD'!$G$6:$G$305,0)),0),IF(OR(N451="PRODUCTION",N451="REWORK"),IFERROR(INDEX('04_KE_HOACH_CD'!$L$6:$L$305,MATCH(K451,'04_KE_HOACH_CD'!$G$6:$G$305,0))*V451,0),0)))</x:f>
      </x:c>
      <x:c r="AC451" s="39" t="str">
        <x:f>IF(A451="","",MAX(0,(P451-O451)*1440-Q451))</x:f>
      </x:c>
      <x:c r="AD451" s="37" t="str">
        <x:f>IF(A451="","",IFERROR(AB451/AC451,0))</x:f>
      </x:c>
      <x:c r="AE451" s="33" t="str">
        <x:f>IF(A451="","",AC451/60*SUMIF(DM_NHAN_SU!$A$6:$A$105,L451,DM_NHAN_SU!$E$6:$E$105))</x:f>
      </x:c>
      <x:c r="AF451" s="33" t="str">
        <x:f>IF(A451="","",AC451/60*SUMIF(DM_MAY!$A$6:$A$105,M451,DM_MAY!$F$6:$F$105))</x:f>
      </x:c>
      <x:c r="AG451" s="33" t="str">
        <x:f>IF(A451="","",AE451+AF451)</x:f>
      </x:c>
      <x:c r="AH451" s="21"/>
      <x:c r="AI451" s="29" t="str">
        <x:f>IF(A451="","",IF(OR(B451="",D451="",E451="",I451="",L451="",N451="",O451="",P451=""),"Thiếu dữ liệu",IF(AND(OR(N451="PRODUCTION",N451="REWORK",N451="SETUP"),M451=""),"Thiếu máy",IF(P451&lt;O451,"Sai thời gian",IF(AA451&lt;&gt;0,"Sai cân đối SL","Hợp lệ")))))</x:f>
      </x:c>
      <x:c r="AJ451" s="21"/>
    </x:row>
    <x:row r="452">
      <x:c r="A452" s="21"/>
      <x:c r="B452" s="35"/>
      <x:c r="C452" s="21"/>
      <x:c r="D452" s="21"/>
      <x:c r="E452" s="21"/>
      <x:c r="F452" s="21"/>
      <x:c r="G452" s="21"/>
      <x:c r="H452" s="29" t="str">
        <x:f>IF(OR(D452="",E452=""),"",D452&amp;"|"&amp;E452&amp;"|"&amp;IF(F452="","00",F452)&amp;"|"&amp;IF(G452="","01",G452))</x:f>
      </x:c>
      <x:c r="I452" s="21"/>
      <x:c r="J452" s="29" t="str">
        <x:f>IF(K452="","",IFERROR(INDEX('04_KE_HOACH_CD'!$I$6:$I$305,MATCH(K452,'04_KE_HOACH_CD'!$G$6:$G$305,0)),""))</x:f>
      </x:c>
      <x:c r="K452" s="29" t="str">
        <x:f>IF(OR(H452="",I452=""),"",H452&amp;"|"&amp;TEXT(I452,"000"))</x:f>
      </x:c>
      <x:c r="L452" s="21"/>
      <x:c r="M452" s="21"/>
      <x:c r="N452" s="21"/>
      <x:c r="O452" s="43"/>
      <x:c r="P452" s="43"/>
      <x:c r="Q452" s="25"/>
      <x:c r="R452" s="25"/>
      <x:c r="S452" s="39" t="str">
        <x:f>IF(A452="","",SUMIF('07_DUNG_CHO'!$B$6:$B$505,A452,'07_DUNG_CHO'!$E$6:$E$505))</x:f>
      </x:c>
      <x:c r="T452" s="39" t="str">
        <x:f>IF(A452="","",IF(N452="SETUP",0,MAX(0,(P452-O452)*1440-Q452-S452)))</x:f>
      </x:c>
      <x:c r="U452" s="25"/>
      <x:c r="V452" s="25"/>
      <x:c r="W452" s="25"/>
      <x:c r="X452" s="25"/>
      <x:c r="Y452" s="25"/>
      <x:c r="Z452" s="25"/>
      <x:c r="AA452" s="39" t="str">
        <x:f>IF(A452="","",U452-SUM(V452,X452:Z452))</x:f>
      </x:c>
      <x:c r="AB452" s="39" t="str">
        <x:f>IF(A452="","",IF(N452="SETUP",IFERROR(INDEX('04_KE_HOACH_CD'!$K$6:$K$305,MATCH(K452,'04_KE_HOACH_CD'!$G$6:$G$305,0)),0),IF(OR(N452="PRODUCTION",N452="REWORK"),IFERROR(INDEX('04_KE_HOACH_CD'!$L$6:$L$305,MATCH(K452,'04_KE_HOACH_CD'!$G$6:$G$305,0))*V452,0),0)))</x:f>
      </x:c>
      <x:c r="AC452" s="39" t="str">
        <x:f>IF(A452="","",MAX(0,(P452-O452)*1440-Q452))</x:f>
      </x:c>
      <x:c r="AD452" s="37" t="str">
        <x:f>IF(A452="","",IFERROR(AB452/AC452,0))</x:f>
      </x:c>
      <x:c r="AE452" s="33" t="str">
        <x:f>IF(A452="","",AC452/60*SUMIF(DM_NHAN_SU!$A$6:$A$105,L452,DM_NHAN_SU!$E$6:$E$105))</x:f>
      </x:c>
      <x:c r="AF452" s="33" t="str">
        <x:f>IF(A452="","",AC452/60*SUMIF(DM_MAY!$A$6:$A$105,M452,DM_MAY!$F$6:$F$105))</x:f>
      </x:c>
      <x:c r="AG452" s="33" t="str">
        <x:f>IF(A452="","",AE452+AF452)</x:f>
      </x:c>
      <x:c r="AH452" s="21"/>
      <x:c r="AI452" s="29" t="str">
        <x:f>IF(A452="","",IF(OR(B452="",D452="",E452="",I452="",L452="",N452="",O452="",P452=""),"Thiếu dữ liệu",IF(AND(OR(N452="PRODUCTION",N452="REWORK",N452="SETUP"),M452=""),"Thiếu máy",IF(P452&lt;O452,"Sai thời gian",IF(AA452&lt;&gt;0,"Sai cân đối SL","Hợp lệ")))))</x:f>
      </x:c>
      <x:c r="AJ452" s="21"/>
    </x:row>
    <x:row r="453">
      <x:c r="A453" s="21"/>
      <x:c r="B453" s="35"/>
      <x:c r="C453" s="21"/>
      <x:c r="D453" s="21"/>
      <x:c r="E453" s="21"/>
      <x:c r="F453" s="21"/>
      <x:c r="G453" s="21"/>
      <x:c r="H453" s="29" t="str">
        <x:f>IF(OR(D453="",E453=""),"",D453&amp;"|"&amp;E453&amp;"|"&amp;IF(F453="","00",F453)&amp;"|"&amp;IF(G453="","01",G453))</x:f>
      </x:c>
      <x:c r="I453" s="21"/>
      <x:c r="J453" s="29" t="str">
        <x:f>IF(K453="","",IFERROR(INDEX('04_KE_HOACH_CD'!$I$6:$I$305,MATCH(K453,'04_KE_HOACH_CD'!$G$6:$G$305,0)),""))</x:f>
      </x:c>
      <x:c r="K453" s="29" t="str">
        <x:f>IF(OR(H453="",I453=""),"",H453&amp;"|"&amp;TEXT(I453,"000"))</x:f>
      </x:c>
      <x:c r="L453" s="21"/>
      <x:c r="M453" s="21"/>
      <x:c r="N453" s="21"/>
      <x:c r="O453" s="43"/>
      <x:c r="P453" s="43"/>
      <x:c r="Q453" s="25"/>
      <x:c r="R453" s="25"/>
      <x:c r="S453" s="39" t="str">
        <x:f>IF(A453="","",SUMIF('07_DUNG_CHO'!$B$6:$B$505,A453,'07_DUNG_CHO'!$E$6:$E$505))</x:f>
      </x:c>
      <x:c r="T453" s="39" t="str">
        <x:f>IF(A453="","",IF(N453="SETUP",0,MAX(0,(P453-O453)*1440-Q453-S453)))</x:f>
      </x:c>
      <x:c r="U453" s="25"/>
      <x:c r="V453" s="25"/>
      <x:c r="W453" s="25"/>
      <x:c r="X453" s="25"/>
      <x:c r="Y453" s="25"/>
      <x:c r="Z453" s="25"/>
      <x:c r="AA453" s="39" t="str">
        <x:f>IF(A453="","",U453-SUM(V453,X453:Z453))</x:f>
      </x:c>
      <x:c r="AB453" s="39" t="str">
        <x:f>IF(A453="","",IF(N453="SETUP",IFERROR(INDEX('04_KE_HOACH_CD'!$K$6:$K$305,MATCH(K453,'04_KE_HOACH_CD'!$G$6:$G$305,0)),0),IF(OR(N453="PRODUCTION",N453="REWORK"),IFERROR(INDEX('04_KE_HOACH_CD'!$L$6:$L$305,MATCH(K453,'04_KE_HOACH_CD'!$G$6:$G$305,0))*V453,0),0)))</x:f>
      </x:c>
      <x:c r="AC453" s="39" t="str">
        <x:f>IF(A453="","",MAX(0,(P453-O453)*1440-Q453))</x:f>
      </x:c>
      <x:c r="AD453" s="37" t="str">
        <x:f>IF(A453="","",IFERROR(AB453/AC453,0))</x:f>
      </x:c>
      <x:c r="AE453" s="33" t="str">
        <x:f>IF(A453="","",AC453/60*SUMIF(DM_NHAN_SU!$A$6:$A$105,L453,DM_NHAN_SU!$E$6:$E$105))</x:f>
      </x:c>
      <x:c r="AF453" s="33" t="str">
        <x:f>IF(A453="","",AC453/60*SUMIF(DM_MAY!$A$6:$A$105,M453,DM_MAY!$F$6:$F$105))</x:f>
      </x:c>
      <x:c r="AG453" s="33" t="str">
        <x:f>IF(A453="","",AE453+AF453)</x:f>
      </x:c>
      <x:c r="AH453" s="21"/>
      <x:c r="AI453" s="29" t="str">
        <x:f>IF(A453="","",IF(OR(B453="",D453="",E453="",I453="",L453="",N453="",O453="",P453=""),"Thiếu dữ liệu",IF(AND(OR(N453="PRODUCTION",N453="REWORK",N453="SETUP"),M453=""),"Thiếu máy",IF(P453&lt;O453,"Sai thời gian",IF(AA453&lt;&gt;0,"Sai cân đối SL","Hợp lệ")))))</x:f>
      </x:c>
      <x:c r="AJ453" s="21"/>
    </x:row>
    <x:row r="454">
      <x:c r="A454" s="21"/>
      <x:c r="B454" s="35"/>
      <x:c r="C454" s="21"/>
      <x:c r="D454" s="21"/>
      <x:c r="E454" s="21"/>
      <x:c r="F454" s="21"/>
      <x:c r="G454" s="21"/>
      <x:c r="H454" s="29" t="str">
        <x:f>IF(OR(D454="",E454=""),"",D454&amp;"|"&amp;E454&amp;"|"&amp;IF(F454="","00",F454)&amp;"|"&amp;IF(G454="","01",G454))</x:f>
      </x:c>
      <x:c r="I454" s="21"/>
      <x:c r="J454" s="29" t="str">
        <x:f>IF(K454="","",IFERROR(INDEX('04_KE_HOACH_CD'!$I$6:$I$305,MATCH(K454,'04_KE_HOACH_CD'!$G$6:$G$305,0)),""))</x:f>
      </x:c>
      <x:c r="K454" s="29" t="str">
        <x:f>IF(OR(H454="",I454=""),"",H454&amp;"|"&amp;TEXT(I454,"000"))</x:f>
      </x:c>
      <x:c r="L454" s="21"/>
      <x:c r="M454" s="21"/>
      <x:c r="N454" s="21"/>
      <x:c r="O454" s="43"/>
      <x:c r="P454" s="43"/>
      <x:c r="Q454" s="25"/>
      <x:c r="R454" s="25"/>
      <x:c r="S454" s="39" t="str">
        <x:f>IF(A454="","",SUMIF('07_DUNG_CHO'!$B$6:$B$505,A454,'07_DUNG_CHO'!$E$6:$E$505))</x:f>
      </x:c>
      <x:c r="T454" s="39" t="str">
        <x:f>IF(A454="","",IF(N454="SETUP",0,MAX(0,(P454-O454)*1440-Q454-S454)))</x:f>
      </x:c>
      <x:c r="U454" s="25"/>
      <x:c r="V454" s="25"/>
      <x:c r="W454" s="25"/>
      <x:c r="X454" s="25"/>
      <x:c r="Y454" s="25"/>
      <x:c r="Z454" s="25"/>
      <x:c r="AA454" s="39" t="str">
        <x:f>IF(A454="","",U454-SUM(V454,X454:Z454))</x:f>
      </x:c>
      <x:c r="AB454" s="39" t="str">
        <x:f>IF(A454="","",IF(N454="SETUP",IFERROR(INDEX('04_KE_HOACH_CD'!$K$6:$K$305,MATCH(K454,'04_KE_HOACH_CD'!$G$6:$G$305,0)),0),IF(OR(N454="PRODUCTION",N454="REWORK"),IFERROR(INDEX('04_KE_HOACH_CD'!$L$6:$L$305,MATCH(K454,'04_KE_HOACH_CD'!$G$6:$G$305,0))*V454,0),0)))</x:f>
      </x:c>
      <x:c r="AC454" s="39" t="str">
        <x:f>IF(A454="","",MAX(0,(P454-O454)*1440-Q454))</x:f>
      </x:c>
      <x:c r="AD454" s="37" t="str">
        <x:f>IF(A454="","",IFERROR(AB454/AC454,0))</x:f>
      </x:c>
      <x:c r="AE454" s="33" t="str">
        <x:f>IF(A454="","",AC454/60*SUMIF(DM_NHAN_SU!$A$6:$A$105,L454,DM_NHAN_SU!$E$6:$E$105))</x:f>
      </x:c>
      <x:c r="AF454" s="33" t="str">
        <x:f>IF(A454="","",AC454/60*SUMIF(DM_MAY!$A$6:$A$105,M454,DM_MAY!$F$6:$F$105))</x:f>
      </x:c>
      <x:c r="AG454" s="33" t="str">
        <x:f>IF(A454="","",AE454+AF454)</x:f>
      </x:c>
      <x:c r="AH454" s="21"/>
      <x:c r="AI454" s="29" t="str">
        <x:f>IF(A454="","",IF(OR(B454="",D454="",E454="",I454="",L454="",N454="",O454="",P454=""),"Thiếu dữ liệu",IF(AND(OR(N454="PRODUCTION",N454="REWORK",N454="SETUP"),M454=""),"Thiếu máy",IF(P454&lt;O454,"Sai thời gian",IF(AA454&lt;&gt;0,"Sai cân đối SL","Hợp lệ")))))</x:f>
      </x:c>
      <x:c r="AJ454" s="21"/>
    </x:row>
    <x:row r="455">
      <x:c r="A455" s="21"/>
      <x:c r="B455" s="35"/>
      <x:c r="C455" s="21"/>
      <x:c r="D455" s="21"/>
      <x:c r="E455" s="21"/>
      <x:c r="F455" s="21"/>
      <x:c r="G455" s="21"/>
      <x:c r="H455" s="29" t="str">
        <x:f>IF(OR(D455="",E455=""),"",D455&amp;"|"&amp;E455&amp;"|"&amp;IF(F455="","00",F455)&amp;"|"&amp;IF(G455="","01",G455))</x:f>
      </x:c>
      <x:c r="I455" s="21"/>
      <x:c r="J455" s="29" t="str">
        <x:f>IF(K455="","",IFERROR(INDEX('04_KE_HOACH_CD'!$I$6:$I$305,MATCH(K455,'04_KE_HOACH_CD'!$G$6:$G$305,0)),""))</x:f>
      </x:c>
      <x:c r="K455" s="29" t="str">
        <x:f>IF(OR(H455="",I455=""),"",H455&amp;"|"&amp;TEXT(I455,"000"))</x:f>
      </x:c>
      <x:c r="L455" s="21"/>
      <x:c r="M455" s="21"/>
      <x:c r="N455" s="21"/>
      <x:c r="O455" s="43"/>
      <x:c r="P455" s="43"/>
      <x:c r="Q455" s="25"/>
      <x:c r="R455" s="25"/>
      <x:c r="S455" s="39" t="str">
        <x:f>IF(A455="","",SUMIF('07_DUNG_CHO'!$B$6:$B$505,A455,'07_DUNG_CHO'!$E$6:$E$505))</x:f>
      </x:c>
      <x:c r="T455" s="39" t="str">
        <x:f>IF(A455="","",IF(N455="SETUP",0,MAX(0,(P455-O455)*1440-Q455-S455)))</x:f>
      </x:c>
      <x:c r="U455" s="25"/>
      <x:c r="V455" s="25"/>
      <x:c r="W455" s="25"/>
      <x:c r="X455" s="25"/>
      <x:c r="Y455" s="25"/>
      <x:c r="Z455" s="25"/>
      <x:c r="AA455" s="39" t="str">
        <x:f>IF(A455="","",U455-SUM(V455,X455:Z455))</x:f>
      </x:c>
      <x:c r="AB455" s="39" t="str">
        <x:f>IF(A455="","",IF(N455="SETUP",IFERROR(INDEX('04_KE_HOACH_CD'!$K$6:$K$305,MATCH(K455,'04_KE_HOACH_CD'!$G$6:$G$305,0)),0),IF(OR(N455="PRODUCTION",N455="REWORK"),IFERROR(INDEX('04_KE_HOACH_CD'!$L$6:$L$305,MATCH(K455,'04_KE_HOACH_CD'!$G$6:$G$305,0))*V455,0),0)))</x:f>
      </x:c>
      <x:c r="AC455" s="39" t="str">
        <x:f>IF(A455="","",MAX(0,(P455-O455)*1440-Q455))</x:f>
      </x:c>
      <x:c r="AD455" s="37" t="str">
        <x:f>IF(A455="","",IFERROR(AB455/AC455,0))</x:f>
      </x:c>
      <x:c r="AE455" s="33" t="str">
        <x:f>IF(A455="","",AC455/60*SUMIF(DM_NHAN_SU!$A$6:$A$105,L455,DM_NHAN_SU!$E$6:$E$105))</x:f>
      </x:c>
      <x:c r="AF455" s="33" t="str">
        <x:f>IF(A455="","",AC455/60*SUMIF(DM_MAY!$A$6:$A$105,M455,DM_MAY!$F$6:$F$105))</x:f>
      </x:c>
      <x:c r="AG455" s="33" t="str">
        <x:f>IF(A455="","",AE455+AF455)</x:f>
      </x:c>
      <x:c r="AH455" s="21"/>
      <x:c r="AI455" s="29" t="str">
        <x:f>IF(A455="","",IF(OR(B455="",D455="",E455="",I455="",L455="",N455="",O455="",P455=""),"Thiếu dữ liệu",IF(AND(OR(N455="PRODUCTION",N455="REWORK",N455="SETUP"),M455=""),"Thiếu máy",IF(P455&lt;O455,"Sai thời gian",IF(AA455&lt;&gt;0,"Sai cân đối SL","Hợp lệ")))))</x:f>
      </x:c>
      <x:c r="AJ455" s="21"/>
    </x:row>
    <x:row r="456">
      <x:c r="A456" s="21"/>
      <x:c r="B456" s="35"/>
      <x:c r="C456" s="21"/>
      <x:c r="D456" s="21"/>
      <x:c r="E456" s="21"/>
      <x:c r="F456" s="21"/>
      <x:c r="G456" s="21"/>
      <x:c r="H456" s="29" t="str">
        <x:f>IF(OR(D456="",E456=""),"",D456&amp;"|"&amp;E456&amp;"|"&amp;IF(F456="","00",F456)&amp;"|"&amp;IF(G456="","01",G456))</x:f>
      </x:c>
      <x:c r="I456" s="21"/>
      <x:c r="J456" s="29" t="str">
        <x:f>IF(K456="","",IFERROR(INDEX('04_KE_HOACH_CD'!$I$6:$I$305,MATCH(K456,'04_KE_HOACH_CD'!$G$6:$G$305,0)),""))</x:f>
      </x:c>
      <x:c r="K456" s="29" t="str">
        <x:f>IF(OR(H456="",I456=""),"",H456&amp;"|"&amp;TEXT(I456,"000"))</x:f>
      </x:c>
      <x:c r="L456" s="21"/>
      <x:c r="M456" s="21"/>
      <x:c r="N456" s="21"/>
      <x:c r="O456" s="43"/>
      <x:c r="P456" s="43"/>
      <x:c r="Q456" s="25"/>
      <x:c r="R456" s="25"/>
      <x:c r="S456" s="39" t="str">
        <x:f>IF(A456="","",SUMIF('07_DUNG_CHO'!$B$6:$B$505,A456,'07_DUNG_CHO'!$E$6:$E$505))</x:f>
      </x:c>
      <x:c r="T456" s="39" t="str">
        <x:f>IF(A456="","",IF(N456="SETUP",0,MAX(0,(P456-O456)*1440-Q456-S456)))</x:f>
      </x:c>
      <x:c r="U456" s="25"/>
      <x:c r="V456" s="25"/>
      <x:c r="W456" s="25"/>
      <x:c r="X456" s="25"/>
      <x:c r="Y456" s="25"/>
      <x:c r="Z456" s="25"/>
      <x:c r="AA456" s="39" t="str">
        <x:f>IF(A456="","",U456-SUM(V456,X456:Z456))</x:f>
      </x:c>
      <x:c r="AB456" s="39" t="str">
        <x:f>IF(A456="","",IF(N456="SETUP",IFERROR(INDEX('04_KE_HOACH_CD'!$K$6:$K$305,MATCH(K456,'04_KE_HOACH_CD'!$G$6:$G$305,0)),0),IF(OR(N456="PRODUCTION",N456="REWORK"),IFERROR(INDEX('04_KE_HOACH_CD'!$L$6:$L$305,MATCH(K456,'04_KE_HOACH_CD'!$G$6:$G$305,0))*V456,0),0)))</x:f>
      </x:c>
      <x:c r="AC456" s="39" t="str">
        <x:f>IF(A456="","",MAX(0,(P456-O456)*1440-Q456))</x:f>
      </x:c>
      <x:c r="AD456" s="37" t="str">
        <x:f>IF(A456="","",IFERROR(AB456/AC456,0))</x:f>
      </x:c>
      <x:c r="AE456" s="33" t="str">
        <x:f>IF(A456="","",AC456/60*SUMIF(DM_NHAN_SU!$A$6:$A$105,L456,DM_NHAN_SU!$E$6:$E$105))</x:f>
      </x:c>
      <x:c r="AF456" s="33" t="str">
        <x:f>IF(A456="","",AC456/60*SUMIF(DM_MAY!$A$6:$A$105,M456,DM_MAY!$F$6:$F$105))</x:f>
      </x:c>
      <x:c r="AG456" s="33" t="str">
        <x:f>IF(A456="","",AE456+AF456)</x:f>
      </x:c>
      <x:c r="AH456" s="21"/>
      <x:c r="AI456" s="29" t="str">
        <x:f>IF(A456="","",IF(OR(B456="",D456="",E456="",I456="",L456="",N456="",O456="",P456=""),"Thiếu dữ liệu",IF(AND(OR(N456="PRODUCTION",N456="REWORK",N456="SETUP"),M456=""),"Thiếu máy",IF(P456&lt;O456,"Sai thời gian",IF(AA456&lt;&gt;0,"Sai cân đối SL","Hợp lệ")))))</x:f>
      </x:c>
      <x:c r="AJ456" s="21"/>
    </x:row>
    <x:row r="457">
      <x:c r="A457" s="21"/>
      <x:c r="B457" s="35"/>
      <x:c r="C457" s="21"/>
      <x:c r="D457" s="21"/>
      <x:c r="E457" s="21"/>
      <x:c r="F457" s="21"/>
      <x:c r="G457" s="21"/>
      <x:c r="H457" s="29" t="str">
        <x:f>IF(OR(D457="",E457=""),"",D457&amp;"|"&amp;E457&amp;"|"&amp;IF(F457="","00",F457)&amp;"|"&amp;IF(G457="","01",G457))</x:f>
      </x:c>
      <x:c r="I457" s="21"/>
      <x:c r="J457" s="29" t="str">
        <x:f>IF(K457="","",IFERROR(INDEX('04_KE_HOACH_CD'!$I$6:$I$305,MATCH(K457,'04_KE_HOACH_CD'!$G$6:$G$305,0)),""))</x:f>
      </x:c>
      <x:c r="K457" s="29" t="str">
        <x:f>IF(OR(H457="",I457=""),"",H457&amp;"|"&amp;TEXT(I457,"000"))</x:f>
      </x:c>
      <x:c r="L457" s="21"/>
      <x:c r="M457" s="21"/>
      <x:c r="N457" s="21"/>
      <x:c r="O457" s="43"/>
      <x:c r="P457" s="43"/>
      <x:c r="Q457" s="25"/>
      <x:c r="R457" s="25"/>
      <x:c r="S457" s="39" t="str">
        <x:f>IF(A457="","",SUMIF('07_DUNG_CHO'!$B$6:$B$505,A457,'07_DUNG_CHO'!$E$6:$E$505))</x:f>
      </x:c>
      <x:c r="T457" s="39" t="str">
        <x:f>IF(A457="","",IF(N457="SETUP",0,MAX(0,(P457-O457)*1440-Q457-S457)))</x:f>
      </x:c>
      <x:c r="U457" s="25"/>
      <x:c r="V457" s="25"/>
      <x:c r="W457" s="25"/>
      <x:c r="X457" s="25"/>
      <x:c r="Y457" s="25"/>
      <x:c r="Z457" s="25"/>
      <x:c r="AA457" s="39" t="str">
        <x:f>IF(A457="","",U457-SUM(V457,X457:Z457))</x:f>
      </x:c>
      <x:c r="AB457" s="39" t="str">
        <x:f>IF(A457="","",IF(N457="SETUP",IFERROR(INDEX('04_KE_HOACH_CD'!$K$6:$K$305,MATCH(K457,'04_KE_HOACH_CD'!$G$6:$G$305,0)),0),IF(OR(N457="PRODUCTION",N457="REWORK"),IFERROR(INDEX('04_KE_HOACH_CD'!$L$6:$L$305,MATCH(K457,'04_KE_HOACH_CD'!$G$6:$G$305,0))*V457,0),0)))</x:f>
      </x:c>
      <x:c r="AC457" s="39" t="str">
        <x:f>IF(A457="","",MAX(0,(P457-O457)*1440-Q457))</x:f>
      </x:c>
      <x:c r="AD457" s="37" t="str">
        <x:f>IF(A457="","",IFERROR(AB457/AC457,0))</x:f>
      </x:c>
      <x:c r="AE457" s="33" t="str">
        <x:f>IF(A457="","",AC457/60*SUMIF(DM_NHAN_SU!$A$6:$A$105,L457,DM_NHAN_SU!$E$6:$E$105))</x:f>
      </x:c>
      <x:c r="AF457" s="33" t="str">
        <x:f>IF(A457="","",AC457/60*SUMIF(DM_MAY!$A$6:$A$105,M457,DM_MAY!$F$6:$F$105))</x:f>
      </x:c>
      <x:c r="AG457" s="33" t="str">
        <x:f>IF(A457="","",AE457+AF457)</x:f>
      </x:c>
      <x:c r="AH457" s="21"/>
      <x:c r="AI457" s="29" t="str">
        <x:f>IF(A457="","",IF(OR(B457="",D457="",E457="",I457="",L457="",N457="",O457="",P457=""),"Thiếu dữ liệu",IF(AND(OR(N457="PRODUCTION",N457="REWORK",N457="SETUP"),M457=""),"Thiếu máy",IF(P457&lt;O457,"Sai thời gian",IF(AA457&lt;&gt;0,"Sai cân đối SL","Hợp lệ")))))</x:f>
      </x:c>
      <x:c r="AJ457" s="21"/>
    </x:row>
    <x:row r="458">
      <x:c r="A458" s="21"/>
      <x:c r="B458" s="35"/>
      <x:c r="C458" s="21"/>
      <x:c r="D458" s="21"/>
      <x:c r="E458" s="21"/>
      <x:c r="F458" s="21"/>
      <x:c r="G458" s="21"/>
      <x:c r="H458" s="29" t="str">
        <x:f>IF(OR(D458="",E458=""),"",D458&amp;"|"&amp;E458&amp;"|"&amp;IF(F458="","00",F458)&amp;"|"&amp;IF(G458="","01",G458))</x:f>
      </x:c>
      <x:c r="I458" s="21"/>
      <x:c r="J458" s="29" t="str">
        <x:f>IF(K458="","",IFERROR(INDEX('04_KE_HOACH_CD'!$I$6:$I$305,MATCH(K458,'04_KE_HOACH_CD'!$G$6:$G$305,0)),""))</x:f>
      </x:c>
      <x:c r="K458" s="29" t="str">
        <x:f>IF(OR(H458="",I458=""),"",H458&amp;"|"&amp;TEXT(I458,"000"))</x:f>
      </x:c>
      <x:c r="L458" s="21"/>
      <x:c r="M458" s="21"/>
      <x:c r="N458" s="21"/>
      <x:c r="O458" s="43"/>
      <x:c r="P458" s="43"/>
      <x:c r="Q458" s="25"/>
      <x:c r="R458" s="25"/>
      <x:c r="S458" s="39" t="str">
        <x:f>IF(A458="","",SUMIF('07_DUNG_CHO'!$B$6:$B$505,A458,'07_DUNG_CHO'!$E$6:$E$505))</x:f>
      </x:c>
      <x:c r="T458" s="39" t="str">
        <x:f>IF(A458="","",IF(N458="SETUP",0,MAX(0,(P458-O458)*1440-Q458-S458)))</x:f>
      </x:c>
      <x:c r="U458" s="25"/>
      <x:c r="V458" s="25"/>
      <x:c r="W458" s="25"/>
      <x:c r="X458" s="25"/>
      <x:c r="Y458" s="25"/>
      <x:c r="Z458" s="25"/>
      <x:c r="AA458" s="39" t="str">
        <x:f>IF(A458="","",U458-SUM(V458,X458:Z458))</x:f>
      </x:c>
      <x:c r="AB458" s="39" t="str">
        <x:f>IF(A458="","",IF(N458="SETUP",IFERROR(INDEX('04_KE_HOACH_CD'!$K$6:$K$305,MATCH(K458,'04_KE_HOACH_CD'!$G$6:$G$305,0)),0),IF(OR(N458="PRODUCTION",N458="REWORK"),IFERROR(INDEX('04_KE_HOACH_CD'!$L$6:$L$305,MATCH(K458,'04_KE_HOACH_CD'!$G$6:$G$305,0))*V458,0),0)))</x:f>
      </x:c>
      <x:c r="AC458" s="39" t="str">
        <x:f>IF(A458="","",MAX(0,(P458-O458)*1440-Q458))</x:f>
      </x:c>
      <x:c r="AD458" s="37" t="str">
        <x:f>IF(A458="","",IFERROR(AB458/AC458,0))</x:f>
      </x:c>
      <x:c r="AE458" s="33" t="str">
        <x:f>IF(A458="","",AC458/60*SUMIF(DM_NHAN_SU!$A$6:$A$105,L458,DM_NHAN_SU!$E$6:$E$105))</x:f>
      </x:c>
      <x:c r="AF458" s="33" t="str">
        <x:f>IF(A458="","",AC458/60*SUMIF(DM_MAY!$A$6:$A$105,M458,DM_MAY!$F$6:$F$105))</x:f>
      </x:c>
      <x:c r="AG458" s="33" t="str">
        <x:f>IF(A458="","",AE458+AF458)</x:f>
      </x:c>
      <x:c r="AH458" s="21"/>
      <x:c r="AI458" s="29" t="str">
        <x:f>IF(A458="","",IF(OR(B458="",D458="",E458="",I458="",L458="",N458="",O458="",P458=""),"Thiếu dữ liệu",IF(AND(OR(N458="PRODUCTION",N458="REWORK",N458="SETUP"),M458=""),"Thiếu máy",IF(P458&lt;O458,"Sai thời gian",IF(AA458&lt;&gt;0,"Sai cân đối SL","Hợp lệ")))))</x:f>
      </x:c>
      <x:c r="AJ458" s="21"/>
    </x:row>
    <x:row r="459">
      <x:c r="A459" s="21"/>
      <x:c r="B459" s="35"/>
      <x:c r="C459" s="21"/>
      <x:c r="D459" s="21"/>
      <x:c r="E459" s="21"/>
      <x:c r="F459" s="21"/>
      <x:c r="G459" s="21"/>
      <x:c r="H459" s="29" t="str">
        <x:f>IF(OR(D459="",E459=""),"",D459&amp;"|"&amp;E459&amp;"|"&amp;IF(F459="","00",F459)&amp;"|"&amp;IF(G459="","01",G459))</x:f>
      </x:c>
      <x:c r="I459" s="21"/>
      <x:c r="J459" s="29" t="str">
        <x:f>IF(K459="","",IFERROR(INDEX('04_KE_HOACH_CD'!$I$6:$I$305,MATCH(K459,'04_KE_HOACH_CD'!$G$6:$G$305,0)),""))</x:f>
      </x:c>
      <x:c r="K459" s="29" t="str">
        <x:f>IF(OR(H459="",I459=""),"",H459&amp;"|"&amp;TEXT(I459,"000"))</x:f>
      </x:c>
      <x:c r="L459" s="21"/>
      <x:c r="M459" s="21"/>
      <x:c r="N459" s="21"/>
      <x:c r="O459" s="43"/>
      <x:c r="P459" s="43"/>
      <x:c r="Q459" s="25"/>
      <x:c r="R459" s="25"/>
      <x:c r="S459" s="39" t="str">
        <x:f>IF(A459="","",SUMIF('07_DUNG_CHO'!$B$6:$B$505,A459,'07_DUNG_CHO'!$E$6:$E$505))</x:f>
      </x:c>
      <x:c r="T459" s="39" t="str">
        <x:f>IF(A459="","",IF(N459="SETUP",0,MAX(0,(P459-O459)*1440-Q459-S459)))</x:f>
      </x:c>
      <x:c r="U459" s="25"/>
      <x:c r="V459" s="25"/>
      <x:c r="W459" s="25"/>
      <x:c r="X459" s="25"/>
      <x:c r="Y459" s="25"/>
      <x:c r="Z459" s="25"/>
      <x:c r="AA459" s="39" t="str">
        <x:f>IF(A459="","",U459-SUM(V459,X459:Z459))</x:f>
      </x:c>
      <x:c r="AB459" s="39" t="str">
        <x:f>IF(A459="","",IF(N459="SETUP",IFERROR(INDEX('04_KE_HOACH_CD'!$K$6:$K$305,MATCH(K459,'04_KE_HOACH_CD'!$G$6:$G$305,0)),0),IF(OR(N459="PRODUCTION",N459="REWORK"),IFERROR(INDEX('04_KE_HOACH_CD'!$L$6:$L$305,MATCH(K459,'04_KE_HOACH_CD'!$G$6:$G$305,0))*V459,0),0)))</x:f>
      </x:c>
      <x:c r="AC459" s="39" t="str">
        <x:f>IF(A459="","",MAX(0,(P459-O459)*1440-Q459))</x:f>
      </x:c>
      <x:c r="AD459" s="37" t="str">
        <x:f>IF(A459="","",IFERROR(AB459/AC459,0))</x:f>
      </x:c>
      <x:c r="AE459" s="33" t="str">
        <x:f>IF(A459="","",AC459/60*SUMIF(DM_NHAN_SU!$A$6:$A$105,L459,DM_NHAN_SU!$E$6:$E$105))</x:f>
      </x:c>
      <x:c r="AF459" s="33" t="str">
        <x:f>IF(A459="","",AC459/60*SUMIF(DM_MAY!$A$6:$A$105,M459,DM_MAY!$F$6:$F$105))</x:f>
      </x:c>
      <x:c r="AG459" s="33" t="str">
        <x:f>IF(A459="","",AE459+AF459)</x:f>
      </x:c>
      <x:c r="AH459" s="21"/>
      <x:c r="AI459" s="29" t="str">
        <x:f>IF(A459="","",IF(OR(B459="",D459="",E459="",I459="",L459="",N459="",O459="",P459=""),"Thiếu dữ liệu",IF(AND(OR(N459="PRODUCTION",N459="REWORK",N459="SETUP"),M459=""),"Thiếu máy",IF(P459&lt;O459,"Sai thời gian",IF(AA459&lt;&gt;0,"Sai cân đối SL","Hợp lệ")))))</x:f>
      </x:c>
      <x:c r="AJ459" s="21"/>
    </x:row>
    <x:row r="460">
      <x:c r="A460" s="21"/>
      <x:c r="B460" s="35"/>
      <x:c r="C460" s="21"/>
      <x:c r="D460" s="21"/>
      <x:c r="E460" s="21"/>
      <x:c r="F460" s="21"/>
      <x:c r="G460" s="21"/>
      <x:c r="H460" s="29" t="str">
        <x:f>IF(OR(D460="",E460=""),"",D460&amp;"|"&amp;E460&amp;"|"&amp;IF(F460="","00",F460)&amp;"|"&amp;IF(G460="","01",G460))</x:f>
      </x:c>
      <x:c r="I460" s="21"/>
      <x:c r="J460" s="29" t="str">
        <x:f>IF(K460="","",IFERROR(INDEX('04_KE_HOACH_CD'!$I$6:$I$305,MATCH(K460,'04_KE_HOACH_CD'!$G$6:$G$305,0)),""))</x:f>
      </x:c>
      <x:c r="K460" s="29" t="str">
        <x:f>IF(OR(H460="",I460=""),"",H460&amp;"|"&amp;TEXT(I460,"000"))</x:f>
      </x:c>
      <x:c r="L460" s="21"/>
      <x:c r="M460" s="21"/>
      <x:c r="N460" s="21"/>
      <x:c r="O460" s="43"/>
      <x:c r="P460" s="43"/>
      <x:c r="Q460" s="25"/>
      <x:c r="R460" s="25"/>
      <x:c r="S460" s="39" t="str">
        <x:f>IF(A460="","",SUMIF('07_DUNG_CHO'!$B$6:$B$505,A460,'07_DUNG_CHO'!$E$6:$E$505))</x:f>
      </x:c>
      <x:c r="T460" s="39" t="str">
        <x:f>IF(A460="","",IF(N460="SETUP",0,MAX(0,(P460-O460)*1440-Q460-S460)))</x:f>
      </x:c>
      <x:c r="U460" s="25"/>
      <x:c r="V460" s="25"/>
      <x:c r="W460" s="25"/>
      <x:c r="X460" s="25"/>
      <x:c r="Y460" s="25"/>
      <x:c r="Z460" s="25"/>
      <x:c r="AA460" s="39" t="str">
        <x:f>IF(A460="","",U460-SUM(V460,X460:Z460))</x:f>
      </x:c>
      <x:c r="AB460" s="39" t="str">
        <x:f>IF(A460="","",IF(N460="SETUP",IFERROR(INDEX('04_KE_HOACH_CD'!$K$6:$K$305,MATCH(K460,'04_KE_HOACH_CD'!$G$6:$G$305,0)),0),IF(OR(N460="PRODUCTION",N460="REWORK"),IFERROR(INDEX('04_KE_HOACH_CD'!$L$6:$L$305,MATCH(K460,'04_KE_HOACH_CD'!$G$6:$G$305,0))*V460,0),0)))</x:f>
      </x:c>
      <x:c r="AC460" s="39" t="str">
        <x:f>IF(A460="","",MAX(0,(P460-O460)*1440-Q460))</x:f>
      </x:c>
      <x:c r="AD460" s="37" t="str">
        <x:f>IF(A460="","",IFERROR(AB460/AC460,0))</x:f>
      </x:c>
      <x:c r="AE460" s="33" t="str">
        <x:f>IF(A460="","",AC460/60*SUMIF(DM_NHAN_SU!$A$6:$A$105,L460,DM_NHAN_SU!$E$6:$E$105))</x:f>
      </x:c>
      <x:c r="AF460" s="33" t="str">
        <x:f>IF(A460="","",AC460/60*SUMIF(DM_MAY!$A$6:$A$105,M460,DM_MAY!$F$6:$F$105))</x:f>
      </x:c>
      <x:c r="AG460" s="33" t="str">
        <x:f>IF(A460="","",AE460+AF460)</x:f>
      </x:c>
      <x:c r="AH460" s="21"/>
      <x:c r="AI460" s="29" t="str">
        <x:f>IF(A460="","",IF(OR(B460="",D460="",E460="",I460="",L460="",N460="",O460="",P460=""),"Thiếu dữ liệu",IF(AND(OR(N460="PRODUCTION",N460="REWORK",N460="SETUP"),M460=""),"Thiếu máy",IF(P460&lt;O460,"Sai thời gian",IF(AA460&lt;&gt;0,"Sai cân đối SL","Hợp lệ")))))</x:f>
      </x:c>
      <x:c r="AJ460" s="21"/>
    </x:row>
    <x:row r="461">
      <x:c r="A461" s="21"/>
      <x:c r="B461" s="35"/>
      <x:c r="C461" s="21"/>
      <x:c r="D461" s="21"/>
      <x:c r="E461" s="21"/>
      <x:c r="F461" s="21"/>
      <x:c r="G461" s="21"/>
      <x:c r="H461" s="29" t="str">
        <x:f>IF(OR(D461="",E461=""),"",D461&amp;"|"&amp;E461&amp;"|"&amp;IF(F461="","00",F461)&amp;"|"&amp;IF(G461="","01",G461))</x:f>
      </x:c>
      <x:c r="I461" s="21"/>
      <x:c r="J461" s="29" t="str">
        <x:f>IF(K461="","",IFERROR(INDEX('04_KE_HOACH_CD'!$I$6:$I$305,MATCH(K461,'04_KE_HOACH_CD'!$G$6:$G$305,0)),""))</x:f>
      </x:c>
      <x:c r="K461" s="29" t="str">
        <x:f>IF(OR(H461="",I461=""),"",H461&amp;"|"&amp;TEXT(I461,"000"))</x:f>
      </x:c>
      <x:c r="L461" s="21"/>
      <x:c r="M461" s="21"/>
      <x:c r="N461" s="21"/>
      <x:c r="O461" s="43"/>
      <x:c r="P461" s="43"/>
      <x:c r="Q461" s="25"/>
      <x:c r="R461" s="25"/>
      <x:c r="S461" s="39" t="str">
        <x:f>IF(A461="","",SUMIF('07_DUNG_CHO'!$B$6:$B$505,A461,'07_DUNG_CHO'!$E$6:$E$505))</x:f>
      </x:c>
      <x:c r="T461" s="39" t="str">
        <x:f>IF(A461="","",IF(N461="SETUP",0,MAX(0,(P461-O461)*1440-Q461-S461)))</x:f>
      </x:c>
      <x:c r="U461" s="25"/>
      <x:c r="V461" s="25"/>
      <x:c r="W461" s="25"/>
      <x:c r="X461" s="25"/>
      <x:c r="Y461" s="25"/>
      <x:c r="Z461" s="25"/>
      <x:c r="AA461" s="39" t="str">
        <x:f>IF(A461="","",U461-SUM(V461,X461:Z461))</x:f>
      </x:c>
      <x:c r="AB461" s="39" t="str">
        <x:f>IF(A461="","",IF(N461="SETUP",IFERROR(INDEX('04_KE_HOACH_CD'!$K$6:$K$305,MATCH(K461,'04_KE_HOACH_CD'!$G$6:$G$305,0)),0),IF(OR(N461="PRODUCTION",N461="REWORK"),IFERROR(INDEX('04_KE_HOACH_CD'!$L$6:$L$305,MATCH(K461,'04_KE_HOACH_CD'!$G$6:$G$305,0))*V461,0),0)))</x:f>
      </x:c>
      <x:c r="AC461" s="39" t="str">
        <x:f>IF(A461="","",MAX(0,(P461-O461)*1440-Q461))</x:f>
      </x:c>
      <x:c r="AD461" s="37" t="str">
        <x:f>IF(A461="","",IFERROR(AB461/AC461,0))</x:f>
      </x:c>
      <x:c r="AE461" s="33" t="str">
        <x:f>IF(A461="","",AC461/60*SUMIF(DM_NHAN_SU!$A$6:$A$105,L461,DM_NHAN_SU!$E$6:$E$105))</x:f>
      </x:c>
      <x:c r="AF461" s="33" t="str">
        <x:f>IF(A461="","",AC461/60*SUMIF(DM_MAY!$A$6:$A$105,M461,DM_MAY!$F$6:$F$105))</x:f>
      </x:c>
      <x:c r="AG461" s="33" t="str">
        <x:f>IF(A461="","",AE461+AF461)</x:f>
      </x:c>
      <x:c r="AH461" s="21"/>
      <x:c r="AI461" s="29" t="str">
        <x:f>IF(A461="","",IF(OR(B461="",D461="",E461="",I461="",L461="",N461="",O461="",P461=""),"Thiếu dữ liệu",IF(AND(OR(N461="PRODUCTION",N461="REWORK",N461="SETUP"),M461=""),"Thiếu máy",IF(P461&lt;O461,"Sai thời gian",IF(AA461&lt;&gt;0,"Sai cân đối SL","Hợp lệ")))))</x:f>
      </x:c>
      <x:c r="AJ461" s="21"/>
    </x:row>
    <x:row r="462">
      <x:c r="A462" s="21"/>
      <x:c r="B462" s="35"/>
      <x:c r="C462" s="21"/>
      <x:c r="D462" s="21"/>
      <x:c r="E462" s="21"/>
      <x:c r="F462" s="21"/>
      <x:c r="G462" s="21"/>
      <x:c r="H462" s="29" t="str">
        <x:f>IF(OR(D462="",E462=""),"",D462&amp;"|"&amp;E462&amp;"|"&amp;IF(F462="","00",F462)&amp;"|"&amp;IF(G462="","01",G462))</x:f>
      </x:c>
      <x:c r="I462" s="21"/>
      <x:c r="J462" s="29" t="str">
        <x:f>IF(K462="","",IFERROR(INDEX('04_KE_HOACH_CD'!$I$6:$I$305,MATCH(K462,'04_KE_HOACH_CD'!$G$6:$G$305,0)),""))</x:f>
      </x:c>
      <x:c r="K462" s="29" t="str">
        <x:f>IF(OR(H462="",I462=""),"",H462&amp;"|"&amp;TEXT(I462,"000"))</x:f>
      </x:c>
      <x:c r="L462" s="21"/>
      <x:c r="M462" s="21"/>
      <x:c r="N462" s="21"/>
      <x:c r="O462" s="43"/>
      <x:c r="P462" s="43"/>
      <x:c r="Q462" s="25"/>
      <x:c r="R462" s="25"/>
      <x:c r="S462" s="39" t="str">
        <x:f>IF(A462="","",SUMIF('07_DUNG_CHO'!$B$6:$B$505,A462,'07_DUNG_CHO'!$E$6:$E$505))</x:f>
      </x:c>
      <x:c r="T462" s="39" t="str">
        <x:f>IF(A462="","",IF(N462="SETUP",0,MAX(0,(P462-O462)*1440-Q462-S462)))</x:f>
      </x:c>
      <x:c r="U462" s="25"/>
      <x:c r="V462" s="25"/>
      <x:c r="W462" s="25"/>
      <x:c r="X462" s="25"/>
      <x:c r="Y462" s="25"/>
      <x:c r="Z462" s="25"/>
      <x:c r="AA462" s="39" t="str">
        <x:f>IF(A462="","",U462-SUM(V462,X462:Z462))</x:f>
      </x:c>
      <x:c r="AB462" s="39" t="str">
        <x:f>IF(A462="","",IF(N462="SETUP",IFERROR(INDEX('04_KE_HOACH_CD'!$K$6:$K$305,MATCH(K462,'04_KE_HOACH_CD'!$G$6:$G$305,0)),0),IF(OR(N462="PRODUCTION",N462="REWORK"),IFERROR(INDEX('04_KE_HOACH_CD'!$L$6:$L$305,MATCH(K462,'04_KE_HOACH_CD'!$G$6:$G$305,0))*V462,0),0)))</x:f>
      </x:c>
      <x:c r="AC462" s="39" t="str">
        <x:f>IF(A462="","",MAX(0,(P462-O462)*1440-Q462))</x:f>
      </x:c>
      <x:c r="AD462" s="37" t="str">
        <x:f>IF(A462="","",IFERROR(AB462/AC462,0))</x:f>
      </x:c>
      <x:c r="AE462" s="33" t="str">
        <x:f>IF(A462="","",AC462/60*SUMIF(DM_NHAN_SU!$A$6:$A$105,L462,DM_NHAN_SU!$E$6:$E$105))</x:f>
      </x:c>
      <x:c r="AF462" s="33" t="str">
        <x:f>IF(A462="","",AC462/60*SUMIF(DM_MAY!$A$6:$A$105,M462,DM_MAY!$F$6:$F$105))</x:f>
      </x:c>
      <x:c r="AG462" s="33" t="str">
        <x:f>IF(A462="","",AE462+AF462)</x:f>
      </x:c>
      <x:c r="AH462" s="21"/>
      <x:c r="AI462" s="29" t="str">
        <x:f>IF(A462="","",IF(OR(B462="",D462="",E462="",I462="",L462="",N462="",O462="",P462=""),"Thiếu dữ liệu",IF(AND(OR(N462="PRODUCTION",N462="REWORK",N462="SETUP"),M462=""),"Thiếu máy",IF(P462&lt;O462,"Sai thời gian",IF(AA462&lt;&gt;0,"Sai cân đối SL","Hợp lệ")))))</x:f>
      </x:c>
      <x:c r="AJ462" s="21"/>
    </x:row>
    <x:row r="463">
      <x:c r="A463" s="21"/>
      <x:c r="B463" s="35"/>
      <x:c r="C463" s="21"/>
      <x:c r="D463" s="21"/>
      <x:c r="E463" s="21"/>
      <x:c r="F463" s="21"/>
      <x:c r="G463" s="21"/>
      <x:c r="H463" s="29" t="str">
        <x:f>IF(OR(D463="",E463=""),"",D463&amp;"|"&amp;E463&amp;"|"&amp;IF(F463="","00",F463)&amp;"|"&amp;IF(G463="","01",G463))</x:f>
      </x:c>
      <x:c r="I463" s="21"/>
      <x:c r="J463" s="29" t="str">
        <x:f>IF(K463="","",IFERROR(INDEX('04_KE_HOACH_CD'!$I$6:$I$305,MATCH(K463,'04_KE_HOACH_CD'!$G$6:$G$305,0)),""))</x:f>
      </x:c>
      <x:c r="K463" s="29" t="str">
        <x:f>IF(OR(H463="",I463=""),"",H463&amp;"|"&amp;TEXT(I463,"000"))</x:f>
      </x:c>
      <x:c r="L463" s="21"/>
      <x:c r="M463" s="21"/>
      <x:c r="N463" s="21"/>
      <x:c r="O463" s="43"/>
      <x:c r="P463" s="43"/>
      <x:c r="Q463" s="25"/>
      <x:c r="R463" s="25"/>
      <x:c r="S463" s="39" t="str">
        <x:f>IF(A463="","",SUMIF('07_DUNG_CHO'!$B$6:$B$505,A463,'07_DUNG_CHO'!$E$6:$E$505))</x:f>
      </x:c>
      <x:c r="T463" s="39" t="str">
        <x:f>IF(A463="","",IF(N463="SETUP",0,MAX(0,(P463-O463)*1440-Q463-S463)))</x:f>
      </x:c>
      <x:c r="U463" s="25"/>
      <x:c r="V463" s="25"/>
      <x:c r="W463" s="25"/>
      <x:c r="X463" s="25"/>
      <x:c r="Y463" s="25"/>
      <x:c r="Z463" s="25"/>
      <x:c r="AA463" s="39" t="str">
        <x:f>IF(A463="","",U463-SUM(V463,X463:Z463))</x:f>
      </x:c>
      <x:c r="AB463" s="39" t="str">
        <x:f>IF(A463="","",IF(N463="SETUP",IFERROR(INDEX('04_KE_HOACH_CD'!$K$6:$K$305,MATCH(K463,'04_KE_HOACH_CD'!$G$6:$G$305,0)),0),IF(OR(N463="PRODUCTION",N463="REWORK"),IFERROR(INDEX('04_KE_HOACH_CD'!$L$6:$L$305,MATCH(K463,'04_KE_HOACH_CD'!$G$6:$G$305,0))*V463,0),0)))</x:f>
      </x:c>
      <x:c r="AC463" s="39" t="str">
        <x:f>IF(A463="","",MAX(0,(P463-O463)*1440-Q463))</x:f>
      </x:c>
      <x:c r="AD463" s="37" t="str">
        <x:f>IF(A463="","",IFERROR(AB463/AC463,0))</x:f>
      </x:c>
      <x:c r="AE463" s="33" t="str">
        <x:f>IF(A463="","",AC463/60*SUMIF(DM_NHAN_SU!$A$6:$A$105,L463,DM_NHAN_SU!$E$6:$E$105))</x:f>
      </x:c>
      <x:c r="AF463" s="33" t="str">
        <x:f>IF(A463="","",AC463/60*SUMIF(DM_MAY!$A$6:$A$105,M463,DM_MAY!$F$6:$F$105))</x:f>
      </x:c>
      <x:c r="AG463" s="33" t="str">
        <x:f>IF(A463="","",AE463+AF463)</x:f>
      </x:c>
      <x:c r="AH463" s="21"/>
      <x:c r="AI463" s="29" t="str">
        <x:f>IF(A463="","",IF(OR(B463="",D463="",E463="",I463="",L463="",N463="",O463="",P463=""),"Thiếu dữ liệu",IF(AND(OR(N463="PRODUCTION",N463="REWORK",N463="SETUP"),M463=""),"Thiếu máy",IF(P463&lt;O463,"Sai thời gian",IF(AA463&lt;&gt;0,"Sai cân đối SL","Hợp lệ")))))</x:f>
      </x:c>
      <x:c r="AJ463" s="21"/>
    </x:row>
    <x:row r="464">
      <x:c r="A464" s="21"/>
      <x:c r="B464" s="35"/>
      <x:c r="C464" s="21"/>
      <x:c r="D464" s="21"/>
      <x:c r="E464" s="21"/>
      <x:c r="F464" s="21"/>
      <x:c r="G464" s="21"/>
      <x:c r="H464" s="29" t="str">
        <x:f>IF(OR(D464="",E464=""),"",D464&amp;"|"&amp;E464&amp;"|"&amp;IF(F464="","00",F464)&amp;"|"&amp;IF(G464="","01",G464))</x:f>
      </x:c>
      <x:c r="I464" s="21"/>
      <x:c r="J464" s="29" t="str">
        <x:f>IF(K464="","",IFERROR(INDEX('04_KE_HOACH_CD'!$I$6:$I$305,MATCH(K464,'04_KE_HOACH_CD'!$G$6:$G$305,0)),""))</x:f>
      </x:c>
      <x:c r="K464" s="29" t="str">
        <x:f>IF(OR(H464="",I464=""),"",H464&amp;"|"&amp;TEXT(I464,"000"))</x:f>
      </x:c>
      <x:c r="L464" s="21"/>
      <x:c r="M464" s="21"/>
      <x:c r="N464" s="21"/>
      <x:c r="O464" s="43"/>
      <x:c r="P464" s="43"/>
      <x:c r="Q464" s="25"/>
      <x:c r="R464" s="25"/>
      <x:c r="S464" s="39" t="str">
        <x:f>IF(A464="","",SUMIF('07_DUNG_CHO'!$B$6:$B$505,A464,'07_DUNG_CHO'!$E$6:$E$505))</x:f>
      </x:c>
      <x:c r="T464" s="39" t="str">
        <x:f>IF(A464="","",IF(N464="SETUP",0,MAX(0,(P464-O464)*1440-Q464-S464)))</x:f>
      </x:c>
      <x:c r="U464" s="25"/>
      <x:c r="V464" s="25"/>
      <x:c r="W464" s="25"/>
      <x:c r="X464" s="25"/>
      <x:c r="Y464" s="25"/>
      <x:c r="Z464" s="25"/>
      <x:c r="AA464" s="39" t="str">
        <x:f>IF(A464="","",U464-SUM(V464,X464:Z464))</x:f>
      </x:c>
      <x:c r="AB464" s="39" t="str">
        <x:f>IF(A464="","",IF(N464="SETUP",IFERROR(INDEX('04_KE_HOACH_CD'!$K$6:$K$305,MATCH(K464,'04_KE_HOACH_CD'!$G$6:$G$305,0)),0),IF(OR(N464="PRODUCTION",N464="REWORK"),IFERROR(INDEX('04_KE_HOACH_CD'!$L$6:$L$305,MATCH(K464,'04_KE_HOACH_CD'!$G$6:$G$305,0))*V464,0),0)))</x:f>
      </x:c>
      <x:c r="AC464" s="39" t="str">
        <x:f>IF(A464="","",MAX(0,(P464-O464)*1440-Q464))</x:f>
      </x:c>
      <x:c r="AD464" s="37" t="str">
        <x:f>IF(A464="","",IFERROR(AB464/AC464,0))</x:f>
      </x:c>
      <x:c r="AE464" s="33" t="str">
        <x:f>IF(A464="","",AC464/60*SUMIF(DM_NHAN_SU!$A$6:$A$105,L464,DM_NHAN_SU!$E$6:$E$105))</x:f>
      </x:c>
      <x:c r="AF464" s="33" t="str">
        <x:f>IF(A464="","",AC464/60*SUMIF(DM_MAY!$A$6:$A$105,M464,DM_MAY!$F$6:$F$105))</x:f>
      </x:c>
      <x:c r="AG464" s="33" t="str">
        <x:f>IF(A464="","",AE464+AF464)</x:f>
      </x:c>
      <x:c r="AH464" s="21"/>
      <x:c r="AI464" s="29" t="str">
        <x:f>IF(A464="","",IF(OR(B464="",D464="",E464="",I464="",L464="",N464="",O464="",P464=""),"Thiếu dữ liệu",IF(AND(OR(N464="PRODUCTION",N464="REWORK",N464="SETUP"),M464=""),"Thiếu máy",IF(P464&lt;O464,"Sai thời gian",IF(AA464&lt;&gt;0,"Sai cân đối SL","Hợp lệ")))))</x:f>
      </x:c>
      <x:c r="AJ464" s="21"/>
    </x:row>
    <x:row r="465">
      <x:c r="A465" s="21"/>
      <x:c r="B465" s="35"/>
      <x:c r="C465" s="21"/>
      <x:c r="D465" s="21"/>
      <x:c r="E465" s="21"/>
      <x:c r="F465" s="21"/>
      <x:c r="G465" s="21"/>
      <x:c r="H465" s="29" t="str">
        <x:f>IF(OR(D465="",E465=""),"",D465&amp;"|"&amp;E465&amp;"|"&amp;IF(F465="","00",F465)&amp;"|"&amp;IF(G465="","01",G465))</x:f>
      </x:c>
      <x:c r="I465" s="21"/>
      <x:c r="J465" s="29" t="str">
        <x:f>IF(K465="","",IFERROR(INDEX('04_KE_HOACH_CD'!$I$6:$I$305,MATCH(K465,'04_KE_HOACH_CD'!$G$6:$G$305,0)),""))</x:f>
      </x:c>
      <x:c r="K465" s="29" t="str">
        <x:f>IF(OR(H465="",I465=""),"",H465&amp;"|"&amp;TEXT(I465,"000"))</x:f>
      </x:c>
      <x:c r="L465" s="21"/>
      <x:c r="M465" s="21"/>
      <x:c r="N465" s="21"/>
      <x:c r="O465" s="43"/>
      <x:c r="P465" s="43"/>
      <x:c r="Q465" s="25"/>
      <x:c r="R465" s="25"/>
      <x:c r="S465" s="39" t="str">
        <x:f>IF(A465="","",SUMIF('07_DUNG_CHO'!$B$6:$B$505,A465,'07_DUNG_CHO'!$E$6:$E$505))</x:f>
      </x:c>
      <x:c r="T465" s="39" t="str">
        <x:f>IF(A465="","",IF(N465="SETUP",0,MAX(0,(P465-O465)*1440-Q465-S465)))</x:f>
      </x:c>
      <x:c r="U465" s="25"/>
      <x:c r="V465" s="25"/>
      <x:c r="W465" s="25"/>
      <x:c r="X465" s="25"/>
      <x:c r="Y465" s="25"/>
      <x:c r="Z465" s="25"/>
      <x:c r="AA465" s="39" t="str">
        <x:f>IF(A465="","",U465-SUM(V465,X465:Z465))</x:f>
      </x:c>
      <x:c r="AB465" s="39" t="str">
        <x:f>IF(A465="","",IF(N465="SETUP",IFERROR(INDEX('04_KE_HOACH_CD'!$K$6:$K$305,MATCH(K465,'04_KE_HOACH_CD'!$G$6:$G$305,0)),0),IF(OR(N465="PRODUCTION",N465="REWORK"),IFERROR(INDEX('04_KE_HOACH_CD'!$L$6:$L$305,MATCH(K465,'04_KE_HOACH_CD'!$G$6:$G$305,0))*V465,0),0)))</x:f>
      </x:c>
      <x:c r="AC465" s="39" t="str">
        <x:f>IF(A465="","",MAX(0,(P465-O465)*1440-Q465))</x:f>
      </x:c>
      <x:c r="AD465" s="37" t="str">
        <x:f>IF(A465="","",IFERROR(AB465/AC465,0))</x:f>
      </x:c>
      <x:c r="AE465" s="33" t="str">
        <x:f>IF(A465="","",AC465/60*SUMIF(DM_NHAN_SU!$A$6:$A$105,L465,DM_NHAN_SU!$E$6:$E$105))</x:f>
      </x:c>
      <x:c r="AF465" s="33" t="str">
        <x:f>IF(A465="","",AC465/60*SUMIF(DM_MAY!$A$6:$A$105,M465,DM_MAY!$F$6:$F$105))</x:f>
      </x:c>
      <x:c r="AG465" s="33" t="str">
        <x:f>IF(A465="","",AE465+AF465)</x:f>
      </x:c>
      <x:c r="AH465" s="21"/>
      <x:c r="AI465" s="29" t="str">
        <x:f>IF(A465="","",IF(OR(B465="",D465="",E465="",I465="",L465="",N465="",O465="",P465=""),"Thiếu dữ liệu",IF(AND(OR(N465="PRODUCTION",N465="REWORK",N465="SETUP"),M465=""),"Thiếu máy",IF(P465&lt;O465,"Sai thời gian",IF(AA465&lt;&gt;0,"Sai cân đối SL","Hợp lệ")))))</x:f>
      </x:c>
      <x:c r="AJ465" s="21"/>
    </x:row>
    <x:row r="466">
      <x:c r="A466" s="21"/>
      <x:c r="B466" s="35"/>
      <x:c r="C466" s="21"/>
      <x:c r="D466" s="21"/>
      <x:c r="E466" s="21"/>
      <x:c r="F466" s="21"/>
      <x:c r="G466" s="21"/>
      <x:c r="H466" s="29" t="str">
        <x:f>IF(OR(D466="",E466=""),"",D466&amp;"|"&amp;E466&amp;"|"&amp;IF(F466="","00",F466)&amp;"|"&amp;IF(G466="","01",G466))</x:f>
      </x:c>
      <x:c r="I466" s="21"/>
      <x:c r="J466" s="29" t="str">
        <x:f>IF(K466="","",IFERROR(INDEX('04_KE_HOACH_CD'!$I$6:$I$305,MATCH(K466,'04_KE_HOACH_CD'!$G$6:$G$305,0)),""))</x:f>
      </x:c>
      <x:c r="K466" s="29" t="str">
        <x:f>IF(OR(H466="",I466=""),"",H466&amp;"|"&amp;TEXT(I466,"000"))</x:f>
      </x:c>
      <x:c r="L466" s="21"/>
      <x:c r="M466" s="21"/>
      <x:c r="N466" s="21"/>
      <x:c r="O466" s="43"/>
      <x:c r="P466" s="43"/>
      <x:c r="Q466" s="25"/>
      <x:c r="R466" s="25"/>
      <x:c r="S466" s="39" t="str">
        <x:f>IF(A466="","",SUMIF('07_DUNG_CHO'!$B$6:$B$505,A466,'07_DUNG_CHO'!$E$6:$E$505))</x:f>
      </x:c>
      <x:c r="T466" s="39" t="str">
        <x:f>IF(A466="","",IF(N466="SETUP",0,MAX(0,(P466-O466)*1440-Q466-S466)))</x:f>
      </x:c>
      <x:c r="U466" s="25"/>
      <x:c r="V466" s="25"/>
      <x:c r="W466" s="25"/>
      <x:c r="X466" s="25"/>
      <x:c r="Y466" s="25"/>
      <x:c r="Z466" s="25"/>
      <x:c r="AA466" s="39" t="str">
        <x:f>IF(A466="","",U466-SUM(V466,X466:Z466))</x:f>
      </x:c>
      <x:c r="AB466" s="39" t="str">
        <x:f>IF(A466="","",IF(N466="SETUP",IFERROR(INDEX('04_KE_HOACH_CD'!$K$6:$K$305,MATCH(K466,'04_KE_HOACH_CD'!$G$6:$G$305,0)),0),IF(OR(N466="PRODUCTION",N466="REWORK"),IFERROR(INDEX('04_KE_HOACH_CD'!$L$6:$L$305,MATCH(K466,'04_KE_HOACH_CD'!$G$6:$G$305,0))*V466,0),0)))</x:f>
      </x:c>
      <x:c r="AC466" s="39" t="str">
        <x:f>IF(A466="","",MAX(0,(P466-O466)*1440-Q466))</x:f>
      </x:c>
      <x:c r="AD466" s="37" t="str">
        <x:f>IF(A466="","",IFERROR(AB466/AC466,0))</x:f>
      </x:c>
      <x:c r="AE466" s="33" t="str">
        <x:f>IF(A466="","",AC466/60*SUMIF(DM_NHAN_SU!$A$6:$A$105,L466,DM_NHAN_SU!$E$6:$E$105))</x:f>
      </x:c>
      <x:c r="AF466" s="33" t="str">
        <x:f>IF(A466="","",AC466/60*SUMIF(DM_MAY!$A$6:$A$105,M466,DM_MAY!$F$6:$F$105))</x:f>
      </x:c>
      <x:c r="AG466" s="33" t="str">
        <x:f>IF(A466="","",AE466+AF466)</x:f>
      </x:c>
      <x:c r="AH466" s="21"/>
      <x:c r="AI466" s="29" t="str">
        <x:f>IF(A466="","",IF(OR(B466="",D466="",E466="",I466="",L466="",N466="",O466="",P466=""),"Thiếu dữ liệu",IF(AND(OR(N466="PRODUCTION",N466="REWORK",N466="SETUP"),M466=""),"Thiếu máy",IF(P466&lt;O466,"Sai thời gian",IF(AA466&lt;&gt;0,"Sai cân đối SL","Hợp lệ")))))</x:f>
      </x:c>
      <x:c r="AJ466" s="21"/>
    </x:row>
    <x:row r="467">
      <x:c r="A467" s="21"/>
      <x:c r="B467" s="35"/>
      <x:c r="C467" s="21"/>
      <x:c r="D467" s="21"/>
      <x:c r="E467" s="21"/>
      <x:c r="F467" s="21"/>
      <x:c r="G467" s="21"/>
      <x:c r="H467" s="29" t="str">
        <x:f>IF(OR(D467="",E467=""),"",D467&amp;"|"&amp;E467&amp;"|"&amp;IF(F467="","00",F467)&amp;"|"&amp;IF(G467="","01",G467))</x:f>
      </x:c>
      <x:c r="I467" s="21"/>
      <x:c r="J467" s="29" t="str">
        <x:f>IF(K467="","",IFERROR(INDEX('04_KE_HOACH_CD'!$I$6:$I$305,MATCH(K467,'04_KE_HOACH_CD'!$G$6:$G$305,0)),""))</x:f>
      </x:c>
      <x:c r="K467" s="29" t="str">
        <x:f>IF(OR(H467="",I467=""),"",H467&amp;"|"&amp;TEXT(I467,"000"))</x:f>
      </x:c>
      <x:c r="L467" s="21"/>
      <x:c r="M467" s="21"/>
      <x:c r="N467" s="21"/>
      <x:c r="O467" s="43"/>
      <x:c r="P467" s="43"/>
      <x:c r="Q467" s="25"/>
      <x:c r="R467" s="25"/>
      <x:c r="S467" s="39" t="str">
        <x:f>IF(A467="","",SUMIF('07_DUNG_CHO'!$B$6:$B$505,A467,'07_DUNG_CHO'!$E$6:$E$505))</x:f>
      </x:c>
      <x:c r="T467" s="39" t="str">
        <x:f>IF(A467="","",IF(N467="SETUP",0,MAX(0,(P467-O467)*1440-Q467-S467)))</x:f>
      </x:c>
      <x:c r="U467" s="25"/>
      <x:c r="V467" s="25"/>
      <x:c r="W467" s="25"/>
      <x:c r="X467" s="25"/>
      <x:c r="Y467" s="25"/>
      <x:c r="Z467" s="25"/>
      <x:c r="AA467" s="39" t="str">
        <x:f>IF(A467="","",U467-SUM(V467,X467:Z467))</x:f>
      </x:c>
      <x:c r="AB467" s="39" t="str">
        <x:f>IF(A467="","",IF(N467="SETUP",IFERROR(INDEX('04_KE_HOACH_CD'!$K$6:$K$305,MATCH(K467,'04_KE_HOACH_CD'!$G$6:$G$305,0)),0),IF(OR(N467="PRODUCTION",N467="REWORK"),IFERROR(INDEX('04_KE_HOACH_CD'!$L$6:$L$305,MATCH(K467,'04_KE_HOACH_CD'!$G$6:$G$305,0))*V467,0),0)))</x:f>
      </x:c>
      <x:c r="AC467" s="39" t="str">
        <x:f>IF(A467="","",MAX(0,(P467-O467)*1440-Q467))</x:f>
      </x:c>
      <x:c r="AD467" s="37" t="str">
        <x:f>IF(A467="","",IFERROR(AB467/AC467,0))</x:f>
      </x:c>
      <x:c r="AE467" s="33" t="str">
        <x:f>IF(A467="","",AC467/60*SUMIF(DM_NHAN_SU!$A$6:$A$105,L467,DM_NHAN_SU!$E$6:$E$105))</x:f>
      </x:c>
      <x:c r="AF467" s="33" t="str">
        <x:f>IF(A467="","",AC467/60*SUMIF(DM_MAY!$A$6:$A$105,M467,DM_MAY!$F$6:$F$105))</x:f>
      </x:c>
      <x:c r="AG467" s="33" t="str">
        <x:f>IF(A467="","",AE467+AF467)</x:f>
      </x:c>
      <x:c r="AH467" s="21"/>
      <x:c r="AI467" s="29" t="str">
        <x:f>IF(A467="","",IF(OR(B467="",D467="",E467="",I467="",L467="",N467="",O467="",P467=""),"Thiếu dữ liệu",IF(AND(OR(N467="PRODUCTION",N467="REWORK",N467="SETUP"),M467=""),"Thiếu máy",IF(P467&lt;O467,"Sai thời gian",IF(AA467&lt;&gt;0,"Sai cân đối SL","Hợp lệ")))))</x:f>
      </x:c>
      <x:c r="AJ467" s="21"/>
    </x:row>
    <x:row r="468">
      <x:c r="A468" s="21"/>
      <x:c r="B468" s="35"/>
      <x:c r="C468" s="21"/>
      <x:c r="D468" s="21"/>
      <x:c r="E468" s="21"/>
      <x:c r="F468" s="21"/>
      <x:c r="G468" s="21"/>
      <x:c r="H468" s="29" t="str">
        <x:f>IF(OR(D468="",E468=""),"",D468&amp;"|"&amp;E468&amp;"|"&amp;IF(F468="","00",F468)&amp;"|"&amp;IF(G468="","01",G468))</x:f>
      </x:c>
      <x:c r="I468" s="21"/>
      <x:c r="J468" s="29" t="str">
        <x:f>IF(K468="","",IFERROR(INDEX('04_KE_HOACH_CD'!$I$6:$I$305,MATCH(K468,'04_KE_HOACH_CD'!$G$6:$G$305,0)),""))</x:f>
      </x:c>
      <x:c r="K468" s="29" t="str">
        <x:f>IF(OR(H468="",I468=""),"",H468&amp;"|"&amp;TEXT(I468,"000"))</x:f>
      </x:c>
      <x:c r="L468" s="21"/>
      <x:c r="M468" s="21"/>
      <x:c r="N468" s="21"/>
      <x:c r="O468" s="43"/>
      <x:c r="P468" s="43"/>
      <x:c r="Q468" s="25"/>
      <x:c r="R468" s="25"/>
      <x:c r="S468" s="39" t="str">
        <x:f>IF(A468="","",SUMIF('07_DUNG_CHO'!$B$6:$B$505,A468,'07_DUNG_CHO'!$E$6:$E$505))</x:f>
      </x:c>
      <x:c r="T468" s="39" t="str">
        <x:f>IF(A468="","",IF(N468="SETUP",0,MAX(0,(P468-O468)*1440-Q468-S468)))</x:f>
      </x:c>
      <x:c r="U468" s="25"/>
      <x:c r="V468" s="25"/>
      <x:c r="W468" s="25"/>
      <x:c r="X468" s="25"/>
      <x:c r="Y468" s="25"/>
      <x:c r="Z468" s="25"/>
      <x:c r="AA468" s="39" t="str">
        <x:f>IF(A468="","",U468-SUM(V468,X468:Z468))</x:f>
      </x:c>
      <x:c r="AB468" s="39" t="str">
        <x:f>IF(A468="","",IF(N468="SETUP",IFERROR(INDEX('04_KE_HOACH_CD'!$K$6:$K$305,MATCH(K468,'04_KE_HOACH_CD'!$G$6:$G$305,0)),0),IF(OR(N468="PRODUCTION",N468="REWORK"),IFERROR(INDEX('04_KE_HOACH_CD'!$L$6:$L$305,MATCH(K468,'04_KE_HOACH_CD'!$G$6:$G$305,0))*V468,0),0)))</x:f>
      </x:c>
      <x:c r="AC468" s="39" t="str">
        <x:f>IF(A468="","",MAX(0,(P468-O468)*1440-Q468))</x:f>
      </x:c>
      <x:c r="AD468" s="37" t="str">
        <x:f>IF(A468="","",IFERROR(AB468/AC468,0))</x:f>
      </x:c>
      <x:c r="AE468" s="33" t="str">
        <x:f>IF(A468="","",AC468/60*SUMIF(DM_NHAN_SU!$A$6:$A$105,L468,DM_NHAN_SU!$E$6:$E$105))</x:f>
      </x:c>
      <x:c r="AF468" s="33" t="str">
        <x:f>IF(A468="","",AC468/60*SUMIF(DM_MAY!$A$6:$A$105,M468,DM_MAY!$F$6:$F$105))</x:f>
      </x:c>
      <x:c r="AG468" s="33" t="str">
        <x:f>IF(A468="","",AE468+AF468)</x:f>
      </x:c>
      <x:c r="AH468" s="21"/>
      <x:c r="AI468" s="29" t="str">
        <x:f>IF(A468="","",IF(OR(B468="",D468="",E468="",I468="",L468="",N468="",O468="",P468=""),"Thiếu dữ liệu",IF(AND(OR(N468="PRODUCTION",N468="REWORK",N468="SETUP"),M468=""),"Thiếu máy",IF(P468&lt;O468,"Sai thời gian",IF(AA468&lt;&gt;0,"Sai cân đối SL","Hợp lệ")))))</x:f>
      </x:c>
      <x:c r="AJ468" s="21"/>
    </x:row>
    <x:row r="469">
      <x:c r="A469" s="21"/>
      <x:c r="B469" s="35"/>
      <x:c r="C469" s="21"/>
      <x:c r="D469" s="21"/>
      <x:c r="E469" s="21"/>
      <x:c r="F469" s="21"/>
      <x:c r="G469" s="21"/>
      <x:c r="H469" s="29" t="str">
        <x:f>IF(OR(D469="",E469=""),"",D469&amp;"|"&amp;E469&amp;"|"&amp;IF(F469="","00",F469)&amp;"|"&amp;IF(G469="","01",G469))</x:f>
      </x:c>
      <x:c r="I469" s="21"/>
      <x:c r="J469" s="29" t="str">
        <x:f>IF(K469="","",IFERROR(INDEX('04_KE_HOACH_CD'!$I$6:$I$305,MATCH(K469,'04_KE_HOACH_CD'!$G$6:$G$305,0)),""))</x:f>
      </x:c>
      <x:c r="K469" s="29" t="str">
        <x:f>IF(OR(H469="",I469=""),"",H469&amp;"|"&amp;TEXT(I469,"000"))</x:f>
      </x:c>
      <x:c r="L469" s="21"/>
      <x:c r="M469" s="21"/>
      <x:c r="N469" s="21"/>
      <x:c r="O469" s="43"/>
      <x:c r="P469" s="43"/>
      <x:c r="Q469" s="25"/>
      <x:c r="R469" s="25"/>
      <x:c r="S469" s="39" t="str">
        <x:f>IF(A469="","",SUMIF('07_DUNG_CHO'!$B$6:$B$505,A469,'07_DUNG_CHO'!$E$6:$E$505))</x:f>
      </x:c>
      <x:c r="T469" s="39" t="str">
        <x:f>IF(A469="","",IF(N469="SETUP",0,MAX(0,(P469-O469)*1440-Q469-S469)))</x:f>
      </x:c>
      <x:c r="U469" s="25"/>
      <x:c r="V469" s="25"/>
      <x:c r="W469" s="25"/>
      <x:c r="X469" s="25"/>
      <x:c r="Y469" s="25"/>
      <x:c r="Z469" s="25"/>
      <x:c r="AA469" s="39" t="str">
        <x:f>IF(A469="","",U469-SUM(V469,X469:Z469))</x:f>
      </x:c>
      <x:c r="AB469" s="39" t="str">
        <x:f>IF(A469="","",IF(N469="SETUP",IFERROR(INDEX('04_KE_HOACH_CD'!$K$6:$K$305,MATCH(K469,'04_KE_HOACH_CD'!$G$6:$G$305,0)),0),IF(OR(N469="PRODUCTION",N469="REWORK"),IFERROR(INDEX('04_KE_HOACH_CD'!$L$6:$L$305,MATCH(K469,'04_KE_HOACH_CD'!$G$6:$G$305,0))*V469,0),0)))</x:f>
      </x:c>
      <x:c r="AC469" s="39" t="str">
        <x:f>IF(A469="","",MAX(0,(P469-O469)*1440-Q469))</x:f>
      </x:c>
      <x:c r="AD469" s="37" t="str">
        <x:f>IF(A469="","",IFERROR(AB469/AC469,0))</x:f>
      </x:c>
      <x:c r="AE469" s="33" t="str">
        <x:f>IF(A469="","",AC469/60*SUMIF(DM_NHAN_SU!$A$6:$A$105,L469,DM_NHAN_SU!$E$6:$E$105))</x:f>
      </x:c>
      <x:c r="AF469" s="33" t="str">
        <x:f>IF(A469="","",AC469/60*SUMIF(DM_MAY!$A$6:$A$105,M469,DM_MAY!$F$6:$F$105))</x:f>
      </x:c>
      <x:c r="AG469" s="33" t="str">
        <x:f>IF(A469="","",AE469+AF469)</x:f>
      </x:c>
      <x:c r="AH469" s="21"/>
      <x:c r="AI469" s="29" t="str">
        <x:f>IF(A469="","",IF(OR(B469="",D469="",E469="",I469="",L469="",N469="",O469="",P469=""),"Thiếu dữ liệu",IF(AND(OR(N469="PRODUCTION",N469="REWORK",N469="SETUP"),M469=""),"Thiếu máy",IF(P469&lt;O469,"Sai thời gian",IF(AA469&lt;&gt;0,"Sai cân đối SL","Hợp lệ")))))</x:f>
      </x:c>
      <x:c r="AJ469" s="21"/>
    </x:row>
    <x:row r="470">
      <x:c r="A470" s="21"/>
      <x:c r="B470" s="35"/>
      <x:c r="C470" s="21"/>
      <x:c r="D470" s="21"/>
      <x:c r="E470" s="21"/>
      <x:c r="F470" s="21"/>
      <x:c r="G470" s="21"/>
      <x:c r="H470" s="29" t="str">
        <x:f>IF(OR(D470="",E470=""),"",D470&amp;"|"&amp;E470&amp;"|"&amp;IF(F470="","00",F470)&amp;"|"&amp;IF(G470="","01",G470))</x:f>
      </x:c>
      <x:c r="I470" s="21"/>
      <x:c r="J470" s="29" t="str">
        <x:f>IF(K470="","",IFERROR(INDEX('04_KE_HOACH_CD'!$I$6:$I$305,MATCH(K470,'04_KE_HOACH_CD'!$G$6:$G$305,0)),""))</x:f>
      </x:c>
      <x:c r="K470" s="29" t="str">
        <x:f>IF(OR(H470="",I470=""),"",H470&amp;"|"&amp;TEXT(I470,"000"))</x:f>
      </x:c>
      <x:c r="L470" s="21"/>
      <x:c r="M470" s="21"/>
      <x:c r="N470" s="21"/>
      <x:c r="O470" s="43"/>
      <x:c r="P470" s="43"/>
      <x:c r="Q470" s="25"/>
      <x:c r="R470" s="25"/>
      <x:c r="S470" s="39" t="str">
        <x:f>IF(A470="","",SUMIF('07_DUNG_CHO'!$B$6:$B$505,A470,'07_DUNG_CHO'!$E$6:$E$505))</x:f>
      </x:c>
      <x:c r="T470" s="39" t="str">
        <x:f>IF(A470="","",IF(N470="SETUP",0,MAX(0,(P470-O470)*1440-Q470-S470)))</x:f>
      </x:c>
      <x:c r="U470" s="25"/>
      <x:c r="V470" s="25"/>
      <x:c r="W470" s="25"/>
      <x:c r="X470" s="25"/>
      <x:c r="Y470" s="25"/>
      <x:c r="Z470" s="25"/>
      <x:c r="AA470" s="39" t="str">
        <x:f>IF(A470="","",U470-SUM(V470,X470:Z470))</x:f>
      </x:c>
      <x:c r="AB470" s="39" t="str">
        <x:f>IF(A470="","",IF(N470="SETUP",IFERROR(INDEX('04_KE_HOACH_CD'!$K$6:$K$305,MATCH(K470,'04_KE_HOACH_CD'!$G$6:$G$305,0)),0),IF(OR(N470="PRODUCTION",N470="REWORK"),IFERROR(INDEX('04_KE_HOACH_CD'!$L$6:$L$305,MATCH(K470,'04_KE_HOACH_CD'!$G$6:$G$305,0))*V470,0),0)))</x:f>
      </x:c>
      <x:c r="AC470" s="39" t="str">
        <x:f>IF(A470="","",MAX(0,(P470-O470)*1440-Q470))</x:f>
      </x:c>
      <x:c r="AD470" s="37" t="str">
        <x:f>IF(A470="","",IFERROR(AB470/AC470,0))</x:f>
      </x:c>
      <x:c r="AE470" s="33" t="str">
        <x:f>IF(A470="","",AC470/60*SUMIF(DM_NHAN_SU!$A$6:$A$105,L470,DM_NHAN_SU!$E$6:$E$105))</x:f>
      </x:c>
      <x:c r="AF470" s="33" t="str">
        <x:f>IF(A470="","",AC470/60*SUMIF(DM_MAY!$A$6:$A$105,M470,DM_MAY!$F$6:$F$105))</x:f>
      </x:c>
      <x:c r="AG470" s="33" t="str">
        <x:f>IF(A470="","",AE470+AF470)</x:f>
      </x:c>
      <x:c r="AH470" s="21"/>
      <x:c r="AI470" s="29" t="str">
        <x:f>IF(A470="","",IF(OR(B470="",D470="",E470="",I470="",L470="",N470="",O470="",P470=""),"Thiếu dữ liệu",IF(AND(OR(N470="PRODUCTION",N470="REWORK",N470="SETUP"),M470=""),"Thiếu máy",IF(P470&lt;O470,"Sai thời gian",IF(AA470&lt;&gt;0,"Sai cân đối SL","Hợp lệ")))))</x:f>
      </x:c>
      <x:c r="AJ470" s="21"/>
    </x:row>
    <x:row r="471">
      <x:c r="A471" s="21"/>
      <x:c r="B471" s="35"/>
      <x:c r="C471" s="21"/>
      <x:c r="D471" s="21"/>
      <x:c r="E471" s="21"/>
      <x:c r="F471" s="21"/>
      <x:c r="G471" s="21"/>
      <x:c r="H471" s="29" t="str">
        <x:f>IF(OR(D471="",E471=""),"",D471&amp;"|"&amp;E471&amp;"|"&amp;IF(F471="","00",F471)&amp;"|"&amp;IF(G471="","01",G471))</x:f>
      </x:c>
      <x:c r="I471" s="21"/>
      <x:c r="J471" s="29" t="str">
        <x:f>IF(K471="","",IFERROR(INDEX('04_KE_HOACH_CD'!$I$6:$I$305,MATCH(K471,'04_KE_HOACH_CD'!$G$6:$G$305,0)),""))</x:f>
      </x:c>
      <x:c r="K471" s="29" t="str">
        <x:f>IF(OR(H471="",I471=""),"",H471&amp;"|"&amp;TEXT(I471,"000"))</x:f>
      </x:c>
      <x:c r="L471" s="21"/>
      <x:c r="M471" s="21"/>
      <x:c r="N471" s="21"/>
      <x:c r="O471" s="43"/>
      <x:c r="P471" s="43"/>
      <x:c r="Q471" s="25"/>
      <x:c r="R471" s="25"/>
      <x:c r="S471" s="39" t="str">
        <x:f>IF(A471="","",SUMIF('07_DUNG_CHO'!$B$6:$B$505,A471,'07_DUNG_CHO'!$E$6:$E$505))</x:f>
      </x:c>
      <x:c r="T471" s="39" t="str">
        <x:f>IF(A471="","",IF(N471="SETUP",0,MAX(0,(P471-O471)*1440-Q471-S471)))</x:f>
      </x:c>
      <x:c r="U471" s="25"/>
      <x:c r="V471" s="25"/>
      <x:c r="W471" s="25"/>
      <x:c r="X471" s="25"/>
      <x:c r="Y471" s="25"/>
      <x:c r="Z471" s="25"/>
      <x:c r="AA471" s="39" t="str">
        <x:f>IF(A471="","",U471-SUM(V471,X471:Z471))</x:f>
      </x:c>
      <x:c r="AB471" s="39" t="str">
        <x:f>IF(A471="","",IF(N471="SETUP",IFERROR(INDEX('04_KE_HOACH_CD'!$K$6:$K$305,MATCH(K471,'04_KE_HOACH_CD'!$G$6:$G$305,0)),0),IF(OR(N471="PRODUCTION",N471="REWORK"),IFERROR(INDEX('04_KE_HOACH_CD'!$L$6:$L$305,MATCH(K471,'04_KE_HOACH_CD'!$G$6:$G$305,0))*V471,0),0)))</x:f>
      </x:c>
      <x:c r="AC471" s="39" t="str">
        <x:f>IF(A471="","",MAX(0,(P471-O471)*1440-Q471))</x:f>
      </x:c>
      <x:c r="AD471" s="37" t="str">
        <x:f>IF(A471="","",IFERROR(AB471/AC471,0))</x:f>
      </x:c>
      <x:c r="AE471" s="33" t="str">
        <x:f>IF(A471="","",AC471/60*SUMIF(DM_NHAN_SU!$A$6:$A$105,L471,DM_NHAN_SU!$E$6:$E$105))</x:f>
      </x:c>
      <x:c r="AF471" s="33" t="str">
        <x:f>IF(A471="","",AC471/60*SUMIF(DM_MAY!$A$6:$A$105,M471,DM_MAY!$F$6:$F$105))</x:f>
      </x:c>
      <x:c r="AG471" s="33" t="str">
        <x:f>IF(A471="","",AE471+AF471)</x:f>
      </x:c>
      <x:c r="AH471" s="21"/>
      <x:c r="AI471" s="29" t="str">
        <x:f>IF(A471="","",IF(OR(B471="",D471="",E471="",I471="",L471="",N471="",O471="",P471=""),"Thiếu dữ liệu",IF(AND(OR(N471="PRODUCTION",N471="REWORK",N471="SETUP"),M471=""),"Thiếu máy",IF(P471&lt;O471,"Sai thời gian",IF(AA471&lt;&gt;0,"Sai cân đối SL","Hợp lệ")))))</x:f>
      </x:c>
      <x:c r="AJ471" s="21"/>
    </x:row>
    <x:row r="472">
      <x:c r="A472" s="21"/>
      <x:c r="B472" s="35"/>
      <x:c r="C472" s="21"/>
      <x:c r="D472" s="21"/>
      <x:c r="E472" s="21"/>
      <x:c r="F472" s="21"/>
      <x:c r="G472" s="21"/>
      <x:c r="H472" s="29" t="str">
        <x:f>IF(OR(D472="",E472=""),"",D472&amp;"|"&amp;E472&amp;"|"&amp;IF(F472="","00",F472)&amp;"|"&amp;IF(G472="","01",G472))</x:f>
      </x:c>
      <x:c r="I472" s="21"/>
      <x:c r="J472" s="29" t="str">
        <x:f>IF(K472="","",IFERROR(INDEX('04_KE_HOACH_CD'!$I$6:$I$305,MATCH(K472,'04_KE_HOACH_CD'!$G$6:$G$305,0)),""))</x:f>
      </x:c>
      <x:c r="K472" s="29" t="str">
        <x:f>IF(OR(H472="",I472=""),"",H472&amp;"|"&amp;TEXT(I472,"000"))</x:f>
      </x:c>
      <x:c r="L472" s="21"/>
      <x:c r="M472" s="21"/>
      <x:c r="N472" s="21"/>
      <x:c r="O472" s="43"/>
      <x:c r="P472" s="43"/>
      <x:c r="Q472" s="25"/>
      <x:c r="R472" s="25"/>
      <x:c r="S472" s="39" t="str">
        <x:f>IF(A472="","",SUMIF('07_DUNG_CHO'!$B$6:$B$505,A472,'07_DUNG_CHO'!$E$6:$E$505))</x:f>
      </x:c>
      <x:c r="T472" s="39" t="str">
        <x:f>IF(A472="","",IF(N472="SETUP",0,MAX(0,(P472-O472)*1440-Q472-S472)))</x:f>
      </x:c>
      <x:c r="U472" s="25"/>
      <x:c r="V472" s="25"/>
      <x:c r="W472" s="25"/>
      <x:c r="X472" s="25"/>
      <x:c r="Y472" s="25"/>
      <x:c r="Z472" s="25"/>
      <x:c r="AA472" s="39" t="str">
        <x:f>IF(A472="","",U472-SUM(V472,X472:Z472))</x:f>
      </x:c>
      <x:c r="AB472" s="39" t="str">
        <x:f>IF(A472="","",IF(N472="SETUP",IFERROR(INDEX('04_KE_HOACH_CD'!$K$6:$K$305,MATCH(K472,'04_KE_HOACH_CD'!$G$6:$G$305,0)),0),IF(OR(N472="PRODUCTION",N472="REWORK"),IFERROR(INDEX('04_KE_HOACH_CD'!$L$6:$L$305,MATCH(K472,'04_KE_HOACH_CD'!$G$6:$G$305,0))*V472,0),0)))</x:f>
      </x:c>
      <x:c r="AC472" s="39" t="str">
        <x:f>IF(A472="","",MAX(0,(P472-O472)*1440-Q472))</x:f>
      </x:c>
      <x:c r="AD472" s="37" t="str">
        <x:f>IF(A472="","",IFERROR(AB472/AC472,0))</x:f>
      </x:c>
      <x:c r="AE472" s="33" t="str">
        <x:f>IF(A472="","",AC472/60*SUMIF(DM_NHAN_SU!$A$6:$A$105,L472,DM_NHAN_SU!$E$6:$E$105))</x:f>
      </x:c>
      <x:c r="AF472" s="33" t="str">
        <x:f>IF(A472="","",AC472/60*SUMIF(DM_MAY!$A$6:$A$105,M472,DM_MAY!$F$6:$F$105))</x:f>
      </x:c>
      <x:c r="AG472" s="33" t="str">
        <x:f>IF(A472="","",AE472+AF472)</x:f>
      </x:c>
      <x:c r="AH472" s="21"/>
      <x:c r="AI472" s="29" t="str">
        <x:f>IF(A472="","",IF(OR(B472="",D472="",E472="",I472="",L472="",N472="",O472="",P472=""),"Thiếu dữ liệu",IF(AND(OR(N472="PRODUCTION",N472="REWORK",N472="SETUP"),M472=""),"Thiếu máy",IF(P472&lt;O472,"Sai thời gian",IF(AA472&lt;&gt;0,"Sai cân đối SL","Hợp lệ")))))</x:f>
      </x:c>
      <x:c r="AJ472" s="21"/>
    </x:row>
    <x:row r="473">
      <x:c r="A473" s="21"/>
      <x:c r="B473" s="35"/>
      <x:c r="C473" s="21"/>
      <x:c r="D473" s="21"/>
      <x:c r="E473" s="21"/>
      <x:c r="F473" s="21"/>
      <x:c r="G473" s="21"/>
      <x:c r="H473" s="29" t="str">
        <x:f>IF(OR(D473="",E473=""),"",D473&amp;"|"&amp;E473&amp;"|"&amp;IF(F473="","00",F473)&amp;"|"&amp;IF(G473="","01",G473))</x:f>
      </x:c>
      <x:c r="I473" s="21"/>
      <x:c r="J473" s="29" t="str">
        <x:f>IF(K473="","",IFERROR(INDEX('04_KE_HOACH_CD'!$I$6:$I$305,MATCH(K473,'04_KE_HOACH_CD'!$G$6:$G$305,0)),""))</x:f>
      </x:c>
      <x:c r="K473" s="29" t="str">
        <x:f>IF(OR(H473="",I473=""),"",H473&amp;"|"&amp;TEXT(I473,"000"))</x:f>
      </x:c>
      <x:c r="L473" s="21"/>
      <x:c r="M473" s="21"/>
      <x:c r="N473" s="21"/>
      <x:c r="O473" s="43"/>
      <x:c r="P473" s="43"/>
      <x:c r="Q473" s="25"/>
      <x:c r="R473" s="25"/>
      <x:c r="S473" s="39" t="str">
        <x:f>IF(A473="","",SUMIF('07_DUNG_CHO'!$B$6:$B$505,A473,'07_DUNG_CHO'!$E$6:$E$505))</x:f>
      </x:c>
      <x:c r="T473" s="39" t="str">
        <x:f>IF(A473="","",IF(N473="SETUP",0,MAX(0,(P473-O473)*1440-Q473-S473)))</x:f>
      </x:c>
      <x:c r="U473" s="25"/>
      <x:c r="V473" s="25"/>
      <x:c r="W473" s="25"/>
      <x:c r="X473" s="25"/>
      <x:c r="Y473" s="25"/>
      <x:c r="Z473" s="25"/>
      <x:c r="AA473" s="39" t="str">
        <x:f>IF(A473="","",U473-SUM(V473,X473:Z473))</x:f>
      </x:c>
      <x:c r="AB473" s="39" t="str">
        <x:f>IF(A473="","",IF(N473="SETUP",IFERROR(INDEX('04_KE_HOACH_CD'!$K$6:$K$305,MATCH(K473,'04_KE_HOACH_CD'!$G$6:$G$305,0)),0),IF(OR(N473="PRODUCTION",N473="REWORK"),IFERROR(INDEX('04_KE_HOACH_CD'!$L$6:$L$305,MATCH(K473,'04_KE_HOACH_CD'!$G$6:$G$305,0))*V473,0),0)))</x:f>
      </x:c>
      <x:c r="AC473" s="39" t="str">
        <x:f>IF(A473="","",MAX(0,(P473-O473)*1440-Q473))</x:f>
      </x:c>
      <x:c r="AD473" s="37" t="str">
        <x:f>IF(A473="","",IFERROR(AB473/AC473,0))</x:f>
      </x:c>
      <x:c r="AE473" s="33" t="str">
        <x:f>IF(A473="","",AC473/60*SUMIF(DM_NHAN_SU!$A$6:$A$105,L473,DM_NHAN_SU!$E$6:$E$105))</x:f>
      </x:c>
      <x:c r="AF473" s="33" t="str">
        <x:f>IF(A473="","",AC473/60*SUMIF(DM_MAY!$A$6:$A$105,M473,DM_MAY!$F$6:$F$105))</x:f>
      </x:c>
      <x:c r="AG473" s="33" t="str">
        <x:f>IF(A473="","",AE473+AF473)</x:f>
      </x:c>
      <x:c r="AH473" s="21"/>
      <x:c r="AI473" s="29" t="str">
        <x:f>IF(A473="","",IF(OR(B473="",D473="",E473="",I473="",L473="",N473="",O473="",P473=""),"Thiếu dữ liệu",IF(AND(OR(N473="PRODUCTION",N473="REWORK",N473="SETUP"),M473=""),"Thiếu máy",IF(P473&lt;O473,"Sai thời gian",IF(AA473&lt;&gt;0,"Sai cân đối SL","Hợp lệ")))))</x:f>
      </x:c>
      <x:c r="AJ473" s="21"/>
    </x:row>
    <x:row r="474">
      <x:c r="A474" s="21"/>
      <x:c r="B474" s="35"/>
      <x:c r="C474" s="21"/>
      <x:c r="D474" s="21"/>
      <x:c r="E474" s="21"/>
      <x:c r="F474" s="21"/>
      <x:c r="G474" s="21"/>
      <x:c r="H474" s="29" t="str">
        <x:f>IF(OR(D474="",E474=""),"",D474&amp;"|"&amp;E474&amp;"|"&amp;IF(F474="","00",F474)&amp;"|"&amp;IF(G474="","01",G474))</x:f>
      </x:c>
      <x:c r="I474" s="21"/>
      <x:c r="J474" s="29" t="str">
        <x:f>IF(K474="","",IFERROR(INDEX('04_KE_HOACH_CD'!$I$6:$I$305,MATCH(K474,'04_KE_HOACH_CD'!$G$6:$G$305,0)),""))</x:f>
      </x:c>
      <x:c r="K474" s="29" t="str">
        <x:f>IF(OR(H474="",I474=""),"",H474&amp;"|"&amp;TEXT(I474,"000"))</x:f>
      </x:c>
      <x:c r="L474" s="21"/>
      <x:c r="M474" s="21"/>
      <x:c r="N474" s="21"/>
      <x:c r="O474" s="43"/>
      <x:c r="P474" s="43"/>
      <x:c r="Q474" s="25"/>
      <x:c r="R474" s="25"/>
      <x:c r="S474" s="39" t="str">
        <x:f>IF(A474="","",SUMIF('07_DUNG_CHO'!$B$6:$B$505,A474,'07_DUNG_CHO'!$E$6:$E$505))</x:f>
      </x:c>
      <x:c r="T474" s="39" t="str">
        <x:f>IF(A474="","",IF(N474="SETUP",0,MAX(0,(P474-O474)*1440-Q474-S474)))</x:f>
      </x:c>
      <x:c r="U474" s="25"/>
      <x:c r="V474" s="25"/>
      <x:c r="W474" s="25"/>
      <x:c r="X474" s="25"/>
      <x:c r="Y474" s="25"/>
      <x:c r="Z474" s="25"/>
      <x:c r="AA474" s="39" t="str">
        <x:f>IF(A474="","",U474-SUM(V474,X474:Z474))</x:f>
      </x:c>
      <x:c r="AB474" s="39" t="str">
        <x:f>IF(A474="","",IF(N474="SETUP",IFERROR(INDEX('04_KE_HOACH_CD'!$K$6:$K$305,MATCH(K474,'04_KE_HOACH_CD'!$G$6:$G$305,0)),0),IF(OR(N474="PRODUCTION",N474="REWORK"),IFERROR(INDEX('04_KE_HOACH_CD'!$L$6:$L$305,MATCH(K474,'04_KE_HOACH_CD'!$G$6:$G$305,0))*V474,0),0)))</x:f>
      </x:c>
      <x:c r="AC474" s="39" t="str">
        <x:f>IF(A474="","",MAX(0,(P474-O474)*1440-Q474))</x:f>
      </x:c>
      <x:c r="AD474" s="37" t="str">
        <x:f>IF(A474="","",IFERROR(AB474/AC474,0))</x:f>
      </x:c>
      <x:c r="AE474" s="33" t="str">
        <x:f>IF(A474="","",AC474/60*SUMIF(DM_NHAN_SU!$A$6:$A$105,L474,DM_NHAN_SU!$E$6:$E$105))</x:f>
      </x:c>
      <x:c r="AF474" s="33" t="str">
        <x:f>IF(A474="","",AC474/60*SUMIF(DM_MAY!$A$6:$A$105,M474,DM_MAY!$F$6:$F$105))</x:f>
      </x:c>
      <x:c r="AG474" s="33" t="str">
        <x:f>IF(A474="","",AE474+AF474)</x:f>
      </x:c>
      <x:c r="AH474" s="21"/>
      <x:c r="AI474" s="29" t="str">
        <x:f>IF(A474="","",IF(OR(B474="",D474="",E474="",I474="",L474="",N474="",O474="",P474=""),"Thiếu dữ liệu",IF(AND(OR(N474="PRODUCTION",N474="REWORK",N474="SETUP"),M474=""),"Thiếu máy",IF(P474&lt;O474,"Sai thời gian",IF(AA474&lt;&gt;0,"Sai cân đối SL","Hợp lệ")))))</x:f>
      </x:c>
      <x:c r="AJ474" s="21"/>
    </x:row>
    <x:row r="475">
      <x:c r="A475" s="21"/>
      <x:c r="B475" s="35"/>
      <x:c r="C475" s="21"/>
      <x:c r="D475" s="21"/>
      <x:c r="E475" s="21"/>
      <x:c r="F475" s="21"/>
      <x:c r="G475" s="21"/>
      <x:c r="H475" s="29" t="str">
        <x:f>IF(OR(D475="",E475=""),"",D475&amp;"|"&amp;E475&amp;"|"&amp;IF(F475="","00",F475)&amp;"|"&amp;IF(G475="","01",G475))</x:f>
      </x:c>
      <x:c r="I475" s="21"/>
      <x:c r="J475" s="29" t="str">
        <x:f>IF(K475="","",IFERROR(INDEX('04_KE_HOACH_CD'!$I$6:$I$305,MATCH(K475,'04_KE_HOACH_CD'!$G$6:$G$305,0)),""))</x:f>
      </x:c>
      <x:c r="K475" s="29" t="str">
        <x:f>IF(OR(H475="",I475=""),"",H475&amp;"|"&amp;TEXT(I475,"000"))</x:f>
      </x:c>
      <x:c r="L475" s="21"/>
      <x:c r="M475" s="21"/>
      <x:c r="N475" s="21"/>
      <x:c r="O475" s="43"/>
      <x:c r="P475" s="43"/>
      <x:c r="Q475" s="25"/>
      <x:c r="R475" s="25"/>
      <x:c r="S475" s="39" t="str">
        <x:f>IF(A475="","",SUMIF('07_DUNG_CHO'!$B$6:$B$505,A475,'07_DUNG_CHO'!$E$6:$E$505))</x:f>
      </x:c>
      <x:c r="T475" s="39" t="str">
        <x:f>IF(A475="","",IF(N475="SETUP",0,MAX(0,(P475-O475)*1440-Q475-S475)))</x:f>
      </x:c>
      <x:c r="U475" s="25"/>
      <x:c r="V475" s="25"/>
      <x:c r="W475" s="25"/>
      <x:c r="X475" s="25"/>
      <x:c r="Y475" s="25"/>
      <x:c r="Z475" s="25"/>
      <x:c r="AA475" s="39" t="str">
        <x:f>IF(A475="","",U475-SUM(V475,X475:Z475))</x:f>
      </x:c>
      <x:c r="AB475" s="39" t="str">
        <x:f>IF(A475="","",IF(N475="SETUP",IFERROR(INDEX('04_KE_HOACH_CD'!$K$6:$K$305,MATCH(K475,'04_KE_HOACH_CD'!$G$6:$G$305,0)),0),IF(OR(N475="PRODUCTION",N475="REWORK"),IFERROR(INDEX('04_KE_HOACH_CD'!$L$6:$L$305,MATCH(K475,'04_KE_HOACH_CD'!$G$6:$G$305,0))*V475,0),0)))</x:f>
      </x:c>
      <x:c r="AC475" s="39" t="str">
        <x:f>IF(A475="","",MAX(0,(P475-O475)*1440-Q475))</x:f>
      </x:c>
      <x:c r="AD475" s="37" t="str">
        <x:f>IF(A475="","",IFERROR(AB475/AC475,0))</x:f>
      </x:c>
      <x:c r="AE475" s="33" t="str">
        <x:f>IF(A475="","",AC475/60*SUMIF(DM_NHAN_SU!$A$6:$A$105,L475,DM_NHAN_SU!$E$6:$E$105))</x:f>
      </x:c>
      <x:c r="AF475" s="33" t="str">
        <x:f>IF(A475="","",AC475/60*SUMIF(DM_MAY!$A$6:$A$105,M475,DM_MAY!$F$6:$F$105))</x:f>
      </x:c>
      <x:c r="AG475" s="33" t="str">
        <x:f>IF(A475="","",AE475+AF475)</x:f>
      </x:c>
      <x:c r="AH475" s="21"/>
      <x:c r="AI475" s="29" t="str">
        <x:f>IF(A475="","",IF(OR(B475="",D475="",E475="",I475="",L475="",N475="",O475="",P475=""),"Thiếu dữ liệu",IF(AND(OR(N475="PRODUCTION",N475="REWORK",N475="SETUP"),M475=""),"Thiếu máy",IF(P475&lt;O475,"Sai thời gian",IF(AA475&lt;&gt;0,"Sai cân đối SL","Hợp lệ")))))</x:f>
      </x:c>
      <x:c r="AJ475" s="21"/>
    </x:row>
    <x:row r="476">
      <x:c r="A476" s="21"/>
      <x:c r="B476" s="35"/>
      <x:c r="C476" s="21"/>
      <x:c r="D476" s="21"/>
      <x:c r="E476" s="21"/>
      <x:c r="F476" s="21"/>
      <x:c r="G476" s="21"/>
      <x:c r="H476" s="29" t="str">
        <x:f>IF(OR(D476="",E476=""),"",D476&amp;"|"&amp;E476&amp;"|"&amp;IF(F476="","00",F476)&amp;"|"&amp;IF(G476="","01",G476))</x:f>
      </x:c>
      <x:c r="I476" s="21"/>
      <x:c r="J476" s="29" t="str">
        <x:f>IF(K476="","",IFERROR(INDEX('04_KE_HOACH_CD'!$I$6:$I$305,MATCH(K476,'04_KE_HOACH_CD'!$G$6:$G$305,0)),""))</x:f>
      </x:c>
      <x:c r="K476" s="29" t="str">
        <x:f>IF(OR(H476="",I476=""),"",H476&amp;"|"&amp;TEXT(I476,"000"))</x:f>
      </x:c>
      <x:c r="L476" s="21"/>
      <x:c r="M476" s="21"/>
      <x:c r="N476" s="21"/>
      <x:c r="O476" s="43"/>
      <x:c r="P476" s="43"/>
      <x:c r="Q476" s="25"/>
      <x:c r="R476" s="25"/>
      <x:c r="S476" s="39" t="str">
        <x:f>IF(A476="","",SUMIF('07_DUNG_CHO'!$B$6:$B$505,A476,'07_DUNG_CHO'!$E$6:$E$505))</x:f>
      </x:c>
      <x:c r="T476" s="39" t="str">
        <x:f>IF(A476="","",IF(N476="SETUP",0,MAX(0,(P476-O476)*1440-Q476-S476)))</x:f>
      </x:c>
      <x:c r="U476" s="25"/>
      <x:c r="V476" s="25"/>
      <x:c r="W476" s="25"/>
      <x:c r="X476" s="25"/>
      <x:c r="Y476" s="25"/>
      <x:c r="Z476" s="25"/>
      <x:c r="AA476" s="39" t="str">
        <x:f>IF(A476="","",U476-SUM(V476,X476:Z476))</x:f>
      </x:c>
      <x:c r="AB476" s="39" t="str">
        <x:f>IF(A476="","",IF(N476="SETUP",IFERROR(INDEX('04_KE_HOACH_CD'!$K$6:$K$305,MATCH(K476,'04_KE_HOACH_CD'!$G$6:$G$305,0)),0),IF(OR(N476="PRODUCTION",N476="REWORK"),IFERROR(INDEX('04_KE_HOACH_CD'!$L$6:$L$305,MATCH(K476,'04_KE_HOACH_CD'!$G$6:$G$305,0))*V476,0),0)))</x:f>
      </x:c>
      <x:c r="AC476" s="39" t="str">
        <x:f>IF(A476="","",MAX(0,(P476-O476)*1440-Q476))</x:f>
      </x:c>
      <x:c r="AD476" s="37" t="str">
        <x:f>IF(A476="","",IFERROR(AB476/AC476,0))</x:f>
      </x:c>
      <x:c r="AE476" s="33" t="str">
        <x:f>IF(A476="","",AC476/60*SUMIF(DM_NHAN_SU!$A$6:$A$105,L476,DM_NHAN_SU!$E$6:$E$105))</x:f>
      </x:c>
      <x:c r="AF476" s="33" t="str">
        <x:f>IF(A476="","",AC476/60*SUMIF(DM_MAY!$A$6:$A$105,M476,DM_MAY!$F$6:$F$105))</x:f>
      </x:c>
      <x:c r="AG476" s="33" t="str">
        <x:f>IF(A476="","",AE476+AF476)</x:f>
      </x:c>
      <x:c r="AH476" s="21"/>
      <x:c r="AI476" s="29" t="str">
        <x:f>IF(A476="","",IF(OR(B476="",D476="",E476="",I476="",L476="",N476="",O476="",P476=""),"Thiếu dữ liệu",IF(AND(OR(N476="PRODUCTION",N476="REWORK",N476="SETUP"),M476=""),"Thiếu máy",IF(P476&lt;O476,"Sai thời gian",IF(AA476&lt;&gt;0,"Sai cân đối SL","Hợp lệ")))))</x:f>
      </x:c>
      <x:c r="AJ476" s="21"/>
    </x:row>
    <x:row r="477">
      <x:c r="A477" s="21"/>
      <x:c r="B477" s="35"/>
      <x:c r="C477" s="21"/>
      <x:c r="D477" s="21"/>
      <x:c r="E477" s="21"/>
      <x:c r="F477" s="21"/>
      <x:c r="G477" s="21"/>
      <x:c r="H477" s="29" t="str">
        <x:f>IF(OR(D477="",E477=""),"",D477&amp;"|"&amp;E477&amp;"|"&amp;IF(F477="","00",F477)&amp;"|"&amp;IF(G477="","01",G477))</x:f>
      </x:c>
      <x:c r="I477" s="21"/>
      <x:c r="J477" s="29" t="str">
        <x:f>IF(K477="","",IFERROR(INDEX('04_KE_HOACH_CD'!$I$6:$I$305,MATCH(K477,'04_KE_HOACH_CD'!$G$6:$G$305,0)),""))</x:f>
      </x:c>
      <x:c r="K477" s="29" t="str">
        <x:f>IF(OR(H477="",I477=""),"",H477&amp;"|"&amp;TEXT(I477,"000"))</x:f>
      </x:c>
      <x:c r="L477" s="21"/>
      <x:c r="M477" s="21"/>
      <x:c r="N477" s="21"/>
      <x:c r="O477" s="43"/>
      <x:c r="P477" s="43"/>
      <x:c r="Q477" s="25"/>
      <x:c r="R477" s="25"/>
      <x:c r="S477" s="39" t="str">
        <x:f>IF(A477="","",SUMIF('07_DUNG_CHO'!$B$6:$B$505,A477,'07_DUNG_CHO'!$E$6:$E$505))</x:f>
      </x:c>
      <x:c r="T477" s="39" t="str">
        <x:f>IF(A477="","",IF(N477="SETUP",0,MAX(0,(P477-O477)*1440-Q477-S477)))</x:f>
      </x:c>
      <x:c r="U477" s="25"/>
      <x:c r="V477" s="25"/>
      <x:c r="W477" s="25"/>
      <x:c r="X477" s="25"/>
      <x:c r="Y477" s="25"/>
      <x:c r="Z477" s="25"/>
      <x:c r="AA477" s="39" t="str">
        <x:f>IF(A477="","",U477-SUM(V477,X477:Z477))</x:f>
      </x:c>
      <x:c r="AB477" s="39" t="str">
        <x:f>IF(A477="","",IF(N477="SETUP",IFERROR(INDEX('04_KE_HOACH_CD'!$K$6:$K$305,MATCH(K477,'04_KE_HOACH_CD'!$G$6:$G$305,0)),0),IF(OR(N477="PRODUCTION",N477="REWORK"),IFERROR(INDEX('04_KE_HOACH_CD'!$L$6:$L$305,MATCH(K477,'04_KE_HOACH_CD'!$G$6:$G$305,0))*V477,0),0)))</x:f>
      </x:c>
      <x:c r="AC477" s="39" t="str">
        <x:f>IF(A477="","",MAX(0,(P477-O477)*1440-Q477))</x:f>
      </x:c>
      <x:c r="AD477" s="37" t="str">
        <x:f>IF(A477="","",IFERROR(AB477/AC477,0))</x:f>
      </x:c>
      <x:c r="AE477" s="33" t="str">
        <x:f>IF(A477="","",AC477/60*SUMIF(DM_NHAN_SU!$A$6:$A$105,L477,DM_NHAN_SU!$E$6:$E$105))</x:f>
      </x:c>
      <x:c r="AF477" s="33" t="str">
        <x:f>IF(A477="","",AC477/60*SUMIF(DM_MAY!$A$6:$A$105,M477,DM_MAY!$F$6:$F$105))</x:f>
      </x:c>
      <x:c r="AG477" s="33" t="str">
        <x:f>IF(A477="","",AE477+AF477)</x:f>
      </x:c>
      <x:c r="AH477" s="21"/>
      <x:c r="AI477" s="29" t="str">
        <x:f>IF(A477="","",IF(OR(B477="",D477="",E477="",I477="",L477="",N477="",O477="",P477=""),"Thiếu dữ liệu",IF(AND(OR(N477="PRODUCTION",N477="REWORK",N477="SETUP"),M477=""),"Thiếu máy",IF(P477&lt;O477,"Sai thời gian",IF(AA477&lt;&gt;0,"Sai cân đối SL","Hợp lệ")))))</x:f>
      </x:c>
      <x:c r="AJ477" s="21"/>
    </x:row>
    <x:row r="478">
      <x:c r="A478" s="21"/>
      <x:c r="B478" s="35"/>
      <x:c r="C478" s="21"/>
      <x:c r="D478" s="21"/>
      <x:c r="E478" s="21"/>
      <x:c r="F478" s="21"/>
      <x:c r="G478" s="21"/>
      <x:c r="H478" s="29" t="str">
        <x:f>IF(OR(D478="",E478=""),"",D478&amp;"|"&amp;E478&amp;"|"&amp;IF(F478="","00",F478)&amp;"|"&amp;IF(G478="","01",G478))</x:f>
      </x:c>
      <x:c r="I478" s="21"/>
      <x:c r="J478" s="29" t="str">
        <x:f>IF(K478="","",IFERROR(INDEX('04_KE_HOACH_CD'!$I$6:$I$305,MATCH(K478,'04_KE_HOACH_CD'!$G$6:$G$305,0)),""))</x:f>
      </x:c>
      <x:c r="K478" s="29" t="str">
        <x:f>IF(OR(H478="",I478=""),"",H478&amp;"|"&amp;TEXT(I478,"000"))</x:f>
      </x:c>
      <x:c r="L478" s="21"/>
      <x:c r="M478" s="21"/>
      <x:c r="N478" s="21"/>
      <x:c r="O478" s="43"/>
      <x:c r="P478" s="43"/>
      <x:c r="Q478" s="25"/>
      <x:c r="R478" s="25"/>
      <x:c r="S478" s="39" t="str">
        <x:f>IF(A478="","",SUMIF('07_DUNG_CHO'!$B$6:$B$505,A478,'07_DUNG_CHO'!$E$6:$E$505))</x:f>
      </x:c>
      <x:c r="T478" s="39" t="str">
        <x:f>IF(A478="","",IF(N478="SETUP",0,MAX(0,(P478-O478)*1440-Q478-S478)))</x:f>
      </x:c>
      <x:c r="U478" s="25"/>
      <x:c r="V478" s="25"/>
      <x:c r="W478" s="25"/>
      <x:c r="X478" s="25"/>
      <x:c r="Y478" s="25"/>
      <x:c r="Z478" s="25"/>
      <x:c r="AA478" s="39" t="str">
        <x:f>IF(A478="","",U478-SUM(V478,X478:Z478))</x:f>
      </x:c>
      <x:c r="AB478" s="39" t="str">
        <x:f>IF(A478="","",IF(N478="SETUP",IFERROR(INDEX('04_KE_HOACH_CD'!$K$6:$K$305,MATCH(K478,'04_KE_HOACH_CD'!$G$6:$G$305,0)),0),IF(OR(N478="PRODUCTION",N478="REWORK"),IFERROR(INDEX('04_KE_HOACH_CD'!$L$6:$L$305,MATCH(K478,'04_KE_HOACH_CD'!$G$6:$G$305,0))*V478,0),0)))</x:f>
      </x:c>
      <x:c r="AC478" s="39" t="str">
        <x:f>IF(A478="","",MAX(0,(P478-O478)*1440-Q478))</x:f>
      </x:c>
      <x:c r="AD478" s="37" t="str">
        <x:f>IF(A478="","",IFERROR(AB478/AC478,0))</x:f>
      </x:c>
      <x:c r="AE478" s="33" t="str">
        <x:f>IF(A478="","",AC478/60*SUMIF(DM_NHAN_SU!$A$6:$A$105,L478,DM_NHAN_SU!$E$6:$E$105))</x:f>
      </x:c>
      <x:c r="AF478" s="33" t="str">
        <x:f>IF(A478="","",AC478/60*SUMIF(DM_MAY!$A$6:$A$105,M478,DM_MAY!$F$6:$F$105))</x:f>
      </x:c>
      <x:c r="AG478" s="33" t="str">
        <x:f>IF(A478="","",AE478+AF478)</x:f>
      </x:c>
      <x:c r="AH478" s="21"/>
      <x:c r="AI478" s="29" t="str">
        <x:f>IF(A478="","",IF(OR(B478="",D478="",E478="",I478="",L478="",N478="",O478="",P478=""),"Thiếu dữ liệu",IF(AND(OR(N478="PRODUCTION",N478="REWORK",N478="SETUP"),M478=""),"Thiếu máy",IF(P478&lt;O478,"Sai thời gian",IF(AA478&lt;&gt;0,"Sai cân đối SL","Hợp lệ")))))</x:f>
      </x:c>
      <x:c r="AJ478" s="21"/>
    </x:row>
    <x:row r="479">
      <x:c r="A479" s="21"/>
      <x:c r="B479" s="35"/>
      <x:c r="C479" s="21"/>
      <x:c r="D479" s="21"/>
      <x:c r="E479" s="21"/>
      <x:c r="F479" s="21"/>
      <x:c r="G479" s="21"/>
      <x:c r="H479" s="29" t="str">
        <x:f>IF(OR(D479="",E479=""),"",D479&amp;"|"&amp;E479&amp;"|"&amp;IF(F479="","00",F479)&amp;"|"&amp;IF(G479="","01",G479))</x:f>
      </x:c>
      <x:c r="I479" s="21"/>
      <x:c r="J479" s="29" t="str">
        <x:f>IF(K479="","",IFERROR(INDEX('04_KE_HOACH_CD'!$I$6:$I$305,MATCH(K479,'04_KE_HOACH_CD'!$G$6:$G$305,0)),""))</x:f>
      </x:c>
      <x:c r="K479" s="29" t="str">
        <x:f>IF(OR(H479="",I479=""),"",H479&amp;"|"&amp;TEXT(I479,"000"))</x:f>
      </x:c>
      <x:c r="L479" s="21"/>
      <x:c r="M479" s="21"/>
      <x:c r="N479" s="21"/>
      <x:c r="O479" s="43"/>
      <x:c r="P479" s="43"/>
      <x:c r="Q479" s="25"/>
      <x:c r="R479" s="25"/>
      <x:c r="S479" s="39" t="str">
        <x:f>IF(A479="","",SUMIF('07_DUNG_CHO'!$B$6:$B$505,A479,'07_DUNG_CHO'!$E$6:$E$505))</x:f>
      </x:c>
      <x:c r="T479" s="39" t="str">
        <x:f>IF(A479="","",IF(N479="SETUP",0,MAX(0,(P479-O479)*1440-Q479-S479)))</x:f>
      </x:c>
      <x:c r="U479" s="25"/>
      <x:c r="V479" s="25"/>
      <x:c r="W479" s="25"/>
      <x:c r="X479" s="25"/>
      <x:c r="Y479" s="25"/>
      <x:c r="Z479" s="25"/>
      <x:c r="AA479" s="39" t="str">
        <x:f>IF(A479="","",U479-SUM(V479,X479:Z479))</x:f>
      </x:c>
      <x:c r="AB479" s="39" t="str">
        <x:f>IF(A479="","",IF(N479="SETUP",IFERROR(INDEX('04_KE_HOACH_CD'!$K$6:$K$305,MATCH(K479,'04_KE_HOACH_CD'!$G$6:$G$305,0)),0),IF(OR(N479="PRODUCTION",N479="REWORK"),IFERROR(INDEX('04_KE_HOACH_CD'!$L$6:$L$305,MATCH(K479,'04_KE_HOACH_CD'!$G$6:$G$305,0))*V479,0),0)))</x:f>
      </x:c>
      <x:c r="AC479" s="39" t="str">
        <x:f>IF(A479="","",MAX(0,(P479-O479)*1440-Q479))</x:f>
      </x:c>
      <x:c r="AD479" s="37" t="str">
        <x:f>IF(A479="","",IFERROR(AB479/AC479,0))</x:f>
      </x:c>
      <x:c r="AE479" s="33" t="str">
        <x:f>IF(A479="","",AC479/60*SUMIF(DM_NHAN_SU!$A$6:$A$105,L479,DM_NHAN_SU!$E$6:$E$105))</x:f>
      </x:c>
      <x:c r="AF479" s="33" t="str">
        <x:f>IF(A479="","",AC479/60*SUMIF(DM_MAY!$A$6:$A$105,M479,DM_MAY!$F$6:$F$105))</x:f>
      </x:c>
      <x:c r="AG479" s="33" t="str">
        <x:f>IF(A479="","",AE479+AF479)</x:f>
      </x:c>
      <x:c r="AH479" s="21"/>
      <x:c r="AI479" s="29" t="str">
        <x:f>IF(A479="","",IF(OR(B479="",D479="",E479="",I479="",L479="",N479="",O479="",P479=""),"Thiếu dữ liệu",IF(AND(OR(N479="PRODUCTION",N479="REWORK",N479="SETUP"),M479=""),"Thiếu máy",IF(P479&lt;O479,"Sai thời gian",IF(AA479&lt;&gt;0,"Sai cân đối SL","Hợp lệ")))))</x:f>
      </x:c>
      <x:c r="AJ479" s="21"/>
    </x:row>
    <x:row r="480">
      <x:c r="A480" s="21"/>
      <x:c r="B480" s="35"/>
      <x:c r="C480" s="21"/>
      <x:c r="D480" s="21"/>
      <x:c r="E480" s="21"/>
      <x:c r="F480" s="21"/>
      <x:c r="G480" s="21"/>
      <x:c r="H480" s="29" t="str">
        <x:f>IF(OR(D480="",E480=""),"",D480&amp;"|"&amp;E480&amp;"|"&amp;IF(F480="","00",F480)&amp;"|"&amp;IF(G480="","01",G480))</x:f>
      </x:c>
      <x:c r="I480" s="21"/>
      <x:c r="J480" s="29" t="str">
        <x:f>IF(K480="","",IFERROR(INDEX('04_KE_HOACH_CD'!$I$6:$I$305,MATCH(K480,'04_KE_HOACH_CD'!$G$6:$G$305,0)),""))</x:f>
      </x:c>
      <x:c r="K480" s="29" t="str">
        <x:f>IF(OR(H480="",I480=""),"",H480&amp;"|"&amp;TEXT(I480,"000"))</x:f>
      </x:c>
      <x:c r="L480" s="21"/>
      <x:c r="M480" s="21"/>
      <x:c r="N480" s="21"/>
      <x:c r="O480" s="43"/>
      <x:c r="P480" s="43"/>
      <x:c r="Q480" s="25"/>
      <x:c r="R480" s="25"/>
      <x:c r="S480" s="39" t="str">
        <x:f>IF(A480="","",SUMIF('07_DUNG_CHO'!$B$6:$B$505,A480,'07_DUNG_CHO'!$E$6:$E$505))</x:f>
      </x:c>
      <x:c r="T480" s="39" t="str">
        <x:f>IF(A480="","",IF(N480="SETUP",0,MAX(0,(P480-O480)*1440-Q480-S480)))</x:f>
      </x:c>
      <x:c r="U480" s="25"/>
      <x:c r="V480" s="25"/>
      <x:c r="W480" s="25"/>
      <x:c r="X480" s="25"/>
      <x:c r="Y480" s="25"/>
      <x:c r="Z480" s="25"/>
      <x:c r="AA480" s="39" t="str">
        <x:f>IF(A480="","",U480-SUM(V480,X480:Z480))</x:f>
      </x:c>
      <x:c r="AB480" s="39" t="str">
        <x:f>IF(A480="","",IF(N480="SETUP",IFERROR(INDEX('04_KE_HOACH_CD'!$K$6:$K$305,MATCH(K480,'04_KE_HOACH_CD'!$G$6:$G$305,0)),0),IF(OR(N480="PRODUCTION",N480="REWORK"),IFERROR(INDEX('04_KE_HOACH_CD'!$L$6:$L$305,MATCH(K480,'04_KE_HOACH_CD'!$G$6:$G$305,0))*V480,0),0)))</x:f>
      </x:c>
      <x:c r="AC480" s="39" t="str">
        <x:f>IF(A480="","",MAX(0,(P480-O480)*1440-Q480))</x:f>
      </x:c>
      <x:c r="AD480" s="37" t="str">
        <x:f>IF(A480="","",IFERROR(AB480/AC480,0))</x:f>
      </x:c>
      <x:c r="AE480" s="33" t="str">
        <x:f>IF(A480="","",AC480/60*SUMIF(DM_NHAN_SU!$A$6:$A$105,L480,DM_NHAN_SU!$E$6:$E$105))</x:f>
      </x:c>
      <x:c r="AF480" s="33" t="str">
        <x:f>IF(A480="","",AC480/60*SUMIF(DM_MAY!$A$6:$A$105,M480,DM_MAY!$F$6:$F$105))</x:f>
      </x:c>
      <x:c r="AG480" s="33" t="str">
        <x:f>IF(A480="","",AE480+AF480)</x:f>
      </x:c>
      <x:c r="AH480" s="21"/>
      <x:c r="AI480" s="29" t="str">
        <x:f>IF(A480="","",IF(OR(B480="",D480="",E480="",I480="",L480="",N480="",O480="",P480=""),"Thiếu dữ liệu",IF(AND(OR(N480="PRODUCTION",N480="REWORK",N480="SETUP"),M480=""),"Thiếu máy",IF(P480&lt;O480,"Sai thời gian",IF(AA480&lt;&gt;0,"Sai cân đối SL","Hợp lệ")))))</x:f>
      </x:c>
      <x:c r="AJ480" s="21"/>
    </x:row>
    <x:row r="481">
      <x:c r="A481" s="21"/>
      <x:c r="B481" s="35"/>
      <x:c r="C481" s="21"/>
      <x:c r="D481" s="21"/>
      <x:c r="E481" s="21"/>
      <x:c r="F481" s="21"/>
      <x:c r="G481" s="21"/>
      <x:c r="H481" s="29" t="str">
        <x:f>IF(OR(D481="",E481=""),"",D481&amp;"|"&amp;E481&amp;"|"&amp;IF(F481="","00",F481)&amp;"|"&amp;IF(G481="","01",G481))</x:f>
      </x:c>
      <x:c r="I481" s="21"/>
      <x:c r="J481" s="29" t="str">
        <x:f>IF(K481="","",IFERROR(INDEX('04_KE_HOACH_CD'!$I$6:$I$305,MATCH(K481,'04_KE_HOACH_CD'!$G$6:$G$305,0)),""))</x:f>
      </x:c>
      <x:c r="K481" s="29" t="str">
        <x:f>IF(OR(H481="",I481=""),"",H481&amp;"|"&amp;TEXT(I481,"000"))</x:f>
      </x:c>
      <x:c r="L481" s="21"/>
      <x:c r="M481" s="21"/>
      <x:c r="N481" s="21"/>
      <x:c r="O481" s="43"/>
      <x:c r="P481" s="43"/>
      <x:c r="Q481" s="25"/>
      <x:c r="R481" s="25"/>
      <x:c r="S481" s="39" t="str">
        <x:f>IF(A481="","",SUMIF('07_DUNG_CHO'!$B$6:$B$505,A481,'07_DUNG_CHO'!$E$6:$E$505))</x:f>
      </x:c>
      <x:c r="T481" s="39" t="str">
        <x:f>IF(A481="","",IF(N481="SETUP",0,MAX(0,(P481-O481)*1440-Q481-S481)))</x:f>
      </x:c>
      <x:c r="U481" s="25"/>
      <x:c r="V481" s="25"/>
      <x:c r="W481" s="25"/>
      <x:c r="X481" s="25"/>
      <x:c r="Y481" s="25"/>
      <x:c r="Z481" s="25"/>
      <x:c r="AA481" s="39" t="str">
        <x:f>IF(A481="","",U481-SUM(V481,X481:Z481))</x:f>
      </x:c>
      <x:c r="AB481" s="39" t="str">
        <x:f>IF(A481="","",IF(N481="SETUP",IFERROR(INDEX('04_KE_HOACH_CD'!$K$6:$K$305,MATCH(K481,'04_KE_HOACH_CD'!$G$6:$G$305,0)),0),IF(OR(N481="PRODUCTION",N481="REWORK"),IFERROR(INDEX('04_KE_HOACH_CD'!$L$6:$L$305,MATCH(K481,'04_KE_HOACH_CD'!$G$6:$G$305,0))*V481,0),0)))</x:f>
      </x:c>
      <x:c r="AC481" s="39" t="str">
        <x:f>IF(A481="","",MAX(0,(P481-O481)*1440-Q481))</x:f>
      </x:c>
      <x:c r="AD481" s="37" t="str">
        <x:f>IF(A481="","",IFERROR(AB481/AC481,0))</x:f>
      </x:c>
      <x:c r="AE481" s="33" t="str">
        <x:f>IF(A481="","",AC481/60*SUMIF(DM_NHAN_SU!$A$6:$A$105,L481,DM_NHAN_SU!$E$6:$E$105))</x:f>
      </x:c>
      <x:c r="AF481" s="33" t="str">
        <x:f>IF(A481="","",AC481/60*SUMIF(DM_MAY!$A$6:$A$105,M481,DM_MAY!$F$6:$F$105))</x:f>
      </x:c>
      <x:c r="AG481" s="33" t="str">
        <x:f>IF(A481="","",AE481+AF481)</x:f>
      </x:c>
      <x:c r="AH481" s="21"/>
      <x:c r="AI481" s="29" t="str">
        <x:f>IF(A481="","",IF(OR(B481="",D481="",E481="",I481="",L481="",N481="",O481="",P481=""),"Thiếu dữ liệu",IF(AND(OR(N481="PRODUCTION",N481="REWORK",N481="SETUP"),M481=""),"Thiếu máy",IF(P481&lt;O481,"Sai thời gian",IF(AA481&lt;&gt;0,"Sai cân đối SL","Hợp lệ")))))</x:f>
      </x:c>
      <x:c r="AJ481" s="21"/>
    </x:row>
    <x:row r="482">
      <x:c r="A482" s="21"/>
      <x:c r="B482" s="35"/>
      <x:c r="C482" s="21"/>
      <x:c r="D482" s="21"/>
      <x:c r="E482" s="21"/>
      <x:c r="F482" s="21"/>
      <x:c r="G482" s="21"/>
      <x:c r="H482" s="29" t="str">
        <x:f>IF(OR(D482="",E482=""),"",D482&amp;"|"&amp;E482&amp;"|"&amp;IF(F482="","00",F482)&amp;"|"&amp;IF(G482="","01",G482))</x:f>
      </x:c>
      <x:c r="I482" s="21"/>
      <x:c r="J482" s="29" t="str">
        <x:f>IF(K482="","",IFERROR(INDEX('04_KE_HOACH_CD'!$I$6:$I$305,MATCH(K482,'04_KE_HOACH_CD'!$G$6:$G$305,0)),""))</x:f>
      </x:c>
      <x:c r="K482" s="29" t="str">
        <x:f>IF(OR(H482="",I482=""),"",H482&amp;"|"&amp;TEXT(I482,"000"))</x:f>
      </x:c>
      <x:c r="L482" s="21"/>
      <x:c r="M482" s="21"/>
      <x:c r="N482" s="21"/>
      <x:c r="O482" s="43"/>
      <x:c r="P482" s="43"/>
      <x:c r="Q482" s="25"/>
      <x:c r="R482" s="25"/>
      <x:c r="S482" s="39" t="str">
        <x:f>IF(A482="","",SUMIF('07_DUNG_CHO'!$B$6:$B$505,A482,'07_DUNG_CHO'!$E$6:$E$505))</x:f>
      </x:c>
      <x:c r="T482" s="39" t="str">
        <x:f>IF(A482="","",IF(N482="SETUP",0,MAX(0,(P482-O482)*1440-Q482-S482)))</x:f>
      </x:c>
      <x:c r="U482" s="25"/>
      <x:c r="V482" s="25"/>
      <x:c r="W482" s="25"/>
      <x:c r="X482" s="25"/>
      <x:c r="Y482" s="25"/>
      <x:c r="Z482" s="25"/>
      <x:c r="AA482" s="39" t="str">
        <x:f>IF(A482="","",U482-SUM(V482,X482:Z482))</x:f>
      </x:c>
      <x:c r="AB482" s="39" t="str">
        <x:f>IF(A482="","",IF(N482="SETUP",IFERROR(INDEX('04_KE_HOACH_CD'!$K$6:$K$305,MATCH(K482,'04_KE_HOACH_CD'!$G$6:$G$305,0)),0),IF(OR(N482="PRODUCTION",N482="REWORK"),IFERROR(INDEX('04_KE_HOACH_CD'!$L$6:$L$305,MATCH(K482,'04_KE_HOACH_CD'!$G$6:$G$305,0))*V482,0),0)))</x:f>
      </x:c>
      <x:c r="AC482" s="39" t="str">
        <x:f>IF(A482="","",MAX(0,(P482-O482)*1440-Q482))</x:f>
      </x:c>
      <x:c r="AD482" s="37" t="str">
        <x:f>IF(A482="","",IFERROR(AB482/AC482,0))</x:f>
      </x:c>
      <x:c r="AE482" s="33" t="str">
        <x:f>IF(A482="","",AC482/60*SUMIF(DM_NHAN_SU!$A$6:$A$105,L482,DM_NHAN_SU!$E$6:$E$105))</x:f>
      </x:c>
      <x:c r="AF482" s="33" t="str">
        <x:f>IF(A482="","",AC482/60*SUMIF(DM_MAY!$A$6:$A$105,M482,DM_MAY!$F$6:$F$105))</x:f>
      </x:c>
      <x:c r="AG482" s="33" t="str">
        <x:f>IF(A482="","",AE482+AF482)</x:f>
      </x:c>
      <x:c r="AH482" s="21"/>
      <x:c r="AI482" s="29" t="str">
        <x:f>IF(A482="","",IF(OR(B482="",D482="",E482="",I482="",L482="",N482="",O482="",P482=""),"Thiếu dữ liệu",IF(AND(OR(N482="PRODUCTION",N482="REWORK",N482="SETUP"),M482=""),"Thiếu máy",IF(P482&lt;O482,"Sai thời gian",IF(AA482&lt;&gt;0,"Sai cân đối SL","Hợp lệ")))))</x:f>
      </x:c>
      <x:c r="AJ482" s="21"/>
    </x:row>
    <x:row r="483">
      <x:c r="A483" s="21"/>
      <x:c r="B483" s="35"/>
      <x:c r="C483" s="21"/>
      <x:c r="D483" s="21"/>
      <x:c r="E483" s="21"/>
      <x:c r="F483" s="21"/>
      <x:c r="G483" s="21"/>
      <x:c r="H483" s="29" t="str">
        <x:f>IF(OR(D483="",E483=""),"",D483&amp;"|"&amp;E483&amp;"|"&amp;IF(F483="","00",F483)&amp;"|"&amp;IF(G483="","01",G483))</x:f>
      </x:c>
      <x:c r="I483" s="21"/>
      <x:c r="J483" s="29" t="str">
        <x:f>IF(K483="","",IFERROR(INDEX('04_KE_HOACH_CD'!$I$6:$I$305,MATCH(K483,'04_KE_HOACH_CD'!$G$6:$G$305,0)),""))</x:f>
      </x:c>
      <x:c r="K483" s="29" t="str">
        <x:f>IF(OR(H483="",I483=""),"",H483&amp;"|"&amp;TEXT(I483,"000"))</x:f>
      </x:c>
      <x:c r="L483" s="21"/>
      <x:c r="M483" s="21"/>
      <x:c r="N483" s="21"/>
      <x:c r="O483" s="43"/>
      <x:c r="P483" s="43"/>
      <x:c r="Q483" s="25"/>
      <x:c r="R483" s="25"/>
      <x:c r="S483" s="39" t="str">
        <x:f>IF(A483="","",SUMIF('07_DUNG_CHO'!$B$6:$B$505,A483,'07_DUNG_CHO'!$E$6:$E$505))</x:f>
      </x:c>
      <x:c r="T483" s="39" t="str">
        <x:f>IF(A483="","",IF(N483="SETUP",0,MAX(0,(P483-O483)*1440-Q483-S483)))</x:f>
      </x:c>
      <x:c r="U483" s="25"/>
      <x:c r="V483" s="25"/>
      <x:c r="W483" s="25"/>
      <x:c r="X483" s="25"/>
      <x:c r="Y483" s="25"/>
      <x:c r="Z483" s="25"/>
      <x:c r="AA483" s="39" t="str">
        <x:f>IF(A483="","",U483-SUM(V483,X483:Z483))</x:f>
      </x:c>
      <x:c r="AB483" s="39" t="str">
        <x:f>IF(A483="","",IF(N483="SETUP",IFERROR(INDEX('04_KE_HOACH_CD'!$K$6:$K$305,MATCH(K483,'04_KE_HOACH_CD'!$G$6:$G$305,0)),0),IF(OR(N483="PRODUCTION",N483="REWORK"),IFERROR(INDEX('04_KE_HOACH_CD'!$L$6:$L$305,MATCH(K483,'04_KE_HOACH_CD'!$G$6:$G$305,0))*V483,0),0)))</x:f>
      </x:c>
      <x:c r="AC483" s="39" t="str">
        <x:f>IF(A483="","",MAX(0,(P483-O483)*1440-Q483))</x:f>
      </x:c>
      <x:c r="AD483" s="37" t="str">
        <x:f>IF(A483="","",IFERROR(AB483/AC483,0))</x:f>
      </x:c>
      <x:c r="AE483" s="33" t="str">
        <x:f>IF(A483="","",AC483/60*SUMIF(DM_NHAN_SU!$A$6:$A$105,L483,DM_NHAN_SU!$E$6:$E$105))</x:f>
      </x:c>
      <x:c r="AF483" s="33" t="str">
        <x:f>IF(A483="","",AC483/60*SUMIF(DM_MAY!$A$6:$A$105,M483,DM_MAY!$F$6:$F$105))</x:f>
      </x:c>
      <x:c r="AG483" s="33" t="str">
        <x:f>IF(A483="","",AE483+AF483)</x:f>
      </x:c>
      <x:c r="AH483" s="21"/>
      <x:c r="AI483" s="29" t="str">
        <x:f>IF(A483="","",IF(OR(B483="",D483="",E483="",I483="",L483="",N483="",O483="",P483=""),"Thiếu dữ liệu",IF(AND(OR(N483="PRODUCTION",N483="REWORK",N483="SETUP"),M483=""),"Thiếu máy",IF(P483&lt;O483,"Sai thời gian",IF(AA483&lt;&gt;0,"Sai cân đối SL","Hợp lệ")))))</x:f>
      </x:c>
      <x:c r="AJ483" s="21"/>
    </x:row>
    <x:row r="484">
      <x:c r="A484" s="21"/>
      <x:c r="B484" s="35"/>
      <x:c r="C484" s="21"/>
      <x:c r="D484" s="21"/>
      <x:c r="E484" s="21"/>
      <x:c r="F484" s="21"/>
      <x:c r="G484" s="21"/>
      <x:c r="H484" s="29" t="str">
        <x:f>IF(OR(D484="",E484=""),"",D484&amp;"|"&amp;E484&amp;"|"&amp;IF(F484="","00",F484)&amp;"|"&amp;IF(G484="","01",G484))</x:f>
      </x:c>
      <x:c r="I484" s="21"/>
      <x:c r="J484" s="29" t="str">
        <x:f>IF(K484="","",IFERROR(INDEX('04_KE_HOACH_CD'!$I$6:$I$305,MATCH(K484,'04_KE_HOACH_CD'!$G$6:$G$305,0)),""))</x:f>
      </x:c>
      <x:c r="K484" s="29" t="str">
        <x:f>IF(OR(H484="",I484=""),"",H484&amp;"|"&amp;TEXT(I484,"000"))</x:f>
      </x:c>
      <x:c r="L484" s="21"/>
      <x:c r="M484" s="21"/>
      <x:c r="N484" s="21"/>
      <x:c r="O484" s="43"/>
      <x:c r="P484" s="43"/>
      <x:c r="Q484" s="25"/>
      <x:c r="R484" s="25"/>
      <x:c r="S484" s="39" t="str">
        <x:f>IF(A484="","",SUMIF('07_DUNG_CHO'!$B$6:$B$505,A484,'07_DUNG_CHO'!$E$6:$E$505))</x:f>
      </x:c>
      <x:c r="T484" s="39" t="str">
        <x:f>IF(A484="","",IF(N484="SETUP",0,MAX(0,(P484-O484)*1440-Q484-S484)))</x:f>
      </x:c>
      <x:c r="U484" s="25"/>
      <x:c r="V484" s="25"/>
      <x:c r="W484" s="25"/>
      <x:c r="X484" s="25"/>
      <x:c r="Y484" s="25"/>
      <x:c r="Z484" s="25"/>
      <x:c r="AA484" s="39" t="str">
        <x:f>IF(A484="","",U484-SUM(V484,X484:Z484))</x:f>
      </x:c>
      <x:c r="AB484" s="39" t="str">
        <x:f>IF(A484="","",IF(N484="SETUP",IFERROR(INDEX('04_KE_HOACH_CD'!$K$6:$K$305,MATCH(K484,'04_KE_HOACH_CD'!$G$6:$G$305,0)),0),IF(OR(N484="PRODUCTION",N484="REWORK"),IFERROR(INDEX('04_KE_HOACH_CD'!$L$6:$L$305,MATCH(K484,'04_KE_HOACH_CD'!$G$6:$G$305,0))*V484,0),0)))</x:f>
      </x:c>
      <x:c r="AC484" s="39" t="str">
        <x:f>IF(A484="","",MAX(0,(P484-O484)*1440-Q484))</x:f>
      </x:c>
      <x:c r="AD484" s="37" t="str">
        <x:f>IF(A484="","",IFERROR(AB484/AC484,0))</x:f>
      </x:c>
      <x:c r="AE484" s="33" t="str">
        <x:f>IF(A484="","",AC484/60*SUMIF(DM_NHAN_SU!$A$6:$A$105,L484,DM_NHAN_SU!$E$6:$E$105))</x:f>
      </x:c>
      <x:c r="AF484" s="33" t="str">
        <x:f>IF(A484="","",AC484/60*SUMIF(DM_MAY!$A$6:$A$105,M484,DM_MAY!$F$6:$F$105))</x:f>
      </x:c>
      <x:c r="AG484" s="33" t="str">
        <x:f>IF(A484="","",AE484+AF484)</x:f>
      </x:c>
      <x:c r="AH484" s="21"/>
      <x:c r="AI484" s="29" t="str">
        <x:f>IF(A484="","",IF(OR(B484="",D484="",E484="",I484="",L484="",N484="",O484="",P484=""),"Thiếu dữ liệu",IF(AND(OR(N484="PRODUCTION",N484="REWORK",N484="SETUP"),M484=""),"Thiếu máy",IF(P484&lt;O484,"Sai thời gian",IF(AA484&lt;&gt;0,"Sai cân đối SL","Hợp lệ")))))</x:f>
      </x:c>
      <x:c r="AJ484" s="21"/>
    </x:row>
    <x:row r="485">
      <x:c r="A485" s="21"/>
      <x:c r="B485" s="35"/>
      <x:c r="C485" s="21"/>
      <x:c r="D485" s="21"/>
      <x:c r="E485" s="21"/>
      <x:c r="F485" s="21"/>
      <x:c r="G485" s="21"/>
      <x:c r="H485" s="29" t="str">
        <x:f>IF(OR(D485="",E485=""),"",D485&amp;"|"&amp;E485&amp;"|"&amp;IF(F485="","00",F485)&amp;"|"&amp;IF(G485="","01",G485))</x:f>
      </x:c>
      <x:c r="I485" s="21"/>
      <x:c r="J485" s="29" t="str">
        <x:f>IF(K485="","",IFERROR(INDEX('04_KE_HOACH_CD'!$I$6:$I$305,MATCH(K485,'04_KE_HOACH_CD'!$G$6:$G$305,0)),""))</x:f>
      </x:c>
      <x:c r="K485" s="29" t="str">
        <x:f>IF(OR(H485="",I485=""),"",H485&amp;"|"&amp;TEXT(I485,"000"))</x:f>
      </x:c>
      <x:c r="L485" s="21"/>
      <x:c r="M485" s="21"/>
      <x:c r="N485" s="21"/>
      <x:c r="O485" s="43"/>
      <x:c r="P485" s="43"/>
      <x:c r="Q485" s="25"/>
      <x:c r="R485" s="25"/>
      <x:c r="S485" s="39" t="str">
        <x:f>IF(A485="","",SUMIF('07_DUNG_CHO'!$B$6:$B$505,A485,'07_DUNG_CHO'!$E$6:$E$505))</x:f>
      </x:c>
      <x:c r="T485" s="39" t="str">
        <x:f>IF(A485="","",IF(N485="SETUP",0,MAX(0,(P485-O485)*1440-Q485-S485)))</x:f>
      </x:c>
      <x:c r="U485" s="25"/>
      <x:c r="V485" s="25"/>
      <x:c r="W485" s="25"/>
      <x:c r="X485" s="25"/>
      <x:c r="Y485" s="25"/>
      <x:c r="Z485" s="25"/>
      <x:c r="AA485" s="39" t="str">
        <x:f>IF(A485="","",U485-SUM(V485,X485:Z485))</x:f>
      </x:c>
      <x:c r="AB485" s="39" t="str">
        <x:f>IF(A485="","",IF(N485="SETUP",IFERROR(INDEX('04_KE_HOACH_CD'!$K$6:$K$305,MATCH(K485,'04_KE_HOACH_CD'!$G$6:$G$305,0)),0),IF(OR(N485="PRODUCTION",N485="REWORK"),IFERROR(INDEX('04_KE_HOACH_CD'!$L$6:$L$305,MATCH(K485,'04_KE_HOACH_CD'!$G$6:$G$305,0))*V485,0),0)))</x:f>
      </x:c>
      <x:c r="AC485" s="39" t="str">
        <x:f>IF(A485="","",MAX(0,(P485-O485)*1440-Q485))</x:f>
      </x:c>
      <x:c r="AD485" s="37" t="str">
        <x:f>IF(A485="","",IFERROR(AB485/AC485,0))</x:f>
      </x:c>
      <x:c r="AE485" s="33" t="str">
        <x:f>IF(A485="","",AC485/60*SUMIF(DM_NHAN_SU!$A$6:$A$105,L485,DM_NHAN_SU!$E$6:$E$105))</x:f>
      </x:c>
      <x:c r="AF485" s="33" t="str">
        <x:f>IF(A485="","",AC485/60*SUMIF(DM_MAY!$A$6:$A$105,M485,DM_MAY!$F$6:$F$105))</x:f>
      </x:c>
      <x:c r="AG485" s="33" t="str">
        <x:f>IF(A485="","",AE485+AF485)</x:f>
      </x:c>
      <x:c r="AH485" s="21"/>
      <x:c r="AI485" s="29" t="str">
        <x:f>IF(A485="","",IF(OR(B485="",D485="",E485="",I485="",L485="",N485="",O485="",P485=""),"Thiếu dữ liệu",IF(AND(OR(N485="PRODUCTION",N485="REWORK",N485="SETUP"),M485=""),"Thiếu máy",IF(P485&lt;O485,"Sai thời gian",IF(AA485&lt;&gt;0,"Sai cân đối SL","Hợp lệ")))))</x:f>
      </x:c>
      <x:c r="AJ485" s="21"/>
    </x:row>
    <x:row r="486">
      <x:c r="A486" s="21"/>
      <x:c r="B486" s="35"/>
      <x:c r="C486" s="21"/>
      <x:c r="D486" s="21"/>
      <x:c r="E486" s="21"/>
      <x:c r="F486" s="21"/>
      <x:c r="G486" s="21"/>
      <x:c r="H486" s="29" t="str">
        <x:f>IF(OR(D486="",E486=""),"",D486&amp;"|"&amp;E486&amp;"|"&amp;IF(F486="","00",F486)&amp;"|"&amp;IF(G486="","01",G486))</x:f>
      </x:c>
      <x:c r="I486" s="21"/>
      <x:c r="J486" s="29" t="str">
        <x:f>IF(K486="","",IFERROR(INDEX('04_KE_HOACH_CD'!$I$6:$I$305,MATCH(K486,'04_KE_HOACH_CD'!$G$6:$G$305,0)),""))</x:f>
      </x:c>
      <x:c r="K486" s="29" t="str">
        <x:f>IF(OR(H486="",I486=""),"",H486&amp;"|"&amp;TEXT(I486,"000"))</x:f>
      </x:c>
      <x:c r="L486" s="21"/>
      <x:c r="M486" s="21"/>
      <x:c r="N486" s="21"/>
      <x:c r="O486" s="43"/>
      <x:c r="P486" s="43"/>
      <x:c r="Q486" s="25"/>
      <x:c r="R486" s="25"/>
      <x:c r="S486" s="39" t="str">
        <x:f>IF(A486="","",SUMIF('07_DUNG_CHO'!$B$6:$B$505,A486,'07_DUNG_CHO'!$E$6:$E$505))</x:f>
      </x:c>
      <x:c r="T486" s="39" t="str">
        <x:f>IF(A486="","",IF(N486="SETUP",0,MAX(0,(P486-O486)*1440-Q486-S486)))</x:f>
      </x:c>
      <x:c r="U486" s="25"/>
      <x:c r="V486" s="25"/>
      <x:c r="W486" s="25"/>
      <x:c r="X486" s="25"/>
      <x:c r="Y486" s="25"/>
      <x:c r="Z486" s="25"/>
      <x:c r="AA486" s="39" t="str">
        <x:f>IF(A486="","",U486-SUM(V486,X486:Z486))</x:f>
      </x:c>
      <x:c r="AB486" s="39" t="str">
        <x:f>IF(A486="","",IF(N486="SETUP",IFERROR(INDEX('04_KE_HOACH_CD'!$K$6:$K$305,MATCH(K486,'04_KE_HOACH_CD'!$G$6:$G$305,0)),0),IF(OR(N486="PRODUCTION",N486="REWORK"),IFERROR(INDEX('04_KE_HOACH_CD'!$L$6:$L$305,MATCH(K486,'04_KE_HOACH_CD'!$G$6:$G$305,0))*V486,0),0)))</x:f>
      </x:c>
      <x:c r="AC486" s="39" t="str">
        <x:f>IF(A486="","",MAX(0,(P486-O486)*1440-Q486))</x:f>
      </x:c>
      <x:c r="AD486" s="37" t="str">
        <x:f>IF(A486="","",IFERROR(AB486/AC486,0))</x:f>
      </x:c>
      <x:c r="AE486" s="33" t="str">
        <x:f>IF(A486="","",AC486/60*SUMIF(DM_NHAN_SU!$A$6:$A$105,L486,DM_NHAN_SU!$E$6:$E$105))</x:f>
      </x:c>
      <x:c r="AF486" s="33" t="str">
        <x:f>IF(A486="","",AC486/60*SUMIF(DM_MAY!$A$6:$A$105,M486,DM_MAY!$F$6:$F$105))</x:f>
      </x:c>
      <x:c r="AG486" s="33" t="str">
        <x:f>IF(A486="","",AE486+AF486)</x:f>
      </x:c>
      <x:c r="AH486" s="21"/>
      <x:c r="AI486" s="29" t="str">
        <x:f>IF(A486="","",IF(OR(B486="",D486="",E486="",I486="",L486="",N486="",O486="",P486=""),"Thiếu dữ liệu",IF(AND(OR(N486="PRODUCTION",N486="REWORK",N486="SETUP"),M486=""),"Thiếu máy",IF(P486&lt;O486,"Sai thời gian",IF(AA486&lt;&gt;0,"Sai cân đối SL","Hợp lệ")))))</x:f>
      </x:c>
      <x:c r="AJ486" s="21"/>
    </x:row>
    <x:row r="487">
      <x:c r="A487" s="21"/>
      <x:c r="B487" s="35"/>
      <x:c r="C487" s="21"/>
      <x:c r="D487" s="21"/>
      <x:c r="E487" s="21"/>
      <x:c r="F487" s="21"/>
      <x:c r="G487" s="21"/>
      <x:c r="H487" s="29" t="str">
        <x:f>IF(OR(D487="",E487=""),"",D487&amp;"|"&amp;E487&amp;"|"&amp;IF(F487="","00",F487)&amp;"|"&amp;IF(G487="","01",G487))</x:f>
      </x:c>
      <x:c r="I487" s="21"/>
      <x:c r="J487" s="29" t="str">
        <x:f>IF(K487="","",IFERROR(INDEX('04_KE_HOACH_CD'!$I$6:$I$305,MATCH(K487,'04_KE_HOACH_CD'!$G$6:$G$305,0)),""))</x:f>
      </x:c>
      <x:c r="K487" s="29" t="str">
        <x:f>IF(OR(H487="",I487=""),"",H487&amp;"|"&amp;TEXT(I487,"000"))</x:f>
      </x:c>
      <x:c r="L487" s="21"/>
      <x:c r="M487" s="21"/>
      <x:c r="N487" s="21"/>
      <x:c r="O487" s="43"/>
      <x:c r="P487" s="43"/>
      <x:c r="Q487" s="25"/>
      <x:c r="R487" s="25"/>
      <x:c r="S487" s="39" t="str">
        <x:f>IF(A487="","",SUMIF('07_DUNG_CHO'!$B$6:$B$505,A487,'07_DUNG_CHO'!$E$6:$E$505))</x:f>
      </x:c>
      <x:c r="T487" s="39" t="str">
        <x:f>IF(A487="","",IF(N487="SETUP",0,MAX(0,(P487-O487)*1440-Q487-S487)))</x:f>
      </x:c>
      <x:c r="U487" s="25"/>
      <x:c r="V487" s="25"/>
      <x:c r="W487" s="25"/>
      <x:c r="X487" s="25"/>
      <x:c r="Y487" s="25"/>
      <x:c r="Z487" s="25"/>
      <x:c r="AA487" s="39" t="str">
        <x:f>IF(A487="","",U487-SUM(V487,X487:Z487))</x:f>
      </x:c>
      <x:c r="AB487" s="39" t="str">
        <x:f>IF(A487="","",IF(N487="SETUP",IFERROR(INDEX('04_KE_HOACH_CD'!$K$6:$K$305,MATCH(K487,'04_KE_HOACH_CD'!$G$6:$G$305,0)),0),IF(OR(N487="PRODUCTION",N487="REWORK"),IFERROR(INDEX('04_KE_HOACH_CD'!$L$6:$L$305,MATCH(K487,'04_KE_HOACH_CD'!$G$6:$G$305,0))*V487,0),0)))</x:f>
      </x:c>
      <x:c r="AC487" s="39" t="str">
        <x:f>IF(A487="","",MAX(0,(P487-O487)*1440-Q487))</x:f>
      </x:c>
      <x:c r="AD487" s="37" t="str">
        <x:f>IF(A487="","",IFERROR(AB487/AC487,0))</x:f>
      </x:c>
      <x:c r="AE487" s="33" t="str">
        <x:f>IF(A487="","",AC487/60*SUMIF(DM_NHAN_SU!$A$6:$A$105,L487,DM_NHAN_SU!$E$6:$E$105))</x:f>
      </x:c>
      <x:c r="AF487" s="33" t="str">
        <x:f>IF(A487="","",AC487/60*SUMIF(DM_MAY!$A$6:$A$105,M487,DM_MAY!$F$6:$F$105))</x:f>
      </x:c>
      <x:c r="AG487" s="33" t="str">
        <x:f>IF(A487="","",AE487+AF487)</x:f>
      </x:c>
      <x:c r="AH487" s="21"/>
      <x:c r="AI487" s="29" t="str">
        <x:f>IF(A487="","",IF(OR(B487="",D487="",E487="",I487="",L487="",N487="",O487="",P487=""),"Thiếu dữ liệu",IF(AND(OR(N487="PRODUCTION",N487="REWORK",N487="SETUP"),M487=""),"Thiếu máy",IF(P487&lt;O487,"Sai thời gian",IF(AA487&lt;&gt;0,"Sai cân đối SL","Hợp lệ")))))</x:f>
      </x:c>
      <x:c r="AJ487" s="21"/>
    </x:row>
    <x:row r="488">
      <x:c r="A488" s="21"/>
      <x:c r="B488" s="35"/>
      <x:c r="C488" s="21"/>
      <x:c r="D488" s="21"/>
      <x:c r="E488" s="21"/>
      <x:c r="F488" s="21"/>
      <x:c r="G488" s="21"/>
      <x:c r="H488" s="29" t="str">
        <x:f>IF(OR(D488="",E488=""),"",D488&amp;"|"&amp;E488&amp;"|"&amp;IF(F488="","00",F488)&amp;"|"&amp;IF(G488="","01",G488))</x:f>
      </x:c>
      <x:c r="I488" s="21"/>
      <x:c r="J488" s="29" t="str">
        <x:f>IF(K488="","",IFERROR(INDEX('04_KE_HOACH_CD'!$I$6:$I$305,MATCH(K488,'04_KE_HOACH_CD'!$G$6:$G$305,0)),""))</x:f>
      </x:c>
      <x:c r="K488" s="29" t="str">
        <x:f>IF(OR(H488="",I488=""),"",H488&amp;"|"&amp;TEXT(I488,"000"))</x:f>
      </x:c>
      <x:c r="L488" s="21"/>
      <x:c r="M488" s="21"/>
      <x:c r="N488" s="21"/>
      <x:c r="O488" s="43"/>
      <x:c r="P488" s="43"/>
      <x:c r="Q488" s="25"/>
      <x:c r="R488" s="25"/>
      <x:c r="S488" s="39" t="str">
        <x:f>IF(A488="","",SUMIF('07_DUNG_CHO'!$B$6:$B$505,A488,'07_DUNG_CHO'!$E$6:$E$505))</x:f>
      </x:c>
      <x:c r="T488" s="39" t="str">
        <x:f>IF(A488="","",IF(N488="SETUP",0,MAX(0,(P488-O488)*1440-Q488-S488)))</x:f>
      </x:c>
      <x:c r="U488" s="25"/>
      <x:c r="V488" s="25"/>
      <x:c r="W488" s="25"/>
      <x:c r="X488" s="25"/>
      <x:c r="Y488" s="25"/>
      <x:c r="Z488" s="25"/>
      <x:c r="AA488" s="39" t="str">
        <x:f>IF(A488="","",U488-SUM(V488,X488:Z488))</x:f>
      </x:c>
      <x:c r="AB488" s="39" t="str">
        <x:f>IF(A488="","",IF(N488="SETUP",IFERROR(INDEX('04_KE_HOACH_CD'!$K$6:$K$305,MATCH(K488,'04_KE_HOACH_CD'!$G$6:$G$305,0)),0),IF(OR(N488="PRODUCTION",N488="REWORK"),IFERROR(INDEX('04_KE_HOACH_CD'!$L$6:$L$305,MATCH(K488,'04_KE_HOACH_CD'!$G$6:$G$305,0))*V488,0),0)))</x:f>
      </x:c>
      <x:c r="AC488" s="39" t="str">
        <x:f>IF(A488="","",MAX(0,(P488-O488)*1440-Q488))</x:f>
      </x:c>
      <x:c r="AD488" s="37" t="str">
        <x:f>IF(A488="","",IFERROR(AB488/AC488,0))</x:f>
      </x:c>
      <x:c r="AE488" s="33" t="str">
        <x:f>IF(A488="","",AC488/60*SUMIF(DM_NHAN_SU!$A$6:$A$105,L488,DM_NHAN_SU!$E$6:$E$105))</x:f>
      </x:c>
      <x:c r="AF488" s="33" t="str">
        <x:f>IF(A488="","",AC488/60*SUMIF(DM_MAY!$A$6:$A$105,M488,DM_MAY!$F$6:$F$105))</x:f>
      </x:c>
      <x:c r="AG488" s="33" t="str">
        <x:f>IF(A488="","",AE488+AF488)</x:f>
      </x:c>
      <x:c r="AH488" s="21"/>
      <x:c r="AI488" s="29" t="str">
        <x:f>IF(A488="","",IF(OR(B488="",D488="",E488="",I488="",L488="",N488="",O488="",P488=""),"Thiếu dữ liệu",IF(AND(OR(N488="PRODUCTION",N488="REWORK",N488="SETUP"),M488=""),"Thiếu máy",IF(P488&lt;O488,"Sai thời gian",IF(AA488&lt;&gt;0,"Sai cân đối SL","Hợp lệ")))))</x:f>
      </x:c>
      <x:c r="AJ488" s="21"/>
    </x:row>
    <x:row r="489">
      <x:c r="A489" s="21"/>
      <x:c r="B489" s="35"/>
      <x:c r="C489" s="21"/>
      <x:c r="D489" s="21"/>
      <x:c r="E489" s="21"/>
      <x:c r="F489" s="21"/>
      <x:c r="G489" s="21"/>
      <x:c r="H489" s="29" t="str">
        <x:f>IF(OR(D489="",E489=""),"",D489&amp;"|"&amp;E489&amp;"|"&amp;IF(F489="","00",F489)&amp;"|"&amp;IF(G489="","01",G489))</x:f>
      </x:c>
      <x:c r="I489" s="21"/>
      <x:c r="J489" s="29" t="str">
        <x:f>IF(K489="","",IFERROR(INDEX('04_KE_HOACH_CD'!$I$6:$I$305,MATCH(K489,'04_KE_HOACH_CD'!$G$6:$G$305,0)),""))</x:f>
      </x:c>
      <x:c r="K489" s="29" t="str">
        <x:f>IF(OR(H489="",I489=""),"",H489&amp;"|"&amp;TEXT(I489,"000"))</x:f>
      </x:c>
      <x:c r="L489" s="21"/>
      <x:c r="M489" s="21"/>
      <x:c r="N489" s="21"/>
      <x:c r="O489" s="43"/>
      <x:c r="P489" s="43"/>
      <x:c r="Q489" s="25"/>
      <x:c r="R489" s="25"/>
      <x:c r="S489" s="39" t="str">
        <x:f>IF(A489="","",SUMIF('07_DUNG_CHO'!$B$6:$B$505,A489,'07_DUNG_CHO'!$E$6:$E$505))</x:f>
      </x:c>
      <x:c r="T489" s="39" t="str">
        <x:f>IF(A489="","",IF(N489="SETUP",0,MAX(0,(P489-O489)*1440-Q489-S489)))</x:f>
      </x:c>
      <x:c r="U489" s="25"/>
      <x:c r="V489" s="25"/>
      <x:c r="W489" s="25"/>
      <x:c r="X489" s="25"/>
      <x:c r="Y489" s="25"/>
      <x:c r="Z489" s="25"/>
      <x:c r="AA489" s="39" t="str">
        <x:f>IF(A489="","",U489-SUM(V489,X489:Z489))</x:f>
      </x:c>
      <x:c r="AB489" s="39" t="str">
        <x:f>IF(A489="","",IF(N489="SETUP",IFERROR(INDEX('04_KE_HOACH_CD'!$K$6:$K$305,MATCH(K489,'04_KE_HOACH_CD'!$G$6:$G$305,0)),0),IF(OR(N489="PRODUCTION",N489="REWORK"),IFERROR(INDEX('04_KE_HOACH_CD'!$L$6:$L$305,MATCH(K489,'04_KE_HOACH_CD'!$G$6:$G$305,0))*V489,0),0)))</x:f>
      </x:c>
      <x:c r="AC489" s="39" t="str">
        <x:f>IF(A489="","",MAX(0,(P489-O489)*1440-Q489))</x:f>
      </x:c>
      <x:c r="AD489" s="37" t="str">
        <x:f>IF(A489="","",IFERROR(AB489/AC489,0))</x:f>
      </x:c>
      <x:c r="AE489" s="33" t="str">
        <x:f>IF(A489="","",AC489/60*SUMIF(DM_NHAN_SU!$A$6:$A$105,L489,DM_NHAN_SU!$E$6:$E$105))</x:f>
      </x:c>
      <x:c r="AF489" s="33" t="str">
        <x:f>IF(A489="","",AC489/60*SUMIF(DM_MAY!$A$6:$A$105,M489,DM_MAY!$F$6:$F$105))</x:f>
      </x:c>
      <x:c r="AG489" s="33" t="str">
        <x:f>IF(A489="","",AE489+AF489)</x:f>
      </x:c>
      <x:c r="AH489" s="21"/>
      <x:c r="AI489" s="29" t="str">
        <x:f>IF(A489="","",IF(OR(B489="",D489="",E489="",I489="",L489="",N489="",O489="",P489=""),"Thiếu dữ liệu",IF(AND(OR(N489="PRODUCTION",N489="REWORK",N489="SETUP"),M489=""),"Thiếu máy",IF(P489&lt;O489,"Sai thời gian",IF(AA489&lt;&gt;0,"Sai cân đối SL","Hợp lệ")))))</x:f>
      </x:c>
      <x:c r="AJ489" s="21"/>
    </x:row>
    <x:row r="490">
      <x:c r="A490" s="21"/>
      <x:c r="B490" s="35"/>
      <x:c r="C490" s="21"/>
      <x:c r="D490" s="21"/>
      <x:c r="E490" s="21"/>
      <x:c r="F490" s="21"/>
      <x:c r="G490" s="21"/>
      <x:c r="H490" s="29" t="str">
        <x:f>IF(OR(D490="",E490=""),"",D490&amp;"|"&amp;E490&amp;"|"&amp;IF(F490="","00",F490)&amp;"|"&amp;IF(G490="","01",G490))</x:f>
      </x:c>
      <x:c r="I490" s="21"/>
      <x:c r="J490" s="29" t="str">
        <x:f>IF(K490="","",IFERROR(INDEX('04_KE_HOACH_CD'!$I$6:$I$305,MATCH(K490,'04_KE_HOACH_CD'!$G$6:$G$305,0)),""))</x:f>
      </x:c>
      <x:c r="K490" s="29" t="str">
        <x:f>IF(OR(H490="",I490=""),"",H490&amp;"|"&amp;TEXT(I490,"000"))</x:f>
      </x:c>
      <x:c r="L490" s="21"/>
      <x:c r="M490" s="21"/>
      <x:c r="N490" s="21"/>
      <x:c r="O490" s="43"/>
      <x:c r="P490" s="43"/>
      <x:c r="Q490" s="25"/>
      <x:c r="R490" s="25"/>
      <x:c r="S490" s="39" t="str">
        <x:f>IF(A490="","",SUMIF('07_DUNG_CHO'!$B$6:$B$505,A490,'07_DUNG_CHO'!$E$6:$E$505))</x:f>
      </x:c>
      <x:c r="T490" s="39" t="str">
        <x:f>IF(A490="","",IF(N490="SETUP",0,MAX(0,(P490-O490)*1440-Q490-S490)))</x:f>
      </x:c>
      <x:c r="U490" s="25"/>
      <x:c r="V490" s="25"/>
      <x:c r="W490" s="25"/>
      <x:c r="X490" s="25"/>
      <x:c r="Y490" s="25"/>
      <x:c r="Z490" s="25"/>
      <x:c r="AA490" s="39" t="str">
        <x:f>IF(A490="","",U490-SUM(V490,X490:Z490))</x:f>
      </x:c>
      <x:c r="AB490" s="39" t="str">
        <x:f>IF(A490="","",IF(N490="SETUP",IFERROR(INDEX('04_KE_HOACH_CD'!$K$6:$K$305,MATCH(K490,'04_KE_HOACH_CD'!$G$6:$G$305,0)),0),IF(OR(N490="PRODUCTION",N490="REWORK"),IFERROR(INDEX('04_KE_HOACH_CD'!$L$6:$L$305,MATCH(K490,'04_KE_HOACH_CD'!$G$6:$G$305,0))*V490,0),0)))</x:f>
      </x:c>
      <x:c r="AC490" s="39" t="str">
        <x:f>IF(A490="","",MAX(0,(P490-O490)*1440-Q490))</x:f>
      </x:c>
      <x:c r="AD490" s="37" t="str">
        <x:f>IF(A490="","",IFERROR(AB490/AC490,0))</x:f>
      </x:c>
      <x:c r="AE490" s="33" t="str">
        <x:f>IF(A490="","",AC490/60*SUMIF(DM_NHAN_SU!$A$6:$A$105,L490,DM_NHAN_SU!$E$6:$E$105))</x:f>
      </x:c>
      <x:c r="AF490" s="33" t="str">
        <x:f>IF(A490="","",AC490/60*SUMIF(DM_MAY!$A$6:$A$105,M490,DM_MAY!$F$6:$F$105))</x:f>
      </x:c>
      <x:c r="AG490" s="33" t="str">
        <x:f>IF(A490="","",AE490+AF490)</x:f>
      </x:c>
      <x:c r="AH490" s="21"/>
      <x:c r="AI490" s="29" t="str">
        <x:f>IF(A490="","",IF(OR(B490="",D490="",E490="",I490="",L490="",N490="",O490="",P490=""),"Thiếu dữ liệu",IF(AND(OR(N490="PRODUCTION",N490="REWORK",N490="SETUP"),M490=""),"Thiếu máy",IF(P490&lt;O490,"Sai thời gian",IF(AA490&lt;&gt;0,"Sai cân đối SL","Hợp lệ")))))</x:f>
      </x:c>
      <x:c r="AJ490" s="21"/>
    </x:row>
    <x:row r="491">
      <x:c r="A491" s="21"/>
      <x:c r="B491" s="35"/>
      <x:c r="C491" s="21"/>
      <x:c r="D491" s="21"/>
      <x:c r="E491" s="21"/>
      <x:c r="F491" s="21"/>
      <x:c r="G491" s="21"/>
      <x:c r="H491" s="29" t="str">
        <x:f>IF(OR(D491="",E491=""),"",D491&amp;"|"&amp;E491&amp;"|"&amp;IF(F491="","00",F491)&amp;"|"&amp;IF(G491="","01",G491))</x:f>
      </x:c>
      <x:c r="I491" s="21"/>
      <x:c r="J491" s="29" t="str">
        <x:f>IF(K491="","",IFERROR(INDEX('04_KE_HOACH_CD'!$I$6:$I$305,MATCH(K491,'04_KE_HOACH_CD'!$G$6:$G$305,0)),""))</x:f>
      </x:c>
      <x:c r="K491" s="29" t="str">
        <x:f>IF(OR(H491="",I491=""),"",H491&amp;"|"&amp;TEXT(I491,"000"))</x:f>
      </x:c>
      <x:c r="L491" s="21"/>
      <x:c r="M491" s="21"/>
      <x:c r="N491" s="21"/>
      <x:c r="O491" s="43"/>
      <x:c r="P491" s="43"/>
      <x:c r="Q491" s="25"/>
      <x:c r="R491" s="25"/>
      <x:c r="S491" s="39" t="str">
        <x:f>IF(A491="","",SUMIF('07_DUNG_CHO'!$B$6:$B$505,A491,'07_DUNG_CHO'!$E$6:$E$505))</x:f>
      </x:c>
      <x:c r="T491" s="39" t="str">
        <x:f>IF(A491="","",IF(N491="SETUP",0,MAX(0,(P491-O491)*1440-Q491-S491)))</x:f>
      </x:c>
      <x:c r="U491" s="25"/>
      <x:c r="V491" s="25"/>
      <x:c r="W491" s="25"/>
      <x:c r="X491" s="25"/>
      <x:c r="Y491" s="25"/>
      <x:c r="Z491" s="25"/>
      <x:c r="AA491" s="39" t="str">
        <x:f>IF(A491="","",U491-SUM(V491,X491:Z491))</x:f>
      </x:c>
      <x:c r="AB491" s="39" t="str">
        <x:f>IF(A491="","",IF(N491="SETUP",IFERROR(INDEX('04_KE_HOACH_CD'!$K$6:$K$305,MATCH(K491,'04_KE_HOACH_CD'!$G$6:$G$305,0)),0),IF(OR(N491="PRODUCTION",N491="REWORK"),IFERROR(INDEX('04_KE_HOACH_CD'!$L$6:$L$305,MATCH(K491,'04_KE_HOACH_CD'!$G$6:$G$305,0))*V491,0),0)))</x:f>
      </x:c>
      <x:c r="AC491" s="39" t="str">
        <x:f>IF(A491="","",MAX(0,(P491-O491)*1440-Q491))</x:f>
      </x:c>
      <x:c r="AD491" s="37" t="str">
        <x:f>IF(A491="","",IFERROR(AB491/AC491,0))</x:f>
      </x:c>
      <x:c r="AE491" s="33" t="str">
        <x:f>IF(A491="","",AC491/60*SUMIF(DM_NHAN_SU!$A$6:$A$105,L491,DM_NHAN_SU!$E$6:$E$105))</x:f>
      </x:c>
      <x:c r="AF491" s="33" t="str">
        <x:f>IF(A491="","",AC491/60*SUMIF(DM_MAY!$A$6:$A$105,M491,DM_MAY!$F$6:$F$105))</x:f>
      </x:c>
      <x:c r="AG491" s="33" t="str">
        <x:f>IF(A491="","",AE491+AF491)</x:f>
      </x:c>
      <x:c r="AH491" s="21"/>
      <x:c r="AI491" s="29" t="str">
        <x:f>IF(A491="","",IF(OR(B491="",D491="",E491="",I491="",L491="",N491="",O491="",P491=""),"Thiếu dữ liệu",IF(AND(OR(N491="PRODUCTION",N491="REWORK",N491="SETUP"),M491=""),"Thiếu máy",IF(P491&lt;O491,"Sai thời gian",IF(AA491&lt;&gt;0,"Sai cân đối SL","Hợp lệ")))))</x:f>
      </x:c>
      <x:c r="AJ491" s="21"/>
    </x:row>
    <x:row r="492">
      <x:c r="A492" s="21"/>
      <x:c r="B492" s="35"/>
      <x:c r="C492" s="21"/>
      <x:c r="D492" s="21"/>
      <x:c r="E492" s="21"/>
      <x:c r="F492" s="21"/>
      <x:c r="G492" s="21"/>
      <x:c r="H492" s="29" t="str">
        <x:f>IF(OR(D492="",E492=""),"",D492&amp;"|"&amp;E492&amp;"|"&amp;IF(F492="","00",F492)&amp;"|"&amp;IF(G492="","01",G492))</x:f>
      </x:c>
      <x:c r="I492" s="21"/>
      <x:c r="J492" s="29" t="str">
        <x:f>IF(K492="","",IFERROR(INDEX('04_KE_HOACH_CD'!$I$6:$I$305,MATCH(K492,'04_KE_HOACH_CD'!$G$6:$G$305,0)),""))</x:f>
      </x:c>
      <x:c r="K492" s="29" t="str">
        <x:f>IF(OR(H492="",I492=""),"",H492&amp;"|"&amp;TEXT(I492,"000"))</x:f>
      </x:c>
      <x:c r="L492" s="21"/>
      <x:c r="M492" s="21"/>
      <x:c r="N492" s="21"/>
      <x:c r="O492" s="43"/>
      <x:c r="P492" s="43"/>
      <x:c r="Q492" s="25"/>
      <x:c r="R492" s="25"/>
      <x:c r="S492" s="39" t="str">
        <x:f>IF(A492="","",SUMIF('07_DUNG_CHO'!$B$6:$B$505,A492,'07_DUNG_CHO'!$E$6:$E$505))</x:f>
      </x:c>
      <x:c r="T492" s="39" t="str">
        <x:f>IF(A492="","",IF(N492="SETUP",0,MAX(0,(P492-O492)*1440-Q492-S492)))</x:f>
      </x:c>
      <x:c r="U492" s="25"/>
      <x:c r="V492" s="25"/>
      <x:c r="W492" s="25"/>
      <x:c r="X492" s="25"/>
      <x:c r="Y492" s="25"/>
      <x:c r="Z492" s="25"/>
      <x:c r="AA492" s="39" t="str">
        <x:f>IF(A492="","",U492-SUM(V492,X492:Z492))</x:f>
      </x:c>
      <x:c r="AB492" s="39" t="str">
        <x:f>IF(A492="","",IF(N492="SETUP",IFERROR(INDEX('04_KE_HOACH_CD'!$K$6:$K$305,MATCH(K492,'04_KE_HOACH_CD'!$G$6:$G$305,0)),0),IF(OR(N492="PRODUCTION",N492="REWORK"),IFERROR(INDEX('04_KE_HOACH_CD'!$L$6:$L$305,MATCH(K492,'04_KE_HOACH_CD'!$G$6:$G$305,0))*V492,0),0)))</x:f>
      </x:c>
      <x:c r="AC492" s="39" t="str">
        <x:f>IF(A492="","",MAX(0,(P492-O492)*1440-Q492))</x:f>
      </x:c>
      <x:c r="AD492" s="37" t="str">
        <x:f>IF(A492="","",IFERROR(AB492/AC492,0))</x:f>
      </x:c>
      <x:c r="AE492" s="33" t="str">
        <x:f>IF(A492="","",AC492/60*SUMIF(DM_NHAN_SU!$A$6:$A$105,L492,DM_NHAN_SU!$E$6:$E$105))</x:f>
      </x:c>
      <x:c r="AF492" s="33" t="str">
        <x:f>IF(A492="","",AC492/60*SUMIF(DM_MAY!$A$6:$A$105,M492,DM_MAY!$F$6:$F$105))</x:f>
      </x:c>
      <x:c r="AG492" s="33" t="str">
        <x:f>IF(A492="","",AE492+AF492)</x:f>
      </x:c>
      <x:c r="AH492" s="21"/>
      <x:c r="AI492" s="29" t="str">
        <x:f>IF(A492="","",IF(OR(B492="",D492="",E492="",I492="",L492="",N492="",O492="",P492=""),"Thiếu dữ liệu",IF(AND(OR(N492="PRODUCTION",N492="REWORK",N492="SETUP"),M492=""),"Thiếu máy",IF(P492&lt;O492,"Sai thời gian",IF(AA492&lt;&gt;0,"Sai cân đối SL","Hợp lệ")))))</x:f>
      </x:c>
      <x:c r="AJ492" s="21"/>
    </x:row>
    <x:row r="493">
      <x:c r="A493" s="21"/>
      <x:c r="B493" s="35"/>
      <x:c r="C493" s="21"/>
      <x:c r="D493" s="21"/>
      <x:c r="E493" s="21"/>
      <x:c r="F493" s="21"/>
      <x:c r="G493" s="21"/>
      <x:c r="H493" s="29" t="str">
        <x:f>IF(OR(D493="",E493=""),"",D493&amp;"|"&amp;E493&amp;"|"&amp;IF(F493="","00",F493)&amp;"|"&amp;IF(G493="","01",G493))</x:f>
      </x:c>
      <x:c r="I493" s="21"/>
      <x:c r="J493" s="29" t="str">
        <x:f>IF(K493="","",IFERROR(INDEX('04_KE_HOACH_CD'!$I$6:$I$305,MATCH(K493,'04_KE_HOACH_CD'!$G$6:$G$305,0)),""))</x:f>
      </x:c>
      <x:c r="K493" s="29" t="str">
        <x:f>IF(OR(H493="",I493=""),"",H493&amp;"|"&amp;TEXT(I493,"000"))</x:f>
      </x:c>
      <x:c r="L493" s="21"/>
      <x:c r="M493" s="21"/>
      <x:c r="N493" s="21"/>
      <x:c r="O493" s="43"/>
      <x:c r="P493" s="43"/>
      <x:c r="Q493" s="25"/>
      <x:c r="R493" s="25"/>
      <x:c r="S493" s="39" t="str">
        <x:f>IF(A493="","",SUMIF('07_DUNG_CHO'!$B$6:$B$505,A493,'07_DUNG_CHO'!$E$6:$E$505))</x:f>
      </x:c>
      <x:c r="T493" s="39" t="str">
        <x:f>IF(A493="","",IF(N493="SETUP",0,MAX(0,(P493-O493)*1440-Q493-S493)))</x:f>
      </x:c>
      <x:c r="U493" s="25"/>
      <x:c r="V493" s="25"/>
      <x:c r="W493" s="25"/>
      <x:c r="X493" s="25"/>
      <x:c r="Y493" s="25"/>
      <x:c r="Z493" s="25"/>
      <x:c r="AA493" s="39" t="str">
        <x:f>IF(A493="","",U493-SUM(V493,X493:Z493))</x:f>
      </x:c>
      <x:c r="AB493" s="39" t="str">
        <x:f>IF(A493="","",IF(N493="SETUP",IFERROR(INDEX('04_KE_HOACH_CD'!$K$6:$K$305,MATCH(K493,'04_KE_HOACH_CD'!$G$6:$G$305,0)),0),IF(OR(N493="PRODUCTION",N493="REWORK"),IFERROR(INDEX('04_KE_HOACH_CD'!$L$6:$L$305,MATCH(K493,'04_KE_HOACH_CD'!$G$6:$G$305,0))*V493,0),0)))</x:f>
      </x:c>
      <x:c r="AC493" s="39" t="str">
        <x:f>IF(A493="","",MAX(0,(P493-O493)*1440-Q493))</x:f>
      </x:c>
      <x:c r="AD493" s="37" t="str">
        <x:f>IF(A493="","",IFERROR(AB493/AC493,0))</x:f>
      </x:c>
      <x:c r="AE493" s="33" t="str">
        <x:f>IF(A493="","",AC493/60*SUMIF(DM_NHAN_SU!$A$6:$A$105,L493,DM_NHAN_SU!$E$6:$E$105))</x:f>
      </x:c>
      <x:c r="AF493" s="33" t="str">
        <x:f>IF(A493="","",AC493/60*SUMIF(DM_MAY!$A$6:$A$105,M493,DM_MAY!$F$6:$F$105))</x:f>
      </x:c>
      <x:c r="AG493" s="33" t="str">
        <x:f>IF(A493="","",AE493+AF493)</x:f>
      </x:c>
      <x:c r="AH493" s="21"/>
      <x:c r="AI493" s="29" t="str">
        <x:f>IF(A493="","",IF(OR(B493="",D493="",E493="",I493="",L493="",N493="",O493="",P493=""),"Thiếu dữ liệu",IF(AND(OR(N493="PRODUCTION",N493="REWORK",N493="SETUP"),M493=""),"Thiếu máy",IF(P493&lt;O493,"Sai thời gian",IF(AA493&lt;&gt;0,"Sai cân đối SL","Hợp lệ")))))</x:f>
      </x:c>
      <x:c r="AJ493" s="21"/>
    </x:row>
    <x:row r="494">
      <x:c r="A494" s="21"/>
      <x:c r="B494" s="35"/>
      <x:c r="C494" s="21"/>
      <x:c r="D494" s="21"/>
      <x:c r="E494" s="21"/>
      <x:c r="F494" s="21"/>
      <x:c r="G494" s="21"/>
      <x:c r="H494" s="29" t="str">
        <x:f>IF(OR(D494="",E494=""),"",D494&amp;"|"&amp;E494&amp;"|"&amp;IF(F494="","00",F494)&amp;"|"&amp;IF(G494="","01",G494))</x:f>
      </x:c>
      <x:c r="I494" s="21"/>
      <x:c r="J494" s="29" t="str">
        <x:f>IF(K494="","",IFERROR(INDEX('04_KE_HOACH_CD'!$I$6:$I$305,MATCH(K494,'04_KE_HOACH_CD'!$G$6:$G$305,0)),""))</x:f>
      </x:c>
      <x:c r="K494" s="29" t="str">
        <x:f>IF(OR(H494="",I494=""),"",H494&amp;"|"&amp;TEXT(I494,"000"))</x:f>
      </x:c>
      <x:c r="L494" s="21"/>
      <x:c r="M494" s="21"/>
      <x:c r="N494" s="21"/>
      <x:c r="O494" s="43"/>
      <x:c r="P494" s="43"/>
      <x:c r="Q494" s="25"/>
      <x:c r="R494" s="25"/>
      <x:c r="S494" s="39" t="str">
        <x:f>IF(A494="","",SUMIF('07_DUNG_CHO'!$B$6:$B$505,A494,'07_DUNG_CHO'!$E$6:$E$505))</x:f>
      </x:c>
      <x:c r="T494" s="39" t="str">
        <x:f>IF(A494="","",IF(N494="SETUP",0,MAX(0,(P494-O494)*1440-Q494-S494)))</x:f>
      </x:c>
      <x:c r="U494" s="25"/>
      <x:c r="V494" s="25"/>
      <x:c r="W494" s="25"/>
      <x:c r="X494" s="25"/>
      <x:c r="Y494" s="25"/>
      <x:c r="Z494" s="25"/>
      <x:c r="AA494" s="39" t="str">
        <x:f>IF(A494="","",U494-SUM(V494,X494:Z494))</x:f>
      </x:c>
      <x:c r="AB494" s="39" t="str">
        <x:f>IF(A494="","",IF(N494="SETUP",IFERROR(INDEX('04_KE_HOACH_CD'!$K$6:$K$305,MATCH(K494,'04_KE_HOACH_CD'!$G$6:$G$305,0)),0),IF(OR(N494="PRODUCTION",N494="REWORK"),IFERROR(INDEX('04_KE_HOACH_CD'!$L$6:$L$305,MATCH(K494,'04_KE_HOACH_CD'!$G$6:$G$305,0))*V494,0),0)))</x:f>
      </x:c>
      <x:c r="AC494" s="39" t="str">
        <x:f>IF(A494="","",MAX(0,(P494-O494)*1440-Q494))</x:f>
      </x:c>
      <x:c r="AD494" s="37" t="str">
        <x:f>IF(A494="","",IFERROR(AB494/AC494,0))</x:f>
      </x:c>
      <x:c r="AE494" s="33" t="str">
        <x:f>IF(A494="","",AC494/60*SUMIF(DM_NHAN_SU!$A$6:$A$105,L494,DM_NHAN_SU!$E$6:$E$105))</x:f>
      </x:c>
      <x:c r="AF494" s="33" t="str">
        <x:f>IF(A494="","",AC494/60*SUMIF(DM_MAY!$A$6:$A$105,M494,DM_MAY!$F$6:$F$105))</x:f>
      </x:c>
      <x:c r="AG494" s="33" t="str">
        <x:f>IF(A494="","",AE494+AF494)</x:f>
      </x:c>
      <x:c r="AH494" s="21"/>
      <x:c r="AI494" s="29" t="str">
        <x:f>IF(A494="","",IF(OR(B494="",D494="",E494="",I494="",L494="",N494="",O494="",P494=""),"Thiếu dữ liệu",IF(AND(OR(N494="PRODUCTION",N494="REWORK",N494="SETUP"),M494=""),"Thiếu máy",IF(P494&lt;O494,"Sai thời gian",IF(AA494&lt;&gt;0,"Sai cân đối SL","Hợp lệ")))))</x:f>
      </x:c>
      <x:c r="AJ494" s="21"/>
    </x:row>
    <x:row r="495">
      <x:c r="A495" s="21"/>
      <x:c r="B495" s="35"/>
      <x:c r="C495" s="21"/>
      <x:c r="D495" s="21"/>
      <x:c r="E495" s="21"/>
      <x:c r="F495" s="21"/>
      <x:c r="G495" s="21"/>
      <x:c r="H495" s="29" t="str">
        <x:f>IF(OR(D495="",E495=""),"",D495&amp;"|"&amp;E495&amp;"|"&amp;IF(F495="","00",F495)&amp;"|"&amp;IF(G495="","01",G495))</x:f>
      </x:c>
      <x:c r="I495" s="21"/>
      <x:c r="J495" s="29" t="str">
        <x:f>IF(K495="","",IFERROR(INDEX('04_KE_HOACH_CD'!$I$6:$I$305,MATCH(K495,'04_KE_HOACH_CD'!$G$6:$G$305,0)),""))</x:f>
      </x:c>
      <x:c r="K495" s="29" t="str">
        <x:f>IF(OR(H495="",I495=""),"",H495&amp;"|"&amp;TEXT(I495,"000"))</x:f>
      </x:c>
      <x:c r="L495" s="21"/>
      <x:c r="M495" s="21"/>
      <x:c r="N495" s="21"/>
      <x:c r="O495" s="43"/>
      <x:c r="P495" s="43"/>
      <x:c r="Q495" s="25"/>
      <x:c r="R495" s="25"/>
      <x:c r="S495" s="39" t="str">
        <x:f>IF(A495="","",SUMIF('07_DUNG_CHO'!$B$6:$B$505,A495,'07_DUNG_CHO'!$E$6:$E$505))</x:f>
      </x:c>
      <x:c r="T495" s="39" t="str">
        <x:f>IF(A495="","",IF(N495="SETUP",0,MAX(0,(P495-O495)*1440-Q495-S495)))</x:f>
      </x:c>
      <x:c r="U495" s="25"/>
      <x:c r="V495" s="25"/>
      <x:c r="W495" s="25"/>
      <x:c r="X495" s="25"/>
      <x:c r="Y495" s="25"/>
      <x:c r="Z495" s="25"/>
      <x:c r="AA495" s="39" t="str">
        <x:f>IF(A495="","",U495-SUM(V495,X495:Z495))</x:f>
      </x:c>
      <x:c r="AB495" s="39" t="str">
        <x:f>IF(A495="","",IF(N495="SETUP",IFERROR(INDEX('04_KE_HOACH_CD'!$K$6:$K$305,MATCH(K495,'04_KE_HOACH_CD'!$G$6:$G$305,0)),0),IF(OR(N495="PRODUCTION",N495="REWORK"),IFERROR(INDEX('04_KE_HOACH_CD'!$L$6:$L$305,MATCH(K495,'04_KE_HOACH_CD'!$G$6:$G$305,0))*V495,0),0)))</x:f>
      </x:c>
      <x:c r="AC495" s="39" t="str">
        <x:f>IF(A495="","",MAX(0,(P495-O495)*1440-Q495))</x:f>
      </x:c>
      <x:c r="AD495" s="37" t="str">
        <x:f>IF(A495="","",IFERROR(AB495/AC495,0))</x:f>
      </x:c>
      <x:c r="AE495" s="33" t="str">
        <x:f>IF(A495="","",AC495/60*SUMIF(DM_NHAN_SU!$A$6:$A$105,L495,DM_NHAN_SU!$E$6:$E$105))</x:f>
      </x:c>
      <x:c r="AF495" s="33" t="str">
        <x:f>IF(A495="","",AC495/60*SUMIF(DM_MAY!$A$6:$A$105,M495,DM_MAY!$F$6:$F$105))</x:f>
      </x:c>
      <x:c r="AG495" s="33" t="str">
        <x:f>IF(A495="","",AE495+AF495)</x:f>
      </x:c>
      <x:c r="AH495" s="21"/>
      <x:c r="AI495" s="29" t="str">
        <x:f>IF(A495="","",IF(OR(B495="",D495="",E495="",I495="",L495="",N495="",O495="",P495=""),"Thiếu dữ liệu",IF(AND(OR(N495="PRODUCTION",N495="REWORK",N495="SETUP"),M495=""),"Thiếu máy",IF(P495&lt;O495,"Sai thời gian",IF(AA495&lt;&gt;0,"Sai cân đối SL","Hợp lệ")))))</x:f>
      </x:c>
      <x:c r="AJ495" s="21"/>
    </x:row>
    <x:row r="496">
      <x:c r="A496" s="21"/>
      <x:c r="B496" s="35"/>
      <x:c r="C496" s="21"/>
      <x:c r="D496" s="21"/>
      <x:c r="E496" s="21"/>
      <x:c r="F496" s="21"/>
      <x:c r="G496" s="21"/>
      <x:c r="H496" s="29" t="str">
        <x:f>IF(OR(D496="",E496=""),"",D496&amp;"|"&amp;E496&amp;"|"&amp;IF(F496="","00",F496)&amp;"|"&amp;IF(G496="","01",G496))</x:f>
      </x:c>
      <x:c r="I496" s="21"/>
      <x:c r="J496" s="29" t="str">
        <x:f>IF(K496="","",IFERROR(INDEX('04_KE_HOACH_CD'!$I$6:$I$305,MATCH(K496,'04_KE_HOACH_CD'!$G$6:$G$305,0)),""))</x:f>
      </x:c>
      <x:c r="K496" s="29" t="str">
        <x:f>IF(OR(H496="",I496=""),"",H496&amp;"|"&amp;TEXT(I496,"000"))</x:f>
      </x:c>
      <x:c r="L496" s="21"/>
      <x:c r="M496" s="21"/>
      <x:c r="N496" s="21"/>
      <x:c r="O496" s="43"/>
      <x:c r="P496" s="43"/>
      <x:c r="Q496" s="25"/>
      <x:c r="R496" s="25"/>
      <x:c r="S496" s="39" t="str">
        <x:f>IF(A496="","",SUMIF('07_DUNG_CHO'!$B$6:$B$505,A496,'07_DUNG_CHO'!$E$6:$E$505))</x:f>
      </x:c>
      <x:c r="T496" s="39" t="str">
        <x:f>IF(A496="","",IF(N496="SETUP",0,MAX(0,(P496-O496)*1440-Q496-S496)))</x:f>
      </x:c>
      <x:c r="U496" s="25"/>
      <x:c r="V496" s="25"/>
      <x:c r="W496" s="25"/>
      <x:c r="X496" s="25"/>
      <x:c r="Y496" s="25"/>
      <x:c r="Z496" s="25"/>
      <x:c r="AA496" s="39" t="str">
        <x:f>IF(A496="","",U496-SUM(V496,X496:Z496))</x:f>
      </x:c>
      <x:c r="AB496" s="39" t="str">
        <x:f>IF(A496="","",IF(N496="SETUP",IFERROR(INDEX('04_KE_HOACH_CD'!$K$6:$K$305,MATCH(K496,'04_KE_HOACH_CD'!$G$6:$G$305,0)),0),IF(OR(N496="PRODUCTION",N496="REWORK"),IFERROR(INDEX('04_KE_HOACH_CD'!$L$6:$L$305,MATCH(K496,'04_KE_HOACH_CD'!$G$6:$G$305,0))*V496,0),0)))</x:f>
      </x:c>
      <x:c r="AC496" s="39" t="str">
        <x:f>IF(A496="","",MAX(0,(P496-O496)*1440-Q496))</x:f>
      </x:c>
      <x:c r="AD496" s="37" t="str">
        <x:f>IF(A496="","",IFERROR(AB496/AC496,0))</x:f>
      </x:c>
      <x:c r="AE496" s="33" t="str">
        <x:f>IF(A496="","",AC496/60*SUMIF(DM_NHAN_SU!$A$6:$A$105,L496,DM_NHAN_SU!$E$6:$E$105))</x:f>
      </x:c>
      <x:c r="AF496" s="33" t="str">
        <x:f>IF(A496="","",AC496/60*SUMIF(DM_MAY!$A$6:$A$105,M496,DM_MAY!$F$6:$F$105))</x:f>
      </x:c>
      <x:c r="AG496" s="33" t="str">
        <x:f>IF(A496="","",AE496+AF496)</x:f>
      </x:c>
      <x:c r="AH496" s="21"/>
      <x:c r="AI496" s="29" t="str">
        <x:f>IF(A496="","",IF(OR(B496="",D496="",E496="",I496="",L496="",N496="",O496="",P496=""),"Thiếu dữ liệu",IF(AND(OR(N496="PRODUCTION",N496="REWORK",N496="SETUP"),M496=""),"Thiếu máy",IF(P496&lt;O496,"Sai thời gian",IF(AA496&lt;&gt;0,"Sai cân đối SL","Hợp lệ")))))</x:f>
      </x:c>
      <x:c r="AJ496" s="21"/>
    </x:row>
    <x:row r="497">
      <x:c r="A497" s="21"/>
      <x:c r="B497" s="35"/>
      <x:c r="C497" s="21"/>
      <x:c r="D497" s="21"/>
      <x:c r="E497" s="21"/>
      <x:c r="F497" s="21"/>
      <x:c r="G497" s="21"/>
      <x:c r="H497" s="29" t="str">
        <x:f>IF(OR(D497="",E497=""),"",D497&amp;"|"&amp;E497&amp;"|"&amp;IF(F497="","00",F497)&amp;"|"&amp;IF(G497="","01",G497))</x:f>
      </x:c>
      <x:c r="I497" s="21"/>
      <x:c r="J497" s="29" t="str">
        <x:f>IF(K497="","",IFERROR(INDEX('04_KE_HOACH_CD'!$I$6:$I$305,MATCH(K497,'04_KE_HOACH_CD'!$G$6:$G$305,0)),""))</x:f>
      </x:c>
      <x:c r="K497" s="29" t="str">
        <x:f>IF(OR(H497="",I497=""),"",H497&amp;"|"&amp;TEXT(I497,"000"))</x:f>
      </x:c>
      <x:c r="L497" s="21"/>
      <x:c r="M497" s="21"/>
      <x:c r="N497" s="21"/>
      <x:c r="O497" s="43"/>
      <x:c r="P497" s="43"/>
      <x:c r="Q497" s="25"/>
      <x:c r="R497" s="25"/>
      <x:c r="S497" s="39" t="str">
        <x:f>IF(A497="","",SUMIF('07_DUNG_CHO'!$B$6:$B$505,A497,'07_DUNG_CHO'!$E$6:$E$505))</x:f>
      </x:c>
      <x:c r="T497" s="39" t="str">
        <x:f>IF(A497="","",IF(N497="SETUP",0,MAX(0,(P497-O497)*1440-Q497-S497)))</x:f>
      </x:c>
      <x:c r="U497" s="25"/>
      <x:c r="V497" s="25"/>
      <x:c r="W497" s="25"/>
      <x:c r="X497" s="25"/>
      <x:c r="Y497" s="25"/>
      <x:c r="Z497" s="25"/>
      <x:c r="AA497" s="39" t="str">
        <x:f>IF(A497="","",U497-SUM(V497,X497:Z497))</x:f>
      </x:c>
      <x:c r="AB497" s="39" t="str">
        <x:f>IF(A497="","",IF(N497="SETUP",IFERROR(INDEX('04_KE_HOACH_CD'!$K$6:$K$305,MATCH(K497,'04_KE_HOACH_CD'!$G$6:$G$305,0)),0),IF(OR(N497="PRODUCTION",N497="REWORK"),IFERROR(INDEX('04_KE_HOACH_CD'!$L$6:$L$305,MATCH(K497,'04_KE_HOACH_CD'!$G$6:$G$305,0))*V497,0),0)))</x:f>
      </x:c>
      <x:c r="AC497" s="39" t="str">
        <x:f>IF(A497="","",MAX(0,(P497-O497)*1440-Q497))</x:f>
      </x:c>
      <x:c r="AD497" s="37" t="str">
        <x:f>IF(A497="","",IFERROR(AB497/AC497,0))</x:f>
      </x:c>
      <x:c r="AE497" s="33" t="str">
        <x:f>IF(A497="","",AC497/60*SUMIF(DM_NHAN_SU!$A$6:$A$105,L497,DM_NHAN_SU!$E$6:$E$105))</x:f>
      </x:c>
      <x:c r="AF497" s="33" t="str">
        <x:f>IF(A497="","",AC497/60*SUMIF(DM_MAY!$A$6:$A$105,M497,DM_MAY!$F$6:$F$105))</x:f>
      </x:c>
      <x:c r="AG497" s="33" t="str">
        <x:f>IF(A497="","",AE497+AF497)</x:f>
      </x:c>
      <x:c r="AH497" s="21"/>
      <x:c r="AI497" s="29" t="str">
        <x:f>IF(A497="","",IF(OR(B497="",D497="",E497="",I497="",L497="",N497="",O497="",P497=""),"Thiếu dữ liệu",IF(AND(OR(N497="PRODUCTION",N497="REWORK",N497="SETUP"),M497=""),"Thiếu máy",IF(P497&lt;O497,"Sai thời gian",IF(AA497&lt;&gt;0,"Sai cân đối SL","Hợp lệ")))))</x:f>
      </x:c>
      <x:c r="AJ497" s="21"/>
    </x:row>
    <x:row r="498">
      <x:c r="A498" s="21"/>
      <x:c r="B498" s="35"/>
      <x:c r="C498" s="21"/>
      <x:c r="D498" s="21"/>
      <x:c r="E498" s="21"/>
      <x:c r="F498" s="21"/>
      <x:c r="G498" s="21"/>
      <x:c r="H498" s="29" t="str">
        <x:f>IF(OR(D498="",E498=""),"",D498&amp;"|"&amp;E498&amp;"|"&amp;IF(F498="","00",F498)&amp;"|"&amp;IF(G498="","01",G498))</x:f>
      </x:c>
      <x:c r="I498" s="21"/>
      <x:c r="J498" s="29" t="str">
        <x:f>IF(K498="","",IFERROR(INDEX('04_KE_HOACH_CD'!$I$6:$I$305,MATCH(K498,'04_KE_HOACH_CD'!$G$6:$G$305,0)),""))</x:f>
      </x:c>
      <x:c r="K498" s="29" t="str">
        <x:f>IF(OR(H498="",I498=""),"",H498&amp;"|"&amp;TEXT(I498,"000"))</x:f>
      </x:c>
      <x:c r="L498" s="21"/>
      <x:c r="M498" s="21"/>
      <x:c r="N498" s="21"/>
      <x:c r="O498" s="43"/>
      <x:c r="P498" s="43"/>
      <x:c r="Q498" s="25"/>
      <x:c r="R498" s="25"/>
      <x:c r="S498" s="39" t="str">
        <x:f>IF(A498="","",SUMIF('07_DUNG_CHO'!$B$6:$B$505,A498,'07_DUNG_CHO'!$E$6:$E$505))</x:f>
      </x:c>
      <x:c r="T498" s="39" t="str">
        <x:f>IF(A498="","",IF(N498="SETUP",0,MAX(0,(P498-O498)*1440-Q498-S498)))</x:f>
      </x:c>
      <x:c r="U498" s="25"/>
      <x:c r="V498" s="25"/>
      <x:c r="W498" s="25"/>
      <x:c r="X498" s="25"/>
      <x:c r="Y498" s="25"/>
      <x:c r="Z498" s="25"/>
      <x:c r="AA498" s="39" t="str">
        <x:f>IF(A498="","",U498-SUM(V498,X498:Z498))</x:f>
      </x:c>
      <x:c r="AB498" s="39" t="str">
        <x:f>IF(A498="","",IF(N498="SETUP",IFERROR(INDEX('04_KE_HOACH_CD'!$K$6:$K$305,MATCH(K498,'04_KE_HOACH_CD'!$G$6:$G$305,0)),0),IF(OR(N498="PRODUCTION",N498="REWORK"),IFERROR(INDEX('04_KE_HOACH_CD'!$L$6:$L$305,MATCH(K498,'04_KE_HOACH_CD'!$G$6:$G$305,0))*V498,0),0)))</x:f>
      </x:c>
      <x:c r="AC498" s="39" t="str">
        <x:f>IF(A498="","",MAX(0,(P498-O498)*1440-Q498))</x:f>
      </x:c>
      <x:c r="AD498" s="37" t="str">
        <x:f>IF(A498="","",IFERROR(AB498/AC498,0))</x:f>
      </x:c>
      <x:c r="AE498" s="33" t="str">
        <x:f>IF(A498="","",AC498/60*SUMIF(DM_NHAN_SU!$A$6:$A$105,L498,DM_NHAN_SU!$E$6:$E$105))</x:f>
      </x:c>
      <x:c r="AF498" s="33" t="str">
        <x:f>IF(A498="","",AC498/60*SUMIF(DM_MAY!$A$6:$A$105,M498,DM_MAY!$F$6:$F$105))</x:f>
      </x:c>
      <x:c r="AG498" s="33" t="str">
        <x:f>IF(A498="","",AE498+AF498)</x:f>
      </x:c>
      <x:c r="AH498" s="21"/>
      <x:c r="AI498" s="29" t="str">
        <x:f>IF(A498="","",IF(OR(B498="",D498="",E498="",I498="",L498="",N498="",O498="",P498=""),"Thiếu dữ liệu",IF(AND(OR(N498="PRODUCTION",N498="REWORK",N498="SETUP"),M498=""),"Thiếu máy",IF(P498&lt;O498,"Sai thời gian",IF(AA498&lt;&gt;0,"Sai cân đối SL","Hợp lệ")))))</x:f>
      </x:c>
      <x:c r="AJ498" s="21"/>
    </x:row>
    <x:row r="499">
      <x:c r="A499" s="21"/>
      <x:c r="B499" s="35"/>
      <x:c r="C499" s="21"/>
      <x:c r="D499" s="21"/>
      <x:c r="E499" s="21"/>
      <x:c r="F499" s="21"/>
      <x:c r="G499" s="21"/>
      <x:c r="H499" s="29" t="str">
        <x:f>IF(OR(D499="",E499=""),"",D499&amp;"|"&amp;E499&amp;"|"&amp;IF(F499="","00",F499)&amp;"|"&amp;IF(G499="","01",G499))</x:f>
      </x:c>
      <x:c r="I499" s="21"/>
      <x:c r="J499" s="29" t="str">
        <x:f>IF(K499="","",IFERROR(INDEX('04_KE_HOACH_CD'!$I$6:$I$305,MATCH(K499,'04_KE_HOACH_CD'!$G$6:$G$305,0)),""))</x:f>
      </x:c>
      <x:c r="K499" s="29" t="str">
        <x:f>IF(OR(H499="",I499=""),"",H499&amp;"|"&amp;TEXT(I499,"000"))</x:f>
      </x:c>
      <x:c r="L499" s="21"/>
      <x:c r="M499" s="21"/>
      <x:c r="N499" s="21"/>
      <x:c r="O499" s="43"/>
      <x:c r="P499" s="43"/>
      <x:c r="Q499" s="25"/>
      <x:c r="R499" s="25"/>
      <x:c r="S499" s="39" t="str">
        <x:f>IF(A499="","",SUMIF('07_DUNG_CHO'!$B$6:$B$505,A499,'07_DUNG_CHO'!$E$6:$E$505))</x:f>
      </x:c>
      <x:c r="T499" s="39" t="str">
        <x:f>IF(A499="","",IF(N499="SETUP",0,MAX(0,(P499-O499)*1440-Q499-S499)))</x:f>
      </x:c>
      <x:c r="U499" s="25"/>
      <x:c r="V499" s="25"/>
      <x:c r="W499" s="25"/>
      <x:c r="X499" s="25"/>
      <x:c r="Y499" s="25"/>
      <x:c r="Z499" s="25"/>
      <x:c r="AA499" s="39" t="str">
        <x:f>IF(A499="","",U499-SUM(V499,X499:Z499))</x:f>
      </x:c>
      <x:c r="AB499" s="39" t="str">
        <x:f>IF(A499="","",IF(N499="SETUP",IFERROR(INDEX('04_KE_HOACH_CD'!$K$6:$K$305,MATCH(K499,'04_KE_HOACH_CD'!$G$6:$G$305,0)),0),IF(OR(N499="PRODUCTION",N499="REWORK"),IFERROR(INDEX('04_KE_HOACH_CD'!$L$6:$L$305,MATCH(K499,'04_KE_HOACH_CD'!$G$6:$G$305,0))*V499,0),0)))</x:f>
      </x:c>
      <x:c r="AC499" s="39" t="str">
        <x:f>IF(A499="","",MAX(0,(P499-O499)*1440-Q499))</x:f>
      </x:c>
      <x:c r="AD499" s="37" t="str">
        <x:f>IF(A499="","",IFERROR(AB499/AC499,0))</x:f>
      </x:c>
      <x:c r="AE499" s="33" t="str">
        <x:f>IF(A499="","",AC499/60*SUMIF(DM_NHAN_SU!$A$6:$A$105,L499,DM_NHAN_SU!$E$6:$E$105))</x:f>
      </x:c>
      <x:c r="AF499" s="33" t="str">
        <x:f>IF(A499="","",AC499/60*SUMIF(DM_MAY!$A$6:$A$105,M499,DM_MAY!$F$6:$F$105))</x:f>
      </x:c>
      <x:c r="AG499" s="33" t="str">
        <x:f>IF(A499="","",AE499+AF499)</x:f>
      </x:c>
      <x:c r="AH499" s="21"/>
      <x:c r="AI499" s="29" t="str">
        <x:f>IF(A499="","",IF(OR(B499="",D499="",E499="",I499="",L499="",N499="",O499="",P499=""),"Thiếu dữ liệu",IF(AND(OR(N499="PRODUCTION",N499="REWORK",N499="SETUP"),M499=""),"Thiếu máy",IF(P499&lt;O499,"Sai thời gian",IF(AA499&lt;&gt;0,"Sai cân đối SL","Hợp lệ")))))</x:f>
      </x:c>
      <x:c r="AJ499" s="21"/>
    </x:row>
    <x:row r="500">
      <x:c r="A500" s="21"/>
      <x:c r="B500" s="35"/>
      <x:c r="C500" s="21"/>
      <x:c r="D500" s="21"/>
      <x:c r="E500" s="21"/>
      <x:c r="F500" s="21"/>
      <x:c r="G500" s="21"/>
      <x:c r="H500" s="29" t="str">
        <x:f>IF(OR(D500="",E500=""),"",D500&amp;"|"&amp;E500&amp;"|"&amp;IF(F500="","00",F500)&amp;"|"&amp;IF(G500="","01",G500))</x:f>
      </x:c>
      <x:c r="I500" s="21"/>
      <x:c r="J500" s="29" t="str">
        <x:f>IF(K500="","",IFERROR(INDEX('04_KE_HOACH_CD'!$I$6:$I$305,MATCH(K500,'04_KE_HOACH_CD'!$G$6:$G$305,0)),""))</x:f>
      </x:c>
      <x:c r="K500" s="29" t="str">
        <x:f>IF(OR(H500="",I500=""),"",H500&amp;"|"&amp;TEXT(I500,"000"))</x:f>
      </x:c>
      <x:c r="L500" s="21"/>
      <x:c r="M500" s="21"/>
      <x:c r="N500" s="21"/>
      <x:c r="O500" s="43"/>
      <x:c r="P500" s="43"/>
      <x:c r="Q500" s="25"/>
      <x:c r="R500" s="25"/>
      <x:c r="S500" s="39" t="str">
        <x:f>IF(A500="","",SUMIF('07_DUNG_CHO'!$B$6:$B$505,A500,'07_DUNG_CHO'!$E$6:$E$505))</x:f>
      </x:c>
      <x:c r="T500" s="39" t="str">
        <x:f>IF(A500="","",IF(N500="SETUP",0,MAX(0,(P500-O500)*1440-Q500-S500)))</x:f>
      </x:c>
      <x:c r="U500" s="25"/>
      <x:c r="V500" s="25"/>
      <x:c r="W500" s="25"/>
      <x:c r="X500" s="25"/>
      <x:c r="Y500" s="25"/>
      <x:c r="Z500" s="25"/>
      <x:c r="AA500" s="39" t="str">
        <x:f>IF(A500="","",U500-SUM(V500,X500:Z500))</x:f>
      </x:c>
      <x:c r="AB500" s="39" t="str">
        <x:f>IF(A500="","",IF(N500="SETUP",IFERROR(INDEX('04_KE_HOACH_CD'!$K$6:$K$305,MATCH(K500,'04_KE_HOACH_CD'!$G$6:$G$305,0)),0),IF(OR(N500="PRODUCTION",N500="REWORK"),IFERROR(INDEX('04_KE_HOACH_CD'!$L$6:$L$305,MATCH(K500,'04_KE_HOACH_CD'!$G$6:$G$305,0))*V500,0),0)))</x:f>
      </x:c>
      <x:c r="AC500" s="39" t="str">
        <x:f>IF(A500="","",MAX(0,(P500-O500)*1440-Q500))</x:f>
      </x:c>
      <x:c r="AD500" s="37" t="str">
        <x:f>IF(A500="","",IFERROR(AB500/AC500,0))</x:f>
      </x:c>
      <x:c r="AE500" s="33" t="str">
        <x:f>IF(A500="","",AC500/60*SUMIF(DM_NHAN_SU!$A$6:$A$105,L500,DM_NHAN_SU!$E$6:$E$105))</x:f>
      </x:c>
      <x:c r="AF500" s="33" t="str">
        <x:f>IF(A500="","",AC500/60*SUMIF(DM_MAY!$A$6:$A$105,M500,DM_MAY!$F$6:$F$105))</x:f>
      </x:c>
      <x:c r="AG500" s="33" t="str">
        <x:f>IF(A500="","",AE500+AF500)</x:f>
      </x:c>
      <x:c r="AH500" s="21"/>
      <x:c r="AI500" s="29" t="str">
        <x:f>IF(A500="","",IF(OR(B500="",D500="",E500="",I500="",L500="",N500="",O500="",P500=""),"Thiếu dữ liệu",IF(AND(OR(N500="PRODUCTION",N500="REWORK",N500="SETUP"),M500=""),"Thiếu máy",IF(P500&lt;O500,"Sai thời gian",IF(AA500&lt;&gt;0,"Sai cân đối SL","Hợp lệ")))))</x:f>
      </x:c>
      <x:c r="AJ500" s="21"/>
    </x:row>
    <x:row r="501">
      <x:c r="A501" s="21"/>
      <x:c r="B501" s="35"/>
      <x:c r="C501" s="21"/>
      <x:c r="D501" s="21"/>
      <x:c r="E501" s="21"/>
      <x:c r="F501" s="21"/>
      <x:c r="G501" s="21"/>
      <x:c r="H501" s="29" t="str">
        <x:f>IF(OR(D501="",E501=""),"",D501&amp;"|"&amp;E501&amp;"|"&amp;IF(F501="","00",F501)&amp;"|"&amp;IF(G501="","01",G501))</x:f>
      </x:c>
      <x:c r="I501" s="21"/>
      <x:c r="J501" s="29" t="str">
        <x:f>IF(K501="","",IFERROR(INDEX('04_KE_HOACH_CD'!$I$6:$I$305,MATCH(K501,'04_KE_HOACH_CD'!$G$6:$G$305,0)),""))</x:f>
      </x:c>
      <x:c r="K501" s="29" t="str">
        <x:f>IF(OR(H501="",I501=""),"",H501&amp;"|"&amp;TEXT(I501,"000"))</x:f>
      </x:c>
      <x:c r="L501" s="21"/>
      <x:c r="M501" s="21"/>
      <x:c r="N501" s="21"/>
      <x:c r="O501" s="43"/>
      <x:c r="P501" s="43"/>
      <x:c r="Q501" s="25"/>
      <x:c r="R501" s="25"/>
      <x:c r="S501" s="39" t="str">
        <x:f>IF(A501="","",SUMIF('07_DUNG_CHO'!$B$6:$B$505,A501,'07_DUNG_CHO'!$E$6:$E$505))</x:f>
      </x:c>
      <x:c r="T501" s="39" t="str">
        <x:f>IF(A501="","",IF(N501="SETUP",0,MAX(0,(P501-O501)*1440-Q501-S501)))</x:f>
      </x:c>
      <x:c r="U501" s="25"/>
      <x:c r="V501" s="25"/>
      <x:c r="W501" s="25"/>
      <x:c r="X501" s="25"/>
      <x:c r="Y501" s="25"/>
      <x:c r="Z501" s="25"/>
      <x:c r="AA501" s="39" t="str">
        <x:f>IF(A501="","",U501-SUM(V501,X501:Z501))</x:f>
      </x:c>
      <x:c r="AB501" s="39" t="str">
        <x:f>IF(A501="","",IF(N501="SETUP",IFERROR(INDEX('04_KE_HOACH_CD'!$K$6:$K$305,MATCH(K501,'04_KE_HOACH_CD'!$G$6:$G$305,0)),0),IF(OR(N501="PRODUCTION",N501="REWORK"),IFERROR(INDEX('04_KE_HOACH_CD'!$L$6:$L$305,MATCH(K501,'04_KE_HOACH_CD'!$G$6:$G$305,0))*V501,0),0)))</x:f>
      </x:c>
      <x:c r="AC501" s="39" t="str">
        <x:f>IF(A501="","",MAX(0,(P501-O501)*1440-Q501))</x:f>
      </x:c>
      <x:c r="AD501" s="37" t="str">
        <x:f>IF(A501="","",IFERROR(AB501/AC501,0))</x:f>
      </x:c>
      <x:c r="AE501" s="33" t="str">
        <x:f>IF(A501="","",AC501/60*SUMIF(DM_NHAN_SU!$A$6:$A$105,L501,DM_NHAN_SU!$E$6:$E$105))</x:f>
      </x:c>
      <x:c r="AF501" s="33" t="str">
        <x:f>IF(A501="","",AC501/60*SUMIF(DM_MAY!$A$6:$A$105,M501,DM_MAY!$F$6:$F$105))</x:f>
      </x:c>
      <x:c r="AG501" s="33" t="str">
        <x:f>IF(A501="","",AE501+AF501)</x:f>
      </x:c>
      <x:c r="AH501" s="21"/>
      <x:c r="AI501" s="29" t="str">
        <x:f>IF(A501="","",IF(OR(B501="",D501="",E501="",I501="",L501="",N501="",O501="",P501=""),"Thiếu dữ liệu",IF(AND(OR(N501="PRODUCTION",N501="REWORK",N501="SETUP"),M501=""),"Thiếu máy",IF(P501&lt;O501,"Sai thời gian",IF(AA501&lt;&gt;0,"Sai cân đối SL","Hợp lệ")))))</x:f>
      </x:c>
      <x:c r="AJ501" s="21"/>
    </x:row>
    <x:row r="502">
      <x:c r="A502" s="21"/>
      <x:c r="B502" s="35"/>
      <x:c r="C502" s="21"/>
      <x:c r="D502" s="21"/>
      <x:c r="E502" s="21"/>
      <x:c r="F502" s="21"/>
      <x:c r="G502" s="21"/>
      <x:c r="H502" s="29" t="str">
        <x:f>IF(OR(D502="",E502=""),"",D502&amp;"|"&amp;E502&amp;"|"&amp;IF(F502="","00",F502)&amp;"|"&amp;IF(G502="","01",G502))</x:f>
      </x:c>
      <x:c r="I502" s="21"/>
      <x:c r="J502" s="29" t="str">
        <x:f>IF(K502="","",IFERROR(INDEX('04_KE_HOACH_CD'!$I$6:$I$305,MATCH(K502,'04_KE_HOACH_CD'!$G$6:$G$305,0)),""))</x:f>
      </x:c>
      <x:c r="K502" s="29" t="str">
        <x:f>IF(OR(H502="",I502=""),"",H502&amp;"|"&amp;TEXT(I502,"000"))</x:f>
      </x:c>
      <x:c r="L502" s="21"/>
      <x:c r="M502" s="21"/>
      <x:c r="N502" s="21"/>
      <x:c r="O502" s="43"/>
      <x:c r="P502" s="43"/>
      <x:c r="Q502" s="25"/>
      <x:c r="R502" s="25"/>
      <x:c r="S502" s="39" t="str">
        <x:f>IF(A502="","",SUMIF('07_DUNG_CHO'!$B$6:$B$505,A502,'07_DUNG_CHO'!$E$6:$E$505))</x:f>
      </x:c>
      <x:c r="T502" s="39" t="str">
        <x:f>IF(A502="","",IF(N502="SETUP",0,MAX(0,(P502-O502)*1440-Q502-S502)))</x:f>
      </x:c>
      <x:c r="U502" s="25"/>
      <x:c r="V502" s="25"/>
      <x:c r="W502" s="25"/>
      <x:c r="X502" s="25"/>
      <x:c r="Y502" s="25"/>
      <x:c r="Z502" s="25"/>
      <x:c r="AA502" s="39" t="str">
        <x:f>IF(A502="","",U502-SUM(V502,X502:Z502))</x:f>
      </x:c>
      <x:c r="AB502" s="39" t="str">
        <x:f>IF(A502="","",IF(N502="SETUP",IFERROR(INDEX('04_KE_HOACH_CD'!$K$6:$K$305,MATCH(K502,'04_KE_HOACH_CD'!$G$6:$G$305,0)),0),IF(OR(N502="PRODUCTION",N502="REWORK"),IFERROR(INDEX('04_KE_HOACH_CD'!$L$6:$L$305,MATCH(K502,'04_KE_HOACH_CD'!$G$6:$G$305,0))*V502,0),0)))</x:f>
      </x:c>
      <x:c r="AC502" s="39" t="str">
        <x:f>IF(A502="","",MAX(0,(P502-O502)*1440-Q502))</x:f>
      </x:c>
      <x:c r="AD502" s="37" t="str">
        <x:f>IF(A502="","",IFERROR(AB502/AC502,0))</x:f>
      </x:c>
      <x:c r="AE502" s="33" t="str">
        <x:f>IF(A502="","",AC502/60*SUMIF(DM_NHAN_SU!$A$6:$A$105,L502,DM_NHAN_SU!$E$6:$E$105))</x:f>
      </x:c>
      <x:c r="AF502" s="33" t="str">
        <x:f>IF(A502="","",AC502/60*SUMIF(DM_MAY!$A$6:$A$105,M502,DM_MAY!$F$6:$F$105))</x:f>
      </x:c>
      <x:c r="AG502" s="33" t="str">
        <x:f>IF(A502="","",AE502+AF502)</x:f>
      </x:c>
      <x:c r="AH502" s="21"/>
      <x:c r="AI502" s="29" t="str">
        <x:f>IF(A502="","",IF(OR(B502="",D502="",E502="",I502="",L502="",N502="",O502="",P502=""),"Thiếu dữ liệu",IF(AND(OR(N502="PRODUCTION",N502="REWORK",N502="SETUP"),M502=""),"Thiếu máy",IF(P502&lt;O502,"Sai thời gian",IF(AA502&lt;&gt;0,"Sai cân đối SL","Hợp lệ")))))</x:f>
      </x:c>
      <x:c r="AJ502" s="21"/>
    </x:row>
    <x:row r="503">
      <x:c r="A503" s="21"/>
      <x:c r="B503" s="35"/>
      <x:c r="C503" s="21"/>
      <x:c r="D503" s="21"/>
      <x:c r="E503" s="21"/>
      <x:c r="F503" s="21"/>
      <x:c r="G503" s="21"/>
      <x:c r="H503" s="29" t="str">
        <x:f>IF(OR(D503="",E503=""),"",D503&amp;"|"&amp;E503&amp;"|"&amp;IF(F503="","00",F503)&amp;"|"&amp;IF(G503="","01",G503))</x:f>
      </x:c>
      <x:c r="I503" s="21"/>
      <x:c r="J503" s="29" t="str">
        <x:f>IF(K503="","",IFERROR(INDEX('04_KE_HOACH_CD'!$I$6:$I$305,MATCH(K503,'04_KE_HOACH_CD'!$G$6:$G$305,0)),""))</x:f>
      </x:c>
      <x:c r="K503" s="29" t="str">
        <x:f>IF(OR(H503="",I503=""),"",H503&amp;"|"&amp;TEXT(I503,"000"))</x:f>
      </x:c>
      <x:c r="L503" s="21"/>
      <x:c r="M503" s="21"/>
      <x:c r="N503" s="21"/>
      <x:c r="O503" s="43"/>
      <x:c r="P503" s="43"/>
      <x:c r="Q503" s="25"/>
      <x:c r="R503" s="25"/>
      <x:c r="S503" s="39" t="str">
        <x:f>IF(A503="","",SUMIF('07_DUNG_CHO'!$B$6:$B$505,A503,'07_DUNG_CHO'!$E$6:$E$505))</x:f>
      </x:c>
      <x:c r="T503" s="39" t="str">
        <x:f>IF(A503="","",IF(N503="SETUP",0,MAX(0,(P503-O503)*1440-Q503-S503)))</x:f>
      </x:c>
      <x:c r="U503" s="25"/>
      <x:c r="V503" s="25"/>
      <x:c r="W503" s="25"/>
      <x:c r="X503" s="25"/>
      <x:c r="Y503" s="25"/>
      <x:c r="Z503" s="25"/>
      <x:c r="AA503" s="39" t="str">
        <x:f>IF(A503="","",U503-SUM(V503,X503:Z503))</x:f>
      </x:c>
      <x:c r="AB503" s="39" t="str">
        <x:f>IF(A503="","",IF(N503="SETUP",IFERROR(INDEX('04_KE_HOACH_CD'!$K$6:$K$305,MATCH(K503,'04_KE_HOACH_CD'!$G$6:$G$305,0)),0),IF(OR(N503="PRODUCTION",N503="REWORK"),IFERROR(INDEX('04_KE_HOACH_CD'!$L$6:$L$305,MATCH(K503,'04_KE_HOACH_CD'!$G$6:$G$305,0))*V503,0),0)))</x:f>
      </x:c>
      <x:c r="AC503" s="39" t="str">
        <x:f>IF(A503="","",MAX(0,(P503-O503)*1440-Q503))</x:f>
      </x:c>
      <x:c r="AD503" s="37" t="str">
        <x:f>IF(A503="","",IFERROR(AB503/AC503,0))</x:f>
      </x:c>
      <x:c r="AE503" s="33" t="str">
        <x:f>IF(A503="","",AC503/60*SUMIF(DM_NHAN_SU!$A$6:$A$105,L503,DM_NHAN_SU!$E$6:$E$105))</x:f>
      </x:c>
      <x:c r="AF503" s="33" t="str">
        <x:f>IF(A503="","",AC503/60*SUMIF(DM_MAY!$A$6:$A$105,M503,DM_MAY!$F$6:$F$105))</x:f>
      </x:c>
      <x:c r="AG503" s="33" t="str">
        <x:f>IF(A503="","",AE503+AF503)</x:f>
      </x:c>
      <x:c r="AH503" s="21"/>
      <x:c r="AI503" s="29" t="str">
        <x:f>IF(A503="","",IF(OR(B503="",D503="",E503="",I503="",L503="",N503="",O503="",P503=""),"Thiếu dữ liệu",IF(AND(OR(N503="PRODUCTION",N503="REWORK",N503="SETUP"),M503=""),"Thiếu máy",IF(P503&lt;O503,"Sai thời gian",IF(AA503&lt;&gt;0,"Sai cân đối SL","Hợp lệ")))))</x:f>
      </x:c>
      <x:c r="AJ503" s="21"/>
    </x:row>
    <x:row r="504">
      <x:c r="A504" s="21"/>
      <x:c r="B504" s="35"/>
      <x:c r="C504" s="21"/>
      <x:c r="D504" s="21"/>
      <x:c r="E504" s="21"/>
      <x:c r="F504" s="21"/>
      <x:c r="G504" s="21"/>
      <x:c r="H504" s="29" t="str">
        <x:f>IF(OR(D504="",E504=""),"",D504&amp;"|"&amp;E504&amp;"|"&amp;IF(F504="","00",F504)&amp;"|"&amp;IF(G504="","01",G504))</x:f>
      </x:c>
      <x:c r="I504" s="21"/>
      <x:c r="J504" s="29" t="str">
        <x:f>IF(K504="","",IFERROR(INDEX('04_KE_HOACH_CD'!$I$6:$I$305,MATCH(K504,'04_KE_HOACH_CD'!$G$6:$G$305,0)),""))</x:f>
      </x:c>
      <x:c r="K504" s="29" t="str">
        <x:f>IF(OR(H504="",I504=""),"",H504&amp;"|"&amp;TEXT(I504,"000"))</x:f>
      </x:c>
      <x:c r="L504" s="21"/>
      <x:c r="M504" s="21"/>
      <x:c r="N504" s="21"/>
      <x:c r="O504" s="43"/>
      <x:c r="P504" s="43"/>
      <x:c r="Q504" s="25"/>
      <x:c r="R504" s="25"/>
      <x:c r="S504" s="39" t="str">
        <x:f>IF(A504="","",SUMIF('07_DUNG_CHO'!$B$6:$B$505,A504,'07_DUNG_CHO'!$E$6:$E$505))</x:f>
      </x:c>
      <x:c r="T504" s="39" t="str">
        <x:f>IF(A504="","",IF(N504="SETUP",0,MAX(0,(P504-O504)*1440-Q504-S504)))</x:f>
      </x:c>
      <x:c r="U504" s="25"/>
      <x:c r="V504" s="25"/>
      <x:c r="W504" s="25"/>
      <x:c r="X504" s="25"/>
      <x:c r="Y504" s="25"/>
      <x:c r="Z504" s="25"/>
      <x:c r="AA504" s="39" t="str">
        <x:f>IF(A504="","",U504-SUM(V504,X504:Z504))</x:f>
      </x:c>
      <x:c r="AB504" s="39" t="str">
        <x:f>IF(A504="","",IF(N504="SETUP",IFERROR(INDEX('04_KE_HOACH_CD'!$K$6:$K$305,MATCH(K504,'04_KE_HOACH_CD'!$G$6:$G$305,0)),0),IF(OR(N504="PRODUCTION",N504="REWORK"),IFERROR(INDEX('04_KE_HOACH_CD'!$L$6:$L$305,MATCH(K504,'04_KE_HOACH_CD'!$G$6:$G$305,0))*V504,0),0)))</x:f>
      </x:c>
      <x:c r="AC504" s="39" t="str">
        <x:f>IF(A504="","",MAX(0,(P504-O504)*1440-Q504))</x:f>
      </x:c>
      <x:c r="AD504" s="37" t="str">
        <x:f>IF(A504="","",IFERROR(AB504/AC504,0))</x:f>
      </x:c>
      <x:c r="AE504" s="33" t="str">
        <x:f>IF(A504="","",AC504/60*SUMIF(DM_NHAN_SU!$A$6:$A$105,L504,DM_NHAN_SU!$E$6:$E$105))</x:f>
      </x:c>
      <x:c r="AF504" s="33" t="str">
        <x:f>IF(A504="","",AC504/60*SUMIF(DM_MAY!$A$6:$A$105,M504,DM_MAY!$F$6:$F$105))</x:f>
      </x:c>
      <x:c r="AG504" s="33" t="str">
        <x:f>IF(A504="","",AE504+AF504)</x:f>
      </x:c>
      <x:c r="AH504" s="21"/>
      <x:c r="AI504" s="29" t="str">
        <x:f>IF(A504="","",IF(OR(B504="",D504="",E504="",I504="",L504="",N504="",O504="",P504=""),"Thiếu dữ liệu",IF(AND(OR(N504="PRODUCTION",N504="REWORK",N504="SETUP"),M504=""),"Thiếu máy",IF(P504&lt;O504,"Sai thời gian",IF(AA504&lt;&gt;0,"Sai cân đối SL","Hợp lệ")))))</x:f>
      </x:c>
      <x:c r="AJ504" s="21"/>
    </x:row>
    <x:row r="505">
      <x:c r="A505" s="22"/>
      <x:c r="B505" s="36"/>
      <x:c r="C505" s="22"/>
      <x:c r="D505" s="22"/>
      <x:c r="E505" s="22"/>
      <x:c r="F505" s="22"/>
      <x:c r="G505" s="22"/>
      <x:c r="H505" s="30" t="str">
        <x:f>IF(OR(D505="",E505=""),"",D505&amp;"|"&amp;E505&amp;"|"&amp;IF(F505="","00",F505)&amp;"|"&amp;IF(G505="","01",G505))</x:f>
      </x:c>
      <x:c r="I505" s="22"/>
      <x:c r="J505" s="30" t="str">
        <x:f>IF(K505="","",IFERROR(INDEX('04_KE_HOACH_CD'!$I$6:$I$305,MATCH(K505,'04_KE_HOACH_CD'!$G$6:$G$305,0)),""))</x:f>
      </x:c>
      <x:c r="K505" s="30" t="str">
        <x:f>IF(OR(H505="",I505=""),"",H505&amp;"|"&amp;TEXT(I505,"000"))</x:f>
      </x:c>
      <x:c r="L505" s="22"/>
      <x:c r="M505" s="22"/>
      <x:c r="N505" s="22"/>
      <x:c r="O505" s="44"/>
      <x:c r="P505" s="44"/>
      <x:c r="Q505" s="26"/>
      <x:c r="R505" s="26"/>
      <x:c r="S505" s="40" t="str">
        <x:f>IF(A505="","",SUMIF('07_DUNG_CHO'!$B$6:$B$505,A505,'07_DUNG_CHO'!$E$6:$E$505))</x:f>
      </x:c>
      <x:c r="T505" s="40" t="str">
        <x:f>IF(A505="","",IF(N505="SETUP",0,MAX(0,(P505-O505)*1440-Q505-S505)))</x:f>
      </x:c>
      <x:c r="U505" s="26"/>
      <x:c r="V505" s="26"/>
      <x:c r="W505" s="26"/>
      <x:c r="X505" s="26"/>
      <x:c r="Y505" s="26"/>
      <x:c r="Z505" s="26"/>
      <x:c r="AA505" s="40" t="str">
        <x:f>IF(A505="","",U505-SUM(V505,X505:Z505))</x:f>
      </x:c>
      <x:c r="AB505" s="40" t="str">
        <x:f>IF(A505="","",IF(N505="SETUP",IFERROR(INDEX('04_KE_HOACH_CD'!$K$6:$K$305,MATCH(K505,'04_KE_HOACH_CD'!$G$6:$G$305,0)),0),IF(OR(N505="PRODUCTION",N505="REWORK"),IFERROR(INDEX('04_KE_HOACH_CD'!$L$6:$L$305,MATCH(K505,'04_KE_HOACH_CD'!$G$6:$G$305,0))*V505,0),0)))</x:f>
      </x:c>
      <x:c r="AC505" s="40" t="str">
        <x:f>IF(A505="","",MAX(0,(P505-O505)*1440-Q505))</x:f>
      </x:c>
      <x:c r="AD505" s="38" t="str">
        <x:f>IF(A505="","",IFERROR(AB505/AC505,0))</x:f>
      </x:c>
      <x:c r="AE505" s="34" t="str">
        <x:f>IF(A505="","",AC505/60*SUMIF(DM_NHAN_SU!$A$6:$A$105,L505,DM_NHAN_SU!$E$6:$E$105))</x:f>
      </x:c>
      <x:c r="AF505" s="34" t="str">
        <x:f>IF(A505="","",AC505/60*SUMIF(DM_MAY!$A$6:$A$105,M505,DM_MAY!$F$6:$F$105))</x:f>
      </x:c>
      <x:c r="AG505" s="34" t="str">
        <x:f>IF(A505="","",AE505+AF505)</x:f>
      </x:c>
      <x:c r="AH505" s="22"/>
      <x:c r="AI505" s="30" t="str">
        <x:f>IF(A505="","",IF(OR(B505="",D505="",E505="",I505="",L505="",N505="",O505="",P505=""),"Thiếu dữ liệu",IF(AND(OR(N505="PRODUCTION",N505="REWORK",N505="SETUP"),M505=""),"Thiếu máy",IF(P505&lt;O505,"Sai thời gian",IF(AA505&lt;&gt;0,"Sai cân đối SL","Hợp lệ")))))</x:f>
      </x:c>
      <x:c r="AJ505" s="22"/>
    </x:row>
  </x:sheetData>
  <x:mergeCells>
    <x:mergeCell ref="A2:AJ2"/>
    <x:mergeCell ref="A3:AJ3"/>
  </x:mergeCells>
  <x:conditionalFormatting sqref="AI6:AI505">
    <x:cfRule type="containsText" dxfId="14" priority="1" operator="containsText" text="Quá hạn"/>
    <x:cfRule type="containsText" dxfId="15" priority="2" operator="containsText" text="Rủi ro"/>
    <x:cfRule type="containsText" dxfId="16" priority="3" operator="containsText" text="Cần"/>
    <x:cfRule type="containsText" dxfId="17" priority="4" operator="containsText" text="Sai"/>
    <x:cfRule type="containsText" dxfId="18" priority="5" operator="containsText" text="Thiếu"/>
    <x:cfRule type="containsText" dxfId="19" priority="6" operator="containsText" text="Hợp lệ"/>
    <x:cfRule type="containsText" dxfId="20" priority="7" operator="containsText" text="đúng hạn"/>
  </x:conditionalFormatting>
  <x:dataValidations count="5">
    <x:dataValidation type="list" sqref="C6:C505">
      <x:formula1>DM_CA!$A$6:$A$105</x:formula1>
    </x:dataValidation>
    <x:dataValidation type="list" sqref="L6:L505">
      <x:formula1>DM_NHAN_SU!$A$6:$A$105</x:formula1>
    </x:dataValidation>
    <x:dataValidation type="list" sqref="M6:M505">
      <x:formula1>DM_MAY!$A$6:$A$105</x:formula1>
    </x:dataValidation>
    <x:dataValidation type="list" sqref="N6:N505">
      <x:formula1>"PRODUCTION,SETUP,REWORK,PLANNED_INDIRECT,TRIAL"</x:formula1>
    </x:dataValidation>
    <x:dataValidation type="list" sqref="AH6:AH505">
      <x:formula1>"Chờ duyệt,Đã duyệt,Từ chối"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13b7df97d44975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14.4399995803833" hidden="0" customWidth="1"/>
    <x:col min="3" max="3" width="13.329999923706055" hidden="0" customWidth="1"/>
    <x:col min="4" max="4" width="13.329999923706055" hidden="0" customWidth="1"/>
    <x:col min="5" max="5" width="7.21999979019165" hidden="0" customWidth="1"/>
    <x:col min="6" max="6" width="7.21999979019165" hidden="0" customWidth="1"/>
    <x:col min="7" max="7" width="28.889999389648438" hidden="0" customWidth="1"/>
    <x:col min="8" max="8" width="7.78000020980835" hidden="0" customWidth="1"/>
    <x:col min="9" max="9" width="33.33000183105469" hidden="0" customWidth="1"/>
    <x:col min="10" max="10" width="11.109999656677246" hidden="0" customWidth="1"/>
    <x:col min="11" max="11" width="11.109999656677246" hidden="0" customWidth="1"/>
    <x:col min="12" max="12" width="12.779999732971191" hidden="0" customWidth="1"/>
    <x:col min="13" max="13" width="8.329999923706055" hidden="0" customWidth="1"/>
    <x:col min="14" max="14" width="8.329999923706055" hidden="0" customWidth="1"/>
    <x:col min="15" max="15" width="8.329999923706055" hidden="0" customWidth="1"/>
    <x:col min="16" max="16" width="8.329999923706055" hidden="0" customWidth="1"/>
    <x:col min="17" max="17" width="13.890000343322754" hidden="0" customWidth="1"/>
    <x:col min="18" max="18" width="13.890000343322754" hidden="0" customWidth="1"/>
    <x:col min="19" max="19" width="10.5600004196167" hidden="0" customWidth="1"/>
    <x:col min="20" max="20" width="11.670000076293945" hidden="0" customWidth="1"/>
    <x:col min="21" max="21" width="11.670000076293945" hidden="0" customWidth="1"/>
    <x:col min="22" max="22" width="10" hidden="0" customWidth="1"/>
    <x:col min="23" max="23" width="20" hidden="0" customWidth="1"/>
    <x:col min="24" max="24" width="20" hidden="0" customWidth="1"/>
    <x:col min="25" max="25" width="20" hidden="0" customWidth="1"/>
    <x:col min="26" max="26" width="16.670000076293945" hidden="0" customWidth="1"/>
    <x:col min="27" max="27" width="12.779999732971191" hidden="0" customWidth="1"/>
  </x:cols>
  <x:sheetData>
    <x:row r="2">
      <x:c r="A2" s="2" t="str">
        <x:v>GHI NHẬN LỖI CHẤT LƯỢNG</x:v>
      </x:c>
    </x:row>
    <x:row r="3">
      <x:c r="A3" s="20" t="str">
        <x:v>Chọn mã lỗi từ danh mục. Hiện tượng lỗi, nguyên nhân sơ bộ và nguyên nhân gốc được lưu ở các cột riêng.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5">
      <x:c r="A5" s="12" t="str">
        <x:v>QualityID</x:v>
      </x:c>
      <x:c r="B5" s="12" t="str">
        <x:v>Thời điểm</x:v>
      </x:c>
      <x:c r="C5" s="12" t="str">
        <x:v>Mã đơn hàng</x:v>
      </x:c>
      <x:c r="D5" s="12" t="str">
        <x:v>Mã bản vẽ</x:v>
      </x:c>
      <x:c r="E5" s="12" t="str">
        <x:v>Rev</x:v>
      </x:c>
      <x:c r="F5" s="12" t="str">
        <x:v>Dòng/Lô</x:v>
      </x:c>
      <x:c r="G5" s="12" t="str">
        <x:v>Mã dòng</x:v>
      </x:c>
      <x:c r="H5" s="12" t="str">
        <x:v>Thứ tự CĐ</x:v>
      </x:c>
      <x:c r="I5" s="12" t="str">
        <x:v>OperationPlanID</x:v>
      </x:c>
      <x:c r="J5" s="12" t="str">
        <x:v>RunID</x:v>
      </x:c>
      <x:c r="K5" s="12" t="str">
        <x:v>Người kiểm</x:v>
      </x:c>
      <x:c r="L5" s="12" t="str">
        <x:v>Loại kiểm</x:v>
      </x:c>
      <x:c r="M5" s="12" t="str">
        <x:v>SL kiểm</x:v>
      </x:c>
      <x:c r="N5" s="12" t="str">
        <x:v>SL đạt</x:v>
      </x:c>
      <x:c r="O5" s="12" t="str">
        <x:v>SL lỗi</x:v>
      </x:c>
      <x:c r="P5" s="12" t="str">
        <x:v>Mã lỗi</x:v>
      </x:c>
      <x:c r="Q5" s="12" t="str">
        <x:v>Nhóm lỗi</x:v>
      </x:c>
      <x:c r="R5" s="12" t="str">
        <x:v>DefectType</x:v>
      </x:c>
      <x:c r="S5" s="12" t="str">
        <x:v>Tính KPI SP</x:v>
      </x:c>
      <x:c r="T5" s="12" t="str">
        <x:v>Mức độ</x:v>
      </x:c>
      <x:c r="U5" s="12" t="str">
        <x:v>Xử lý</x:v>
      </x:c>
      <x:c r="V5" s="12" t="str">
        <x:v>NCR No.</x:v>
      </x:c>
      <x:c r="W5" s="12" t="str">
        <x:v>Nguyên nhân sơ bộ</x:v>
      </x:c>
      <x:c r="X5" s="12" t="str">
        <x:v>Nguyên nhân gốc</x:v>
      </x:c>
      <x:c r="Y5" s="12" t="str">
        <x:v>Hành động</x:v>
      </x:c>
      <x:c r="Z5" s="12" t="str">
        <x:v>Link ảnh</x:v>
      </x:c>
      <x:c r="AA5" s="12" t="str">
        <x:v>Kiểm tra dữ liệu</x:v>
      </x:c>
    </x:row>
    <x:row r="6">
      <x:c r="A6" s="21" t="str">
        <x:v>QL-001</x:v>
      </x:c>
      <x:c r="B6" s="43" t="n">
        <x:v>46268.520833333336</x:v>
      </x:c>
      <x:c r="C6" s="21" t="str">
        <x:v>PRC2602-003</x:v>
      </x:c>
      <x:c r="D6" s="21" t="str">
        <x:v>22-219803-00</x:v>
      </x:c>
      <x:c r="E6" s="21" t="str">
        <x:v>A</x:v>
      </x:c>
      <x:c r="F6" s="21" t="str">
        <x:v>01</x:v>
      </x:c>
      <x:c r="G6" s="29" t="str">
        <x:f>IF(OR(C6="",D6=""),"",C6&amp;"|"&amp;D6&amp;"|"&amp;IF(E6="","00",E6)&amp;"|"&amp;IF(F6="","01",F6))</x:f>
        <x:v>PRC2602-003|22-219803-00|A|01</x:v>
      </x:c>
      <x:c r="H6" s="21" t="n">
        <x:v>20</x:v>
      </x:c>
      <x:c r="I6" s="29" t="str">
        <x:f>IF(OR(G6="",H6=""),"",G6&amp;"|"&amp;TEXT(H6,"000"))</x:f>
        <x:v>PRC2602-003|22-219803-00|A|01|020</x:v>
      </x:c>
      <x:c r="J6" s="21" t="str">
        <x:v>RUN-004</x:v>
      </x:c>
      <x:c r="K6" s="21" t="str">
        <x:v>NV-QC01</x:v>
      </x:c>
      <x:c r="L6" s="21" t="str">
        <x:v>IN_PROCESS</x:v>
      </x:c>
      <x:c r="M6" s="23" t="n">
        <x:v>20</x:v>
      </x:c>
      <x:c r="N6" s="23" t="n">
        <x:v>18</x:v>
      </x:c>
      <x:c r="O6" s="23" t="n">
        <x:v>2</x:v>
      </x:c>
      <x:c r="P6" s="21" t="str">
        <x:v>B001</x:v>
      </x:c>
      <x:c r="Q6" s="29" t="str">
        <x:f>IF(P6="","",IFERROR(INDEX(DM_MA_LOI!$B$6:$B$105,MATCH(P6,DM_MA_LOI!$A$6:$A$105,0)),""))</x:f>
        <x:v>Kích thước</x:v>
      </x:c>
      <x:c r="R6" s="29" t="str">
        <x:f>IF(P6="","",IFERROR(INDEX(DM_MA_LOI!$E$6:$E$105,MATCH(P6,DM_MA_LOI!$A$6:$A$105,0)),""))</x:f>
        <x:v>PRODUCT</x:v>
      </x:c>
      <x:c r="S6" s="29" t="str">
        <x:f>IF(P6="","",IFERROR(INDEX(DM_MA_LOI!$F$6:$F$105,MATCH(P6,DM_MA_LOI!$A$6:$A$105,0)),""))</x:f>
        <x:v>Có</x:v>
      </x:c>
      <x:c r="T6" s="21" t="str">
        <x:v>Nghiêm trọng</x:v>
      </x:c>
      <x:c r="U6" s="21" t="str">
        <x:v>REWORK</x:v>
      </x:c>
      <x:c r="V6" s="21" t="str">
        <x:v>NCR-001</x:v>
      </x:c>
      <x:c r="W6" s="21" t="str">
        <x:v>Kích thước vượt dung sai</x:v>
      </x:c>
      <x:c r="X6" s="21" t="str">
        <x:v>Offset dao chưa ổn định</x:v>
      </x:c>
      <x:c r="Y6" s="21" t="str">
        <x:v>Hiệu chỉnh offset</x:v>
      </x:c>
      <x:c r="Z6" s="21" t="str"/>
      <x:c r="AA6" s="29" t="str">
        <x:f>IF(A6="","",IF(OR(B6="",C6="",D6="",H6="",K6="",L6=""),"Thiếu dữ liệu",IF(M6&lt;&gt;N6+O6,"Sai cân đối SL",IF(AND(O6&gt;0,P6=""),"Thiếu mã lỗi","Hợp lệ"))))</x:f>
        <x:v>Hợp lệ</x:v>
      </x:c>
    </x:row>
    <x:row r="7">
      <x:c r="A7" s="21" t="str">
        <x:v>QL-002</x:v>
      </x:c>
      <x:c r="B7" s="43" t="n">
        <x:v>46269.26388888889</x:v>
      </x:c>
      <x:c r="C7" s="21" t="str">
        <x:v>PRC2602-003</x:v>
      </x:c>
      <x:c r="D7" s="21" t="str">
        <x:v>22-219803-00</x:v>
      </x:c>
      <x:c r="E7" s="21" t="str">
        <x:v>A</x:v>
      </x:c>
      <x:c r="F7" s="21" t="str">
        <x:v>01</x:v>
      </x:c>
      <x:c r="G7" s="29" t="str">
        <x:f>IF(OR(C7="",D7=""),"",C7&amp;"|"&amp;D7&amp;"|"&amp;IF(E7="","00",E7)&amp;"|"&amp;IF(F7="","01",F7))</x:f>
        <x:v>PRC2602-003|22-219803-00|A|01</x:v>
      </x:c>
      <x:c r="H7" s="21" t="n">
        <x:v>20</x:v>
      </x:c>
      <x:c r="I7" s="29" t="str">
        <x:f>IF(OR(G7="",H7=""),"",G7&amp;"|"&amp;TEXT(H7,"000"))</x:f>
        <x:v>PRC2602-003|22-219803-00|A|01|020</x:v>
      </x:c>
      <x:c r="J7" s="21" t="str">
        <x:v>RUN-005</x:v>
      </x:c>
      <x:c r="K7" s="21" t="str">
        <x:v>NV-QC01</x:v>
      </x:c>
      <x:c r="L7" s="21" t="str">
        <x:v>RE_INSPECTION</x:v>
      </x:c>
      <x:c r="M7" s="23" t="n">
        <x:v>2</x:v>
      </x:c>
      <x:c r="N7" s="23" t="n">
        <x:v>2</x:v>
      </x:c>
      <x:c r="O7" s="23" t="n">
        <x:v>0</x:v>
      </x:c>
      <x:c r="P7" s="21" t="str"/>
      <x:c r="Q7" s="29" t="str">
        <x:f>IF(P7="","",IFERROR(INDEX(DM_MA_LOI!$B$6:$B$105,MATCH(P7,DM_MA_LOI!$A$6:$A$105,0)),""))</x:f>
      </x:c>
      <x:c r="R7" s="29" t="str">
        <x:f>IF(P7="","",IFERROR(INDEX(DM_MA_LOI!$E$6:$E$105,MATCH(P7,DM_MA_LOI!$A$6:$A$105,0)),""))</x:f>
      </x:c>
      <x:c r="S7" s="29" t="str">
        <x:f>IF(P7="","",IFERROR(INDEX(DM_MA_LOI!$F$6:$F$105,MATCH(P7,DM_MA_LOI!$A$6:$A$105,0)),""))</x:f>
      </x:c>
      <x:c r="T7" s="21" t="str">
        <x:v>Nhẹ</x:v>
      </x:c>
      <x:c r="U7" s="21" t="str">
        <x:v>ACCEPT</x:v>
      </x:c>
      <x:c r="V7" s="21" t="str">
        <x:v>NCR-001</x:v>
      </x:c>
      <x:c r="W7" s="21" t="str"/>
      <x:c r="X7" s="21" t="str">
        <x:v>Đã hiệu chỉnh offset</x:v>
      </x:c>
      <x:c r="Y7" s="21" t="str">
        <x:v>Xác nhận sau sửa</x:v>
      </x:c>
      <x:c r="Z7" s="21" t="str"/>
      <x:c r="AA7" s="29" t="str">
        <x:f>IF(A7="","",IF(OR(B7="",C7="",D7="",H7="",K7="",L7=""),"Thiếu dữ liệu",IF(M7&lt;&gt;N7+O7,"Sai cân đối SL",IF(AND(O7&gt;0,P7=""),"Thiếu mã lỗi","Hợp lệ"))))</x:f>
        <x:v>Hợp lệ</x:v>
      </x:c>
    </x:row>
    <x:row r="8">
      <x:c r="A8" s="21" t="str">
        <x:v>QL-003</x:v>
      </x:c>
      <x:c r="B8" s="43" t="n">
        <x:v>46270.5625</x:v>
      </x:c>
      <x:c r="C8" s="21" t="str">
        <x:v>SWT2603-001</x:v>
      </x:c>
      <x:c r="D8" s="21" t="str">
        <x:v>950340030</x:v>
      </x:c>
      <x:c r="E8" s="21" t="str">
        <x:v>A</x:v>
      </x:c>
      <x:c r="F8" s="21" t="str">
        <x:v>01</x:v>
      </x:c>
      <x:c r="G8" s="29" t="str">
        <x:f>IF(OR(C8="",D8=""),"",C8&amp;"|"&amp;D8&amp;"|"&amp;IF(E8="","00",E8)&amp;"|"&amp;IF(F8="","01",F8))</x:f>
        <x:v>SWT2603-001|950340030|A|01</x:v>
      </x:c>
      <x:c r="H8" s="21" t="n">
        <x:v>20</x:v>
      </x:c>
      <x:c r="I8" s="29" t="str">
        <x:f>IF(OR(G8="",H8=""),"",G8&amp;"|"&amp;TEXT(H8,"000"))</x:f>
        <x:v>SWT2603-001|950340030|A|01|020</x:v>
      </x:c>
      <x:c r="J8" s="21" t="str">
        <x:v>RUN-009</x:v>
      </x:c>
      <x:c r="K8" s="21" t="str">
        <x:v>NV-QC01</x:v>
      </x:c>
      <x:c r="L8" s="21" t="str">
        <x:v>IN_PROCESS</x:v>
      </x:c>
      <x:c r="M8" s="23" t="n">
        <x:v>25</x:v>
      </x:c>
      <x:c r="N8" s="23" t="n">
        <x:v>24</x:v>
      </x:c>
      <x:c r="O8" s="23" t="n">
        <x:v>1</x:v>
      </x:c>
      <x:c r="P8" s="21" t="str">
        <x:v>A009</x:v>
      </x:c>
      <x:c r="Q8" s="29" t="str">
        <x:f>IF(P8="","",IFERROR(INDEX(DM_MA_LOI!$B$6:$B$105,MATCH(P8,DM_MA_LOI!$A$6:$A$105,0)),""))</x:f>
        <x:v>Ngoại quan</x:v>
      </x:c>
      <x:c r="R8" s="29" t="str">
        <x:f>IF(P8="","",IFERROR(INDEX(DM_MA_LOI!$E$6:$E$105,MATCH(P8,DM_MA_LOI!$A$6:$A$105,0)),""))</x:f>
        <x:v>PRODUCT</x:v>
      </x:c>
      <x:c r="S8" s="29" t="str">
        <x:f>IF(P8="","",IFERROR(INDEX(DM_MA_LOI!$F$6:$F$105,MATCH(P8,DM_MA_LOI!$A$6:$A$105,0)),""))</x:f>
        <x:v>Có</x:v>
      </x:c>
      <x:c r="T8" s="21" t="str">
        <x:v>Nhẹ</x:v>
      </x:c>
      <x:c r="U8" s="21" t="str">
        <x:v>REWORK</x:v>
      </x:c>
      <x:c r="V8" s="21" t="str"/>
      <x:c r="W8" s="21" t="str">
        <x:v>Còn cạnh sắc</x:v>
      </x:c>
      <x:c r="X8" s="21" t="str">
        <x:v>Bước phá ba via chưa đủ</x:v>
      </x:c>
      <x:c r="Y8" s="21" t="str">
        <x:v>Bổ sung phá ba via</x:v>
      </x:c>
      <x:c r="Z8" s="21" t="str"/>
      <x:c r="AA8" s="29" t="str">
        <x:f>IF(A8="","",IF(OR(B8="",C8="",D8="",H8="",K8="",L8=""),"Thiếu dữ liệu",IF(M8&lt;&gt;N8+O8,"Sai cân đối SL",IF(AND(O8&gt;0,P8=""),"Thiếu mã lỗi","Hợp lệ"))))</x:f>
        <x:v>Hợp lệ</x:v>
      </x:c>
    </x:row>
    <x:row r="9">
      <x:c r="A9" s="21"/>
      <x:c r="B9" s="43"/>
      <x:c r="C9" s="21"/>
      <x:c r="D9" s="21"/>
      <x:c r="E9" s="21"/>
      <x:c r="F9" s="21"/>
      <x:c r="G9" s="29" t="str">
        <x:f>IF(OR(C9="",D9=""),"",C9&amp;"|"&amp;D9&amp;"|"&amp;IF(E9="","00",E9)&amp;"|"&amp;IF(F9="","01",F9))</x:f>
      </x:c>
      <x:c r="H9" s="21"/>
      <x:c r="I9" s="29" t="str">
        <x:f>IF(OR(G9="",H9=""),"",G9&amp;"|"&amp;TEXT(H9,"000"))</x:f>
      </x:c>
      <x:c r="J9" s="21"/>
      <x:c r="K9" s="21"/>
      <x:c r="L9" s="21"/>
      <x:c r="M9" s="23"/>
      <x:c r="N9" s="23"/>
      <x:c r="O9" s="23"/>
      <x:c r="P9" s="21"/>
      <x:c r="Q9" s="29" t="str">
        <x:f>IF(P9="","",IFERROR(INDEX(DM_MA_LOI!$B$6:$B$105,MATCH(P9,DM_MA_LOI!$A$6:$A$105,0)),""))</x:f>
      </x:c>
      <x:c r="R9" s="29" t="str">
        <x:f>IF(P9="","",IFERROR(INDEX(DM_MA_LOI!$E$6:$E$105,MATCH(P9,DM_MA_LOI!$A$6:$A$105,0)),""))</x:f>
      </x:c>
      <x:c r="S9" s="29" t="str">
        <x:f>IF(P9="","",IFERROR(INDEX(DM_MA_LOI!$F$6:$F$105,MATCH(P9,DM_MA_LOI!$A$6:$A$105,0)),""))</x:f>
      </x:c>
      <x:c r="T9" s="21"/>
      <x:c r="U9" s="21"/>
      <x:c r="V9" s="21"/>
      <x:c r="W9" s="21"/>
      <x:c r="X9" s="21"/>
      <x:c r="Y9" s="21"/>
      <x:c r="Z9" s="21"/>
      <x:c r="AA9" s="29" t="str">
        <x:f>IF(A9="","",IF(OR(B9="",C9="",D9="",H9="",K9="",L9=""),"Thiếu dữ liệu",IF(M9&lt;&gt;N9+O9,"Sai cân đối SL",IF(AND(O9&gt;0,P9=""),"Thiếu mã lỗi","Hợp lệ"))))</x:f>
      </x:c>
    </x:row>
    <x:row r="10">
      <x:c r="A10" s="21"/>
      <x:c r="B10" s="43"/>
      <x:c r="C10" s="21"/>
      <x:c r="D10" s="21"/>
      <x:c r="E10" s="21"/>
      <x:c r="F10" s="21"/>
      <x:c r="G10" s="29" t="str">
        <x:f>IF(OR(C10="",D10=""),"",C10&amp;"|"&amp;D10&amp;"|"&amp;IF(E10="","00",E10)&amp;"|"&amp;IF(F10="","01",F10))</x:f>
      </x:c>
      <x:c r="H10" s="21"/>
      <x:c r="I10" s="29" t="str">
        <x:f>IF(OR(G10="",H10=""),"",G10&amp;"|"&amp;TEXT(H10,"000"))</x:f>
      </x:c>
      <x:c r="J10" s="21"/>
      <x:c r="K10" s="21"/>
      <x:c r="L10" s="21"/>
      <x:c r="M10" s="23"/>
      <x:c r="N10" s="23"/>
      <x:c r="O10" s="23"/>
      <x:c r="P10" s="21"/>
      <x:c r="Q10" s="29" t="str">
        <x:f>IF(P10="","",IFERROR(INDEX(DM_MA_LOI!$B$6:$B$105,MATCH(P10,DM_MA_LOI!$A$6:$A$105,0)),""))</x:f>
      </x:c>
      <x:c r="R10" s="29" t="str">
        <x:f>IF(P10="","",IFERROR(INDEX(DM_MA_LOI!$E$6:$E$105,MATCH(P10,DM_MA_LOI!$A$6:$A$105,0)),""))</x:f>
      </x:c>
      <x:c r="S10" s="29" t="str">
        <x:f>IF(P10="","",IFERROR(INDEX(DM_MA_LOI!$F$6:$F$105,MATCH(P10,DM_MA_LOI!$A$6:$A$105,0)),""))</x:f>
      </x:c>
      <x:c r="T10" s="21"/>
      <x:c r="U10" s="21"/>
      <x:c r="V10" s="21"/>
      <x:c r="W10" s="21"/>
      <x:c r="X10" s="21"/>
      <x:c r="Y10" s="21"/>
      <x:c r="Z10" s="21"/>
      <x:c r="AA10" s="29" t="str">
        <x:f>IF(A10="","",IF(OR(B10="",C10="",D10="",H10="",K10="",L10=""),"Thiếu dữ liệu",IF(M10&lt;&gt;N10+O10,"Sai cân đối SL",IF(AND(O10&gt;0,P10=""),"Thiếu mã lỗi","Hợp lệ"))))</x:f>
      </x:c>
    </x:row>
    <x:row r="11">
      <x:c r="A11" s="21"/>
      <x:c r="B11" s="43"/>
      <x:c r="C11" s="21"/>
      <x:c r="D11" s="21"/>
      <x:c r="E11" s="21"/>
      <x:c r="F11" s="21"/>
      <x:c r="G11" s="29" t="str">
        <x:f>IF(OR(C11="",D11=""),"",C11&amp;"|"&amp;D11&amp;"|"&amp;IF(E11="","00",E11)&amp;"|"&amp;IF(F11="","01",F11))</x:f>
      </x:c>
      <x:c r="H11" s="21"/>
      <x:c r="I11" s="29" t="str">
        <x:f>IF(OR(G11="",H11=""),"",G11&amp;"|"&amp;TEXT(H11,"000"))</x:f>
      </x:c>
      <x:c r="J11" s="21"/>
      <x:c r="K11" s="21"/>
      <x:c r="L11" s="21"/>
      <x:c r="M11" s="23"/>
      <x:c r="N11" s="23"/>
      <x:c r="O11" s="23"/>
      <x:c r="P11" s="21"/>
      <x:c r="Q11" s="29" t="str">
        <x:f>IF(P11="","",IFERROR(INDEX(DM_MA_LOI!$B$6:$B$105,MATCH(P11,DM_MA_LOI!$A$6:$A$105,0)),""))</x:f>
      </x:c>
      <x:c r="R11" s="29" t="str">
        <x:f>IF(P11="","",IFERROR(INDEX(DM_MA_LOI!$E$6:$E$105,MATCH(P11,DM_MA_LOI!$A$6:$A$105,0)),""))</x:f>
      </x:c>
      <x:c r="S11" s="29" t="str">
        <x:f>IF(P11="","",IFERROR(INDEX(DM_MA_LOI!$F$6:$F$105,MATCH(P11,DM_MA_LOI!$A$6:$A$105,0)),""))</x:f>
      </x:c>
      <x:c r="T11" s="21"/>
      <x:c r="U11" s="21"/>
      <x:c r="V11" s="21"/>
      <x:c r="W11" s="21"/>
      <x:c r="X11" s="21"/>
      <x:c r="Y11" s="21"/>
      <x:c r="Z11" s="21"/>
      <x:c r="AA11" s="29" t="str">
        <x:f>IF(A11="","",IF(OR(B11="",C11="",D11="",H11="",K11="",L11=""),"Thiếu dữ liệu",IF(M11&lt;&gt;N11+O11,"Sai cân đối SL",IF(AND(O11&gt;0,P11=""),"Thiếu mã lỗi","Hợp lệ"))))</x:f>
      </x:c>
    </x:row>
    <x:row r="12">
      <x:c r="A12" s="21"/>
      <x:c r="B12" s="43"/>
      <x:c r="C12" s="21"/>
      <x:c r="D12" s="21"/>
      <x:c r="E12" s="21"/>
      <x:c r="F12" s="21"/>
      <x:c r="G12" s="29" t="str">
        <x:f>IF(OR(C12="",D12=""),"",C12&amp;"|"&amp;D12&amp;"|"&amp;IF(E12="","00",E12)&amp;"|"&amp;IF(F12="","01",F12))</x:f>
      </x:c>
      <x:c r="H12" s="21"/>
      <x:c r="I12" s="29" t="str">
        <x:f>IF(OR(G12="",H12=""),"",G12&amp;"|"&amp;TEXT(H12,"000"))</x:f>
      </x:c>
      <x:c r="J12" s="21"/>
      <x:c r="K12" s="21"/>
      <x:c r="L12" s="21"/>
      <x:c r="M12" s="23"/>
      <x:c r="N12" s="23"/>
      <x:c r="O12" s="23"/>
      <x:c r="P12" s="21"/>
      <x:c r="Q12" s="29" t="str">
        <x:f>IF(P12="","",IFERROR(INDEX(DM_MA_LOI!$B$6:$B$105,MATCH(P12,DM_MA_LOI!$A$6:$A$105,0)),""))</x:f>
      </x:c>
      <x:c r="R12" s="29" t="str">
        <x:f>IF(P12="","",IFERROR(INDEX(DM_MA_LOI!$E$6:$E$105,MATCH(P12,DM_MA_LOI!$A$6:$A$105,0)),""))</x:f>
      </x:c>
      <x:c r="S12" s="29" t="str">
        <x:f>IF(P12="","",IFERROR(INDEX(DM_MA_LOI!$F$6:$F$105,MATCH(P12,DM_MA_LOI!$A$6:$A$105,0)),""))</x:f>
      </x:c>
      <x:c r="T12" s="21"/>
      <x:c r="U12" s="21"/>
      <x:c r="V12" s="21"/>
      <x:c r="W12" s="21"/>
      <x:c r="X12" s="21"/>
      <x:c r="Y12" s="21"/>
      <x:c r="Z12" s="21"/>
      <x:c r="AA12" s="29" t="str">
        <x:f>IF(A12="","",IF(OR(B12="",C12="",D12="",H12="",K12="",L12=""),"Thiếu dữ liệu",IF(M12&lt;&gt;N12+O12,"Sai cân đối SL",IF(AND(O12&gt;0,P12=""),"Thiếu mã lỗi","Hợp lệ"))))</x:f>
      </x:c>
    </x:row>
    <x:row r="13">
      <x:c r="A13" s="21"/>
      <x:c r="B13" s="43"/>
      <x:c r="C13" s="21"/>
      <x:c r="D13" s="21"/>
      <x:c r="E13" s="21"/>
      <x:c r="F13" s="21"/>
      <x:c r="G13" s="29" t="str">
        <x:f>IF(OR(C13="",D13=""),"",C13&amp;"|"&amp;D13&amp;"|"&amp;IF(E13="","00",E13)&amp;"|"&amp;IF(F13="","01",F13))</x:f>
      </x:c>
      <x:c r="H13" s="21"/>
      <x:c r="I13" s="29" t="str">
        <x:f>IF(OR(G13="",H13=""),"",G13&amp;"|"&amp;TEXT(H13,"000"))</x:f>
      </x:c>
      <x:c r="J13" s="21"/>
      <x:c r="K13" s="21"/>
      <x:c r="L13" s="21"/>
      <x:c r="M13" s="23"/>
      <x:c r="N13" s="23"/>
      <x:c r="O13" s="23"/>
      <x:c r="P13" s="21"/>
      <x:c r="Q13" s="29" t="str">
        <x:f>IF(P13="","",IFERROR(INDEX(DM_MA_LOI!$B$6:$B$105,MATCH(P13,DM_MA_LOI!$A$6:$A$105,0)),""))</x:f>
      </x:c>
      <x:c r="R13" s="29" t="str">
        <x:f>IF(P13="","",IFERROR(INDEX(DM_MA_LOI!$E$6:$E$105,MATCH(P13,DM_MA_LOI!$A$6:$A$105,0)),""))</x:f>
      </x:c>
      <x:c r="S13" s="29" t="str">
        <x:f>IF(P13="","",IFERROR(INDEX(DM_MA_LOI!$F$6:$F$105,MATCH(P13,DM_MA_LOI!$A$6:$A$105,0)),""))</x:f>
      </x:c>
      <x:c r="T13" s="21"/>
      <x:c r="U13" s="21"/>
      <x:c r="V13" s="21"/>
      <x:c r="W13" s="21"/>
      <x:c r="X13" s="21"/>
      <x:c r="Y13" s="21"/>
      <x:c r="Z13" s="21"/>
      <x:c r="AA13" s="29" t="str">
        <x:f>IF(A13="","",IF(OR(B13="",C13="",D13="",H13="",K13="",L13=""),"Thiếu dữ liệu",IF(M13&lt;&gt;N13+O13,"Sai cân đối SL",IF(AND(O13&gt;0,P13=""),"Thiếu mã lỗi","Hợp lệ"))))</x:f>
      </x:c>
    </x:row>
    <x:row r="14">
      <x:c r="A14" s="21"/>
      <x:c r="B14" s="43"/>
      <x:c r="C14" s="21"/>
      <x:c r="D14" s="21"/>
      <x:c r="E14" s="21"/>
      <x:c r="F14" s="21"/>
      <x:c r="G14" s="29" t="str">
        <x:f>IF(OR(C14="",D14=""),"",C14&amp;"|"&amp;D14&amp;"|"&amp;IF(E14="","00",E14)&amp;"|"&amp;IF(F14="","01",F14))</x:f>
      </x:c>
      <x:c r="H14" s="21"/>
      <x:c r="I14" s="29" t="str">
        <x:f>IF(OR(G14="",H14=""),"",G14&amp;"|"&amp;TEXT(H14,"000"))</x:f>
      </x:c>
      <x:c r="J14" s="21"/>
      <x:c r="K14" s="21"/>
      <x:c r="L14" s="21"/>
      <x:c r="M14" s="23"/>
      <x:c r="N14" s="23"/>
      <x:c r="O14" s="23"/>
      <x:c r="P14" s="21"/>
      <x:c r="Q14" s="29" t="str">
        <x:f>IF(P14="","",IFERROR(INDEX(DM_MA_LOI!$B$6:$B$105,MATCH(P14,DM_MA_LOI!$A$6:$A$105,0)),""))</x:f>
      </x:c>
      <x:c r="R14" s="29" t="str">
        <x:f>IF(P14="","",IFERROR(INDEX(DM_MA_LOI!$E$6:$E$105,MATCH(P14,DM_MA_LOI!$A$6:$A$105,0)),""))</x:f>
      </x:c>
      <x:c r="S14" s="29" t="str">
        <x:f>IF(P14="","",IFERROR(INDEX(DM_MA_LOI!$F$6:$F$105,MATCH(P14,DM_MA_LOI!$A$6:$A$105,0)),""))</x:f>
      </x:c>
      <x:c r="T14" s="21"/>
      <x:c r="U14" s="21"/>
      <x:c r="V14" s="21"/>
      <x:c r="W14" s="21"/>
      <x:c r="X14" s="21"/>
      <x:c r="Y14" s="21"/>
      <x:c r="Z14" s="21"/>
      <x:c r="AA14" s="29" t="str">
        <x:f>IF(A14="","",IF(OR(B14="",C14="",D14="",H14="",K14="",L14=""),"Thiếu dữ liệu",IF(M14&lt;&gt;N14+O14,"Sai cân đối SL",IF(AND(O14&gt;0,P14=""),"Thiếu mã lỗi","Hợp lệ"))))</x:f>
      </x:c>
    </x:row>
    <x:row r="15">
      <x:c r="A15" s="21"/>
      <x:c r="B15" s="43"/>
      <x:c r="C15" s="21"/>
      <x:c r="D15" s="21"/>
      <x:c r="E15" s="21"/>
      <x:c r="F15" s="21"/>
      <x:c r="G15" s="29" t="str">
        <x:f>IF(OR(C15="",D15=""),"",C15&amp;"|"&amp;D15&amp;"|"&amp;IF(E15="","00",E15)&amp;"|"&amp;IF(F15="","01",F15))</x:f>
      </x:c>
      <x:c r="H15" s="21"/>
      <x:c r="I15" s="29" t="str">
        <x:f>IF(OR(G15="",H15=""),"",G15&amp;"|"&amp;TEXT(H15,"000"))</x:f>
      </x:c>
      <x:c r="J15" s="21"/>
      <x:c r="K15" s="21"/>
      <x:c r="L15" s="21"/>
      <x:c r="M15" s="23"/>
      <x:c r="N15" s="23"/>
      <x:c r="O15" s="23"/>
      <x:c r="P15" s="21"/>
      <x:c r="Q15" s="29" t="str">
        <x:f>IF(P15="","",IFERROR(INDEX(DM_MA_LOI!$B$6:$B$105,MATCH(P15,DM_MA_LOI!$A$6:$A$105,0)),""))</x:f>
      </x:c>
      <x:c r="R15" s="29" t="str">
        <x:f>IF(P15="","",IFERROR(INDEX(DM_MA_LOI!$E$6:$E$105,MATCH(P15,DM_MA_LOI!$A$6:$A$105,0)),""))</x:f>
      </x:c>
      <x:c r="S15" s="29" t="str">
        <x:f>IF(P15="","",IFERROR(INDEX(DM_MA_LOI!$F$6:$F$105,MATCH(P15,DM_MA_LOI!$A$6:$A$105,0)),""))</x:f>
      </x:c>
      <x:c r="T15" s="21"/>
      <x:c r="U15" s="21"/>
      <x:c r="V15" s="21"/>
      <x:c r="W15" s="21"/>
      <x:c r="X15" s="21"/>
      <x:c r="Y15" s="21"/>
      <x:c r="Z15" s="21"/>
      <x:c r="AA15" s="29" t="str">
        <x:f>IF(A15="","",IF(OR(B15="",C15="",D15="",H15="",K15="",L15=""),"Thiếu dữ liệu",IF(M15&lt;&gt;N15+O15,"Sai cân đối SL",IF(AND(O15&gt;0,P15=""),"Thiếu mã lỗi","Hợp lệ"))))</x:f>
      </x:c>
    </x:row>
    <x:row r="16">
      <x:c r="A16" s="21"/>
      <x:c r="B16" s="43"/>
      <x:c r="C16" s="21"/>
      <x:c r="D16" s="21"/>
      <x:c r="E16" s="21"/>
      <x:c r="F16" s="21"/>
      <x:c r="G16" s="29" t="str">
        <x:f>IF(OR(C16="",D16=""),"",C16&amp;"|"&amp;D16&amp;"|"&amp;IF(E16="","00",E16)&amp;"|"&amp;IF(F16="","01",F16))</x:f>
      </x:c>
      <x:c r="H16" s="21"/>
      <x:c r="I16" s="29" t="str">
        <x:f>IF(OR(G16="",H16=""),"",G16&amp;"|"&amp;TEXT(H16,"000"))</x:f>
      </x:c>
      <x:c r="J16" s="21"/>
      <x:c r="K16" s="21"/>
      <x:c r="L16" s="21"/>
      <x:c r="M16" s="23"/>
      <x:c r="N16" s="23"/>
      <x:c r="O16" s="23"/>
      <x:c r="P16" s="21"/>
      <x:c r="Q16" s="29" t="str">
        <x:f>IF(P16="","",IFERROR(INDEX(DM_MA_LOI!$B$6:$B$105,MATCH(P16,DM_MA_LOI!$A$6:$A$105,0)),""))</x:f>
      </x:c>
      <x:c r="R16" s="29" t="str">
        <x:f>IF(P16="","",IFERROR(INDEX(DM_MA_LOI!$E$6:$E$105,MATCH(P16,DM_MA_LOI!$A$6:$A$105,0)),""))</x:f>
      </x:c>
      <x:c r="S16" s="29" t="str">
        <x:f>IF(P16="","",IFERROR(INDEX(DM_MA_LOI!$F$6:$F$105,MATCH(P16,DM_MA_LOI!$A$6:$A$105,0)),""))</x:f>
      </x:c>
      <x:c r="T16" s="21"/>
      <x:c r="U16" s="21"/>
      <x:c r="V16" s="21"/>
      <x:c r="W16" s="21"/>
      <x:c r="X16" s="21"/>
      <x:c r="Y16" s="21"/>
      <x:c r="Z16" s="21"/>
      <x:c r="AA16" s="29" t="str">
        <x:f>IF(A16="","",IF(OR(B16="",C16="",D16="",H16="",K16="",L16=""),"Thiếu dữ liệu",IF(M16&lt;&gt;N16+O16,"Sai cân đối SL",IF(AND(O16&gt;0,P16=""),"Thiếu mã lỗi","Hợp lệ"))))</x:f>
      </x:c>
    </x:row>
    <x:row r="17">
      <x:c r="A17" s="21"/>
      <x:c r="B17" s="43"/>
      <x:c r="C17" s="21"/>
      <x:c r="D17" s="21"/>
      <x:c r="E17" s="21"/>
      <x:c r="F17" s="21"/>
      <x:c r="G17" s="29" t="str">
        <x:f>IF(OR(C17="",D17=""),"",C17&amp;"|"&amp;D17&amp;"|"&amp;IF(E17="","00",E17)&amp;"|"&amp;IF(F17="","01",F17))</x:f>
      </x:c>
      <x:c r="H17" s="21"/>
      <x:c r="I17" s="29" t="str">
        <x:f>IF(OR(G17="",H17=""),"",G17&amp;"|"&amp;TEXT(H17,"000"))</x:f>
      </x:c>
      <x:c r="J17" s="21"/>
      <x:c r="K17" s="21"/>
      <x:c r="L17" s="21"/>
      <x:c r="M17" s="23"/>
      <x:c r="N17" s="23"/>
      <x:c r="O17" s="23"/>
      <x:c r="P17" s="21"/>
      <x:c r="Q17" s="29" t="str">
        <x:f>IF(P17="","",IFERROR(INDEX(DM_MA_LOI!$B$6:$B$105,MATCH(P17,DM_MA_LOI!$A$6:$A$105,0)),""))</x:f>
      </x:c>
      <x:c r="R17" s="29" t="str">
        <x:f>IF(P17="","",IFERROR(INDEX(DM_MA_LOI!$E$6:$E$105,MATCH(P17,DM_MA_LOI!$A$6:$A$105,0)),""))</x:f>
      </x:c>
      <x:c r="S17" s="29" t="str">
        <x:f>IF(P17="","",IFERROR(INDEX(DM_MA_LOI!$F$6:$F$105,MATCH(P17,DM_MA_LOI!$A$6:$A$105,0)),""))</x:f>
      </x:c>
      <x:c r="T17" s="21"/>
      <x:c r="U17" s="21"/>
      <x:c r="V17" s="21"/>
      <x:c r="W17" s="21"/>
      <x:c r="X17" s="21"/>
      <x:c r="Y17" s="21"/>
      <x:c r="Z17" s="21"/>
      <x:c r="AA17" s="29" t="str">
        <x:f>IF(A17="","",IF(OR(B17="",C17="",D17="",H17="",K17="",L17=""),"Thiếu dữ liệu",IF(M17&lt;&gt;N17+O17,"Sai cân đối SL",IF(AND(O17&gt;0,P17=""),"Thiếu mã lỗi","Hợp lệ"))))</x:f>
      </x:c>
    </x:row>
    <x:row r="18">
      <x:c r="A18" s="21"/>
      <x:c r="B18" s="43"/>
      <x:c r="C18" s="21"/>
      <x:c r="D18" s="21"/>
      <x:c r="E18" s="21"/>
      <x:c r="F18" s="21"/>
      <x:c r="G18" s="29" t="str">
        <x:f>IF(OR(C18="",D18=""),"",C18&amp;"|"&amp;D18&amp;"|"&amp;IF(E18="","00",E18)&amp;"|"&amp;IF(F18="","01",F18))</x:f>
      </x:c>
      <x:c r="H18" s="21"/>
      <x:c r="I18" s="29" t="str">
        <x:f>IF(OR(G18="",H18=""),"",G18&amp;"|"&amp;TEXT(H18,"000"))</x:f>
      </x:c>
      <x:c r="J18" s="21"/>
      <x:c r="K18" s="21"/>
      <x:c r="L18" s="21"/>
      <x:c r="M18" s="23"/>
      <x:c r="N18" s="23"/>
      <x:c r="O18" s="23"/>
      <x:c r="P18" s="21"/>
      <x:c r="Q18" s="29" t="str">
        <x:f>IF(P18="","",IFERROR(INDEX(DM_MA_LOI!$B$6:$B$105,MATCH(P18,DM_MA_LOI!$A$6:$A$105,0)),""))</x:f>
      </x:c>
      <x:c r="R18" s="29" t="str">
        <x:f>IF(P18="","",IFERROR(INDEX(DM_MA_LOI!$E$6:$E$105,MATCH(P18,DM_MA_LOI!$A$6:$A$105,0)),""))</x:f>
      </x:c>
      <x:c r="S18" s="29" t="str">
        <x:f>IF(P18="","",IFERROR(INDEX(DM_MA_LOI!$F$6:$F$105,MATCH(P18,DM_MA_LOI!$A$6:$A$105,0)),""))</x:f>
      </x:c>
      <x:c r="T18" s="21"/>
      <x:c r="U18" s="21"/>
      <x:c r="V18" s="21"/>
      <x:c r="W18" s="21"/>
      <x:c r="X18" s="21"/>
      <x:c r="Y18" s="21"/>
      <x:c r="Z18" s="21"/>
      <x:c r="AA18" s="29" t="str">
        <x:f>IF(A18="","",IF(OR(B18="",C18="",D18="",H18="",K18="",L18=""),"Thiếu dữ liệu",IF(M18&lt;&gt;N18+O18,"Sai cân đối SL",IF(AND(O18&gt;0,P18=""),"Thiếu mã lỗi","Hợp lệ"))))</x:f>
      </x:c>
    </x:row>
    <x:row r="19">
      <x:c r="A19" s="21"/>
      <x:c r="B19" s="43"/>
      <x:c r="C19" s="21"/>
      <x:c r="D19" s="21"/>
      <x:c r="E19" s="21"/>
      <x:c r="F19" s="21"/>
      <x:c r="G19" s="29" t="str">
        <x:f>IF(OR(C19="",D19=""),"",C19&amp;"|"&amp;D19&amp;"|"&amp;IF(E19="","00",E19)&amp;"|"&amp;IF(F19="","01",F19))</x:f>
      </x:c>
      <x:c r="H19" s="21"/>
      <x:c r="I19" s="29" t="str">
        <x:f>IF(OR(G19="",H19=""),"",G19&amp;"|"&amp;TEXT(H19,"000"))</x:f>
      </x:c>
      <x:c r="J19" s="21"/>
      <x:c r="K19" s="21"/>
      <x:c r="L19" s="21"/>
      <x:c r="M19" s="23"/>
      <x:c r="N19" s="23"/>
      <x:c r="O19" s="23"/>
      <x:c r="P19" s="21"/>
      <x:c r="Q19" s="29" t="str">
        <x:f>IF(P19="","",IFERROR(INDEX(DM_MA_LOI!$B$6:$B$105,MATCH(P19,DM_MA_LOI!$A$6:$A$105,0)),""))</x:f>
      </x:c>
      <x:c r="R19" s="29" t="str">
        <x:f>IF(P19="","",IFERROR(INDEX(DM_MA_LOI!$E$6:$E$105,MATCH(P19,DM_MA_LOI!$A$6:$A$105,0)),""))</x:f>
      </x:c>
      <x:c r="S19" s="29" t="str">
        <x:f>IF(P19="","",IFERROR(INDEX(DM_MA_LOI!$F$6:$F$105,MATCH(P19,DM_MA_LOI!$A$6:$A$105,0)),""))</x:f>
      </x:c>
      <x:c r="T19" s="21"/>
      <x:c r="U19" s="21"/>
      <x:c r="V19" s="21"/>
      <x:c r="W19" s="21"/>
      <x:c r="X19" s="21"/>
      <x:c r="Y19" s="21"/>
      <x:c r="Z19" s="21"/>
      <x:c r="AA19" s="29" t="str">
        <x:f>IF(A19="","",IF(OR(B19="",C19="",D19="",H19="",K19="",L19=""),"Thiếu dữ liệu",IF(M19&lt;&gt;N19+O19,"Sai cân đối SL",IF(AND(O19&gt;0,P19=""),"Thiếu mã lỗi","Hợp lệ"))))</x:f>
      </x:c>
    </x:row>
    <x:row r="20">
      <x:c r="A20" s="21"/>
      <x:c r="B20" s="43"/>
      <x:c r="C20" s="21"/>
      <x:c r="D20" s="21"/>
      <x:c r="E20" s="21"/>
      <x:c r="F20" s="21"/>
      <x:c r="G20" s="29" t="str">
        <x:f>IF(OR(C20="",D20=""),"",C20&amp;"|"&amp;D20&amp;"|"&amp;IF(E20="","00",E20)&amp;"|"&amp;IF(F20="","01",F20))</x:f>
      </x:c>
      <x:c r="H20" s="21"/>
      <x:c r="I20" s="29" t="str">
        <x:f>IF(OR(G20="",H20=""),"",G20&amp;"|"&amp;TEXT(H20,"000"))</x:f>
      </x:c>
      <x:c r="J20" s="21"/>
      <x:c r="K20" s="21"/>
      <x:c r="L20" s="21"/>
      <x:c r="M20" s="23"/>
      <x:c r="N20" s="23"/>
      <x:c r="O20" s="23"/>
      <x:c r="P20" s="21"/>
      <x:c r="Q20" s="29" t="str">
        <x:f>IF(P20="","",IFERROR(INDEX(DM_MA_LOI!$B$6:$B$105,MATCH(P20,DM_MA_LOI!$A$6:$A$105,0)),""))</x:f>
      </x:c>
      <x:c r="R20" s="29" t="str">
        <x:f>IF(P20="","",IFERROR(INDEX(DM_MA_LOI!$E$6:$E$105,MATCH(P20,DM_MA_LOI!$A$6:$A$105,0)),""))</x:f>
      </x:c>
      <x:c r="S20" s="29" t="str">
        <x:f>IF(P20="","",IFERROR(INDEX(DM_MA_LOI!$F$6:$F$105,MATCH(P20,DM_MA_LOI!$A$6:$A$105,0)),""))</x:f>
      </x:c>
      <x:c r="T20" s="21"/>
      <x:c r="U20" s="21"/>
      <x:c r="V20" s="21"/>
      <x:c r="W20" s="21"/>
      <x:c r="X20" s="21"/>
      <x:c r="Y20" s="21"/>
      <x:c r="Z20" s="21"/>
      <x:c r="AA20" s="29" t="str">
        <x:f>IF(A20="","",IF(OR(B20="",C20="",D20="",H20="",K20="",L20=""),"Thiếu dữ liệu",IF(M20&lt;&gt;N20+O20,"Sai cân đối SL",IF(AND(O20&gt;0,P20=""),"Thiếu mã lỗi","Hợp lệ"))))</x:f>
      </x:c>
    </x:row>
    <x:row r="21">
      <x:c r="A21" s="21"/>
      <x:c r="B21" s="43"/>
      <x:c r="C21" s="21"/>
      <x:c r="D21" s="21"/>
      <x:c r="E21" s="21"/>
      <x:c r="F21" s="21"/>
      <x:c r="G21" s="29" t="str">
        <x:f>IF(OR(C21="",D21=""),"",C21&amp;"|"&amp;D21&amp;"|"&amp;IF(E21="","00",E21)&amp;"|"&amp;IF(F21="","01",F21))</x:f>
      </x:c>
      <x:c r="H21" s="21"/>
      <x:c r="I21" s="29" t="str">
        <x:f>IF(OR(G21="",H21=""),"",G21&amp;"|"&amp;TEXT(H21,"000"))</x:f>
      </x:c>
      <x:c r="J21" s="21"/>
      <x:c r="K21" s="21"/>
      <x:c r="L21" s="21"/>
      <x:c r="M21" s="23"/>
      <x:c r="N21" s="23"/>
      <x:c r="O21" s="23"/>
      <x:c r="P21" s="21"/>
      <x:c r="Q21" s="29" t="str">
        <x:f>IF(P21="","",IFERROR(INDEX(DM_MA_LOI!$B$6:$B$105,MATCH(P21,DM_MA_LOI!$A$6:$A$105,0)),""))</x:f>
      </x:c>
      <x:c r="R21" s="29" t="str">
        <x:f>IF(P21="","",IFERROR(INDEX(DM_MA_LOI!$E$6:$E$105,MATCH(P21,DM_MA_LOI!$A$6:$A$105,0)),""))</x:f>
      </x:c>
      <x:c r="S21" s="29" t="str">
        <x:f>IF(P21="","",IFERROR(INDEX(DM_MA_LOI!$F$6:$F$105,MATCH(P21,DM_MA_LOI!$A$6:$A$105,0)),""))</x:f>
      </x:c>
      <x:c r="T21" s="21"/>
      <x:c r="U21" s="21"/>
      <x:c r="V21" s="21"/>
      <x:c r="W21" s="21"/>
      <x:c r="X21" s="21"/>
      <x:c r="Y21" s="21"/>
      <x:c r="Z21" s="21"/>
      <x:c r="AA21" s="29" t="str">
        <x:f>IF(A21="","",IF(OR(B21="",C21="",D21="",H21="",K21="",L21=""),"Thiếu dữ liệu",IF(M21&lt;&gt;N21+O21,"Sai cân đối SL",IF(AND(O21&gt;0,P21=""),"Thiếu mã lỗi","Hợp lệ"))))</x:f>
      </x:c>
    </x:row>
    <x:row r="22">
      <x:c r="A22" s="21"/>
      <x:c r="B22" s="43"/>
      <x:c r="C22" s="21"/>
      <x:c r="D22" s="21"/>
      <x:c r="E22" s="21"/>
      <x:c r="F22" s="21"/>
      <x:c r="G22" s="29" t="str">
        <x:f>IF(OR(C22="",D22=""),"",C22&amp;"|"&amp;D22&amp;"|"&amp;IF(E22="","00",E22)&amp;"|"&amp;IF(F22="","01",F22))</x:f>
      </x:c>
      <x:c r="H22" s="21"/>
      <x:c r="I22" s="29" t="str">
        <x:f>IF(OR(G22="",H22=""),"",G22&amp;"|"&amp;TEXT(H22,"000"))</x:f>
      </x:c>
      <x:c r="J22" s="21"/>
      <x:c r="K22" s="21"/>
      <x:c r="L22" s="21"/>
      <x:c r="M22" s="23"/>
      <x:c r="N22" s="23"/>
      <x:c r="O22" s="23"/>
      <x:c r="P22" s="21"/>
      <x:c r="Q22" s="29" t="str">
        <x:f>IF(P22="","",IFERROR(INDEX(DM_MA_LOI!$B$6:$B$105,MATCH(P22,DM_MA_LOI!$A$6:$A$105,0)),""))</x:f>
      </x:c>
      <x:c r="R22" s="29" t="str">
        <x:f>IF(P22="","",IFERROR(INDEX(DM_MA_LOI!$E$6:$E$105,MATCH(P22,DM_MA_LOI!$A$6:$A$105,0)),""))</x:f>
      </x:c>
      <x:c r="S22" s="29" t="str">
        <x:f>IF(P22="","",IFERROR(INDEX(DM_MA_LOI!$F$6:$F$105,MATCH(P22,DM_MA_LOI!$A$6:$A$105,0)),""))</x:f>
      </x:c>
      <x:c r="T22" s="21"/>
      <x:c r="U22" s="21"/>
      <x:c r="V22" s="21"/>
      <x:c r="W22" s="21"/>
      <x:c r="X22" s="21"/>
      <x:c r="Y22" s="21"/>
      <x:c r="Z22" s="21"/>
      <x:c r="AA22" s="29" t="str">
        <x:f>IF(A22="","",IF(OR(B22="",C22="",D22="",H22="",K22="",L22=""),"Thiếu dữ liệu",IF(M22&lt;&gt;N22+O22,"Sai cân đối SL",IF(AND(O22&gt;0,P22=""),"Thiếu mã lỗi","Hợp lệ"))))</x:f>
      </x:c>
    </x:row>
    <x:row r="23">
      <x:c r="A23" s="21"/>
      <x:c r="B23" s="43"/>
      <x:c r="C23" s="21"/>
      <x:c r="D23" s="21"/>
      <x:c r="E23" s="21"/>
      <x:c r="F23" s="21"/>
      <x:c r="G23" s="29" t="str">
        <x:f>IF(OR(C23="",D23=""),"",C23&amp;"|"&amp;D23&amp;"|"&amp;IF(E23="","00",E23)&amp;"|"&amp;IF(F23="","01",F23))</x:f>
      </x:c>
      <x:c r="H23" s="21"/>
      <x:c r="I23" s="29" t="str">
        <x:f>IF(OR(G23="",H23=""),"",G23&amp;"|"&amp;TEXT(H23,"000"))</x:f>
      </x:c>
      <x:c r="J23" s="21"/>
      <x:c r="K23" s="21"/>
      <x:c r="L23" s="21"/>
      <x:c r="M23" s="23"/>
      <x:c r="N23" s="23"/>
      <x:c r="O23" s="23"/>
      <x:c r="P23" s="21"/>
      <x:c r="Q23" s="29" t="str">
        <x:f>IF(P23="","",IFERROR(INDEX(DM_MA_LOI!$B$6:$B$105,MATCH(P23,DM_MA_LOI!$A$6:$A$105,0)),""))</x:f>
      </x:c>
      <x:c r="R23" s="29" t="str">
        <x:f>IF(P23="","",IFERROR(INDEX(DM_MA_LOI!$E$6:$E$105,MATCH(P23,DM_MA_LOI!$A$6:$A$105,0)),""))</x:f>
      </x:c>
      <x:c r="S23" s="29" t="str">
        <x:f>IF(P23="","",IFERROR(INDEX(DM_MA_LOI!$F$6:$F$105,MATCH(P23,DM_MA_LOI!$A$6:$A$105,0)),""))</x:f>
      </x:c>
      <x:c r="T23" s="21"/>
      <x:c r="U23" s="21"/>
      <x:c r="V23" s="21"/>
      <x:c r="W23" s="21"/>
      <x:c r="X23" s="21"/>
      <x:c r="Y23" s="21"/>
      <x:c r="Z23" s="21"/>
      <x:c r="AA23" s="29" t="str">
        <x:f>IF(A23="","",IF(OR(B23="",C23="",D23="",H23="",K23="",L23=""),"Thiếu dữ liệu",IF(M23&lt;&gt;N23+O23,"Sai cân đối SL",IF(AND(O23&gt;0,P23=""),"Thiếu mã lỗi","Hợp lệ"))))</x:f>
      </x:c>
    </x:row>
    <x:row r="24">
      <x:c r="A24" s="21"/>
      <x:c r="B24" s="43"/>
      <x:c r="C24" s="21"/>
      <x:c r="D24" s="21"/>
      <x:c r="E24" s="21"/>
      <x:c r="F24" s="21"/>
      <x:c r="G24" s="29" t="str">
        <x:f>IF(OR(C24="",D24=""),"",C24&amp;"|"&amp;D24&amp;"|"&amp;IF(E24="","00",E24)&amp;"|"&amp;IF(F24="","01",F24))</x:f>
      </x:c>
      <x:c r="H24" s="21"/>
      <x:c r="I24" s="29" t="str">
        <x:f>IF(OR(G24="",H24=""),"",G24&amp;"|"&amp;TEXT(H24,"000"))</x:f>
      </x:c>
      <x:c r="J24" s="21"/>
      <x:c r="K24" s="21"/>
      <x:c r="L24" s="21"/>
      <x:c r="M24" s="23"/>
      <x:c r="N24" s="23"/>
      <x:c r="O24" s="23"/>
      <x:c r="P24" s="21"/>
      <x:c r="Q24" s="29" t="str">
        <x:f>IF(P24="","",IFERROR(INDEX(DM_MA_LOI!$B$6:$B$105,MATCH(P24,DM_MA_LOI!$A$6:$A$105,0)),""))</x:f>
      </x:c>
      <x:c r="R24" s="29" t="str">
        <x:f>IF(P24="","",IFERROR(INDEX(DM_MA_LOI!$E$6:$E$105,MATCH(P24,DM_MA_LOI!$A$6:$A$105,0)),""))</x:f>
      </x:c>
      <x:c r="S24" s="29" t="str">
        <x:f>IF(P24="","",IFERROR(INDEX(DM_MA_LOI!$F$6:$F$105,MATCH(P24,DM_MA_LOI!$A$6:$A$105,0)),""))</x:f>
      </x:c>
      <x:c r="T24" s="21"/>
      <x:c r="U24" s="21"/>
      <x:c r="V24" s="21"/>
      <x:c r="W24" s="21"/>
      <x:c r="X24" s="21"/>
      <x:c r="Y24" s="21"/>
      <x:c r="Z24" s="21"/>
      <x:c r="AA24" s="29" t="str">
        <x:f>IF(A24="","",IF(OR(B24="",C24="",D24="",H24="",K24="",L24=""),"Thiếu dữ liệu",IF(M24&lt;&gt;N24+O24,"Sai cân đối SL",IF(AND(O24&gt;0,P24=""),"Thiếu mã lỗi","Hợp lệ"))))</x:f>
      </x:c>
    </x:row>
    <x:row r="25">
      <x:c r="A25" s="21"/>
      <x:c r="B25" s="43"/>
      <x:c r="C25" s="21"/>
      <x:c r="D25" s="21"/>
      <x:c r="E25" s="21"/>
      <x:c r="F25" s="21"/>
      <x:c r="G25" s="29" t="str">
        <x:f>IF(OR(C25="",D25=""),"",C25&amp;"|"&amp;D25&amp;"|"&amp;IF(E25="","00",E25)&amp;"|"&amp;IF(F25="","01",F25))</x:f>
      </x:c>
      <x:c r="H25" s="21"/>
      <x:c r="I25" s="29" t="str">
        <x:f>IF(OR(G25="",H25=""),"",G25&amp;"|"&amp;TEXT(H25,"000"))</x:f>
      </x:c>
      <x:c r="J25" s="21"/>
      <x:c r="K25" s="21"/>
      <x:c r="L25" s="21"/>
      <x:c r="M25" s="23"/>
      <x:c r="N25" s="23"/>
      <x:c r="O25" s="23"/>
      <x:c r="P25" s="21"/>
      <x:c r="Q25" s="29" t="str">
        <x:f>IF(P25="","",IFERROR(INDEX(DM_MA_LOI!$B$6:$B$105,MATCH(P25,DM_MA_LOI!$A$6:$A$105,0)),""))</x:f>
      </x:c>
      <x:c r="R25" s="29" t="str">
        <x:f>IF(P25="","",IFERROR(INDEX(DM_MA_LOI!$E$6:$E$105,MATCH(P25,DM_MA_LOI!$A$6:$A$105,0)),""))</x:f>
      </x:c>
      <x:c r="S25" s="29" t="str">
        <x:f>IF(P25="","",IFERROR(INDEX(DM_MA_LOI!$F$6:$F$105,MATCH(P25,DM_MA_LOI!$A$6:$A$105,0)),""))</x:f>
      </x:c>
      <x:c r="T25" s="21"/>
      <x:c r="U25" s="21"/>
      <x:c r="V25" s="21"/>
      <x:c r="W25" s="21"/>
      <x:c r="X25" s="21"/>
      <x:c r="Y25" s="21"/>
      <x:c r="Z25" s="21"/>
      <x:c r="AA25" s="29" t="str">
        <x:f>IF(A25="","",IF(OR(B25="",C25="",D25="",H25="",K25="",L25=""),"Thiếu dữ liệu",IF(M25&lt;&gt;N25+O25,"Sai cân đối SL",IF(AND(O25&gt;0,P25=""),"Thiếu mã lỗi","Hợp lệ"))))</x:f>
      </x:c>
    </x:row>
    <x:row r="26">
      <x:c r="A26" s="21"/>
      <x:c r="B26" s="43"/>
      <x:c r="C26" s="21"/>
      <x:c r="D26" s="21"/>
      <x:c r="E26" s="21"/>
      <x:c r="F26" s="21"/>
      <x:c r="G26" s="29" t="str">
        <x:f>IF(OR(C26="",D26=""),"",C26&amp;"|"&amp;D26&amp;"|"&amp;IF(E26="","00",E26)&amp;"|"&amp;IF(F26="","01",F26))</x:f>
      </x:c>
      <x:c r="H26" s="21"/>
      <x:c r="I26" s="29" t="str">
        <x:f>IF(OR(G26="",H26=""),"",G26&amp;"|"&amp;TEXT(H26,"000"))</x:f>
      </x:c>
      <x:c r="J26" s="21"/>
      <x:c r="K26" s="21"/>
      <x:c r="L26" s="21"/>
      <x:c r="M26" s="23"/>
      <x:c r="N26" s="23"/>
      <x:c r="O26" s="23"/>
      <x:c r="P26" s="21"/>
      <x:c r="Q26" s="29" t="str">
        <x:f>IF(P26="","",IFERROR(INDEX(DM_MA_LOI!$B$6:$B$105,MATCH(P26,DM_MA_LOI!$A$6:$A$105,0)),""))</x:f>
      </x:c>
      <x:c r="R26" s="29" t="str">
        <x:f>IF(P26="","",IFERROR(INDEX(DM_MA_LOI!$E$6:$E$105,MATCH(P26,DM_MA_LOI!$A$6:$A$105,0)),""))</x:f>
      </x:c>
      <x:c r="S26" s="29" t="str">
        <x:f>IF(P26="","",IFERROR(INDEX(DM_MA_LOI!$F$6:$F$105,MATCH(P26,DM_MA_LOI!$A$6:$A$105,0)),""))</x:f>
      </x:c>
      <x:c r="T26" s="21"/>
      <x:c r="U26" s="21"/>
      <x:c r="V26" s="21"/>
      <x:c r="W26" s="21"/>
      <x:c r="X26" s="21"/>
      <x:c r="Y26" s="21"/>
      <x:c r="Z26" s="21"/>
      <x:c r="AA26" s="29" t="str">
        <x:f>IF(A26="","",IF(OR(B26="",C26="",D26="",H26="",K26="",L26=""),"Thiếu dữ liệu",IF(M26&lt;&gt;N26+O26,"Sai cân đối SL",IF(AND(O26&gt;0,P26=""),"Thiếu mã lỗi","Hợp lệ"))))</x:f>
      </x:c>
    </x:row>
    <x:row r="27">
      <x:c r="A27" s="21"/>
      <x:c r="B27" s="43"/>
      <x:c r="C27" s="21"/>
      <x:c r="D27" s="21"/>
      <x:c r="E27" s="21"/>
      <x:c r="F27" s="21"/>
      <x:c r="G27" s="29" t="str">
        <x:f>IF(OR(C27="",D27=""),"",C27&amp;"|"&amp;D27&amp;"|"&amp;IF(E27="","00",E27)&amp;"|"&amp;IF(F27="","01",F27))</x:f>
      </x:c>
      <x:c r="H27" s="21"/>
      <x:c r="I27" s="29" t="str">
        <x:f>IF(OR(G27="",H27=""),"",G27&amp;"|"&amp;TEXT(H27,"000"))</x:f>
      </x:c>
      <x:c r="J27" s="21"/>
      <x:c r="K27" s="21"/>
      <x:c r="L27" s="21"/>
      <x:c r="M27" s="23"/>
      <x:c r="N27" s="23"/>
      <x:c r="O27" s="23"/>
      <x:c r="P27" s="21"/>
      <x:c r="Q27" s="29" t="str">
        <x:f>IF(P27="","",IFERROR(INDEX(DM_MA_LOI!$B$6:$B$105,MATCH(P27,DM_MA_LOI!$A$6:$A$105,0)),""))</x:f>
      </x:c>
      <x:c r="R27" s="29" t="str">
        <x:f>IF(P27="","",IFERROR(INDEX(DM_MA_LOI!$E$6:$E$105,MATCH(P27,DM_MA_LOI!$A$6:$A$105,0)),""))</x:f>
      </x:c>
      <x:c r="S27" s="29" t="str">
        <x:f>IF(P27="","",IFERROR(INDEX(DM_MA_LOI!$F$6:$F$105,MATCH(P27,DM_MA_LOI!$A$6:$A$105,0)),""))</x:f>
      </x:c>
      <x:c r="T27" s="21"/>
      <x:c r="U27" s="21"/>
      <x:c r="V27" s="21"/>
      <x:c r="W27" s="21"/>
      <x:c r="X27" s="21"/>
      <x:c r="Y27" s="21"/>
      <x:c r="Z27" s="21"/>
      <x:c r="AA27" s="29" t="str">
        <x:f>IF(A27="","",IF(OR(B27="",C27="",D27="",H27="",K27="",L27=""),"Thiếu dữ liệu",IF(M27&lt;&gt;N27+O27,"Sai cân đối SL",IF(AND(O27&gt;0,P27=""),"Thiếu mã lỗi","Hợp lệ"))))</x:f>
      </x:c>
    </x:row>
    <x:row r="28">
      <x:c r="A28" s="21"/>
      <x:c r="B28" s="43"/>
      <x:c r="C28" s="21"/>
      <x:c r="D28" s="21"/>
      <x:c r="E28" s="21"/>
      <x:c r="F28" s="21"/>
      <x:c r="G28" s="29" t="str">
        <x:f>IF(OR(C28="",D28=""),"",C28&amp;"|"&amp;D28&amp;"|"&amp;IF(E28="","00",E28)&amp;"|"&amp;IF(F28="","01",F28))</x:f>
      </x:c>
      <x:c r="H28" s="21"/>
      <x:c r="I28" s="29" t="str">
        <x:f>IF(OR(G28="",H28=""),"",G28&amp;"|"&amp;TEXT(H28,"000"))</x:f>
      </x:c>
      <x:c r="J28" s="21"/>
      <x:c r="K28" s="21"/>
      <x:c r="L28" s="21"/>
      <x:c r="M28" s="23"/>
      <x:c r="N28" s="23"/>
      <x:c r="O28" s="23"/>
      <x:c r="P28" s="21"/>
      <x:c r="Q28" s="29" t="str">
        <x:f>IF(P28="","",IFERROR(INDEX(DM_MA_LOI!$B$6:$B$105,MATCH(P28,DM_MA_LOI!$A$6:$A$105,0)),""))</x:f>
      </x:c>
      <x:c r="R28" s="29" t="str">
        <x:f>IF(P28="","",IFERROR(INDEX(DM_MA_LOI!$E$6:$E$105,MATCH(P28,DM_MA_LOI!$A$6:$A$105,0)),""))</x:f>
      </x:c>
      <x:c r="S28" s="29" t="str">
        <x:f>IF(P28="","",IFERROR(INDEX(DM_MA_LOI!$F$6:$F$105,MATCH(P28,DM_MA_LOI!$A$6:$A$105,0)),""))</x:f>
      </x:c>
      <x:c r="T28" s="21"/>
      <x:c r="U28" s="21"/>
      <x:c r="V28" s="21"/>
      <x:c r="W28" s="21"/>
      <x:c r="X28" s="21"/>
      <x:c r="Y28" s="21"/>
      <x:c r="Z28" s="21"/>
      <x:c r="AA28" s="29" t="str">
        <x:f>IF(A28="","",IF(OR(B28="",C28="",D28="",H28="",K28="",L28=""),"Thiếu dữ liệu",IF(M28&lt;&gt;N28+O28,"Sai cân đối SL",IF(AND(O28&gt;0,P28=""),"Thiếu mã lỗi","Hợp lệ"))))</x:f>
      </x:c>
    </x:row>
    <x:row r="29">
      <x:c r="A29" s="21"/>
      <x:c r="B29" s="43"/>
      <x:c r="C29" s="21"/>
      <x:c r="D29" s="21"/>
      <x:c r="E29" s="21"/>
      <x:c r="F29" s="21"/>
      <x:c r="G29" s="29" t="str">
        <x:f>IF(OR(C29="",D29=""),"",C29&amp;"|"&amp;D29&amp;"|"&amp;IF(E29="","00",E29)&amp;"|"&amp;IF(F29="","01",F29))</x:f>
      </x:c>
      <x:c r="H29" s="21"/>
      <x:c r="I29" s="29" t="str">
        <x:f>IF(OR(G29="",H29=""),"",G29&amp;"|"&amp;TEXT(H29,"000"))</x:f>
      </x:c>
      <x:c r="J29" s="21"/>
      <x:c r="K29" s="21"/>
      <x:c r="L29" s="21"/>
      <x:c r="M29" s="23"/>
      <x:c r="N29" s="23"/>
      <x:c r="O29" s="23"/>
      <x:c r="P29" s="21"/>
      <x:c r="Q29" s="29" t="str">
        <x:f>IF(P29="","",IFERROR(INDEX(DM_MA_LOI!$B$6:$B$105,MATCH(P29,DM_MA_LOI!$A$6:$A$105,0)),""))</x:f>
      </x:c>
      <x:c r="R29" s="29" t="str">
        <x:f>IF(P29="","",IFERROR(INDEX(DM_MA_LOI!$E$6:$E$105,MATCH(P29,DM_MA_LOI!$A$6:$A$105,0)),""))</x:f>
      </x:c>
      <x:c r="S29" s="29" t="str">
        <x:f>IF(P29="","",IFERROR(INDEX(DM_MA_LOI!$F$6:$F$105,MATCH(P29,DM_MA_LOI!$A$6:$A$105,0)),""))</x:f>
      </x:c>
      <x:c r="T29" s="21"/>
      <x:c r="U29" s="21"/>
      <x:c r="V29" s="21"/>
      <x:c r="W29" s="21"/>
      <x:c r="X29" s="21"/>
      <x:c r="Y29" s="21"/>
      <x:c r="Z29" s="21"/>
      <x:c r="AA29" s="29" t="str">
        <x:f>IF(A29="","",IF(OR(B29="",C29="",D29="",H29="",K29="",L29=""),"Thiếu dữ liệu",IF(M29&lt;&gt;N29+O29,"Sai cân đối SL",IF(AND(O29&gt;0,P29=""),"Thiếu mã lỗi","Hợp lệ"))))</x:f>
      </x:c>
    </x:row>
    <x:row r="30">
      <x:c r="A30" s="21"/>
      <x:c r="B30" s="43"/>
      <x:c r="C30" s="21"/>
      <x:c r="D30" s="21"/>
      <x:c r="E30" s="21"/>
      <x:c r="F30" s="21"/>
      <x:c r="G30" s="29" t="str">
        <x:f>IF(OR(C30="",D30=""),"",C30&amp;"|"&amp;D30&amp;"|"&amp;IF(E30="","00",E30)&amp;"|"&amp;IF(F30="","01",F30))</x:f>
      </x:c>
      <x:c r="H30" s="21"/>
      <x:c r="I30" s="29" t="str">
        <x:f>IF(OR(G30="",H30=""),"",G30&amp;"|"&amp;TEXT(H30,"000"))</x:f>
      </x:c>
      <x:c r="J30" s="21"/>
      <x:c r="K30" s="21"/>
      <x:c r="L30" s="21"/>
      <x:c r="M30" s="23"/>
      <x:c r="N30" s="23"/>
      <x:c r="O30" s="23"/>
      <x:c r="P30" s="21"/>
      <x:c r="Q30" s="29" t="str">
        <x:f>IF(P30="","",IFERROR(INDEX(DM_MA_LOI!$B$6:$B$105,MATCH(P30,DM_MA_LOI!$A$6:$A$105,0)),""))</x:f>
      </x:c>
      <x:c r="R30" s="29" t="str">
        <x:f>IF(P30="","",IFERROR(INDEX(DM_MA_LOI!$E$6:$E$105,MATCH(P30,DM_MA_LOI!$A$6:$A$105,0)),""))</x:f>
      </x:c>
      <x:c r="S30" s="29" t="str">
        <x:f>IF(P30="","",IFERROR(INDEX(DM_MA_LOI!$F$6:$F$105,MATCH(P30,DM_MA_LOI!$A$6:$A$105,0)),""))</x:f>
      </x:c>
      <x:c r="T30" s="21"/>
      <x:c r="U30" s="21"/>
      <x:c r="V30" s="21"/>
      <x:c r="W30" s="21"/>
      <x:c r="X30" s="21"/>
      <x:c r="Y30" s="21"/>
      <x:c r="Z30" s="21"/>
      <x:c r="AA30" s="29" t="str">
        <x:f>IF(A30="","",IF(OR(B30="",C30="",D30="",H30="",K30="",L30=""),"Thiếu dữ liệu",IF(M30&lt;&gt;N30+O30,"Sai cân đối SL",IF(AND(O30&gt;0,P30=""),"Thiếu mã lỗi","Hợp lệ"))))</x:f>
      </x:c>
    </x:row>
    <x:row r="31">
      <x:c r="A31" s="21"/>
      <x:c r="B31" s="43"/>
      <x:c r="C31" s="21"/>
      <x:c r="D31" s="21"/>
      <x:c r="E31" s="21"/>
      <x:c r="F31" s="21"/>
      <x:c r="G31" s="29" t="str">
        <x:f>IF(OR(C31="",D31=""),"",C31&amp;"|"&amp;D31&amp;"|"&amp;IF(E31="","00",E31)&amp;"|"&amp;IF(F31="","01",F31))</x:f>
      </x:c>
      <x:c r="H31" s="21"/>
      <x:c r="I31" s="29" t="str">
        <x:f>IF(OR(G31="",H31=""),"",G31&amp;"|"&amp;TEXT(H31,"000"))</x:f>
      </x:c>
      <x:c r="J31" s="21"/>
      <x:c r="K31" s="21"/>
      <x:c r="L31" s="21"/>
      <x:c r="M31" s="23"/>
      <x:c r="N31" s="23"/>
      <x:c r="O31" s="23"/>
      <x:c r="P31" s="21"/>
      <x:c r="Q31" s="29" t="str">
        <x:f>IF(P31="","",IFERROR(INDEX(DM_MA_LOI!$B$6:$B$105,MATCH(P31,DM_MA_LOI!$A$6:$A$105,0)),""))</x:f>
      </x:c>
      <x:c r="R31" s="29" t="str">
        <x:f>IF(P31="","",IFERROR(INDEX(DM_MA_LOI!$E$6:$E$105,MATCH(P31,DM_MA_LOI!$A$6:$A$105,0)),""))</x:f>
      </x:c>
      <x:c r="S31" s="29" t="str">
        <x:f>IF(P31="","",IFERROR(INDEX(DM_MA_LOI!$F$6:$F$105,MATCH(P31,DM_MA_LOI!$A$6:$A$105,0)),""))</x:f>
      </x:c>
      <x:c r="T31" s="21"/>
      <x:c r="U31" s="21"/>
      <x:c r="V31" s="21"/>
      <x:c r="W31" s="21"/>
      <x:c r="X31" s="21"/>
      <x:c r="Y31" s="21"/>
      <x:c r="Z31" s="21"/>
      <x:c r="AA31" s="29" t="str">
        <x:f>IF(A31="","",IF(OR(B31="",C31="",D31="",H31="",K31="",L31=""),"Thiếu dữ liệu",IF(M31&lt;&gt;N31+O31,"Sai cân đối SL",IF(AND(O31&gt;0,P31=""),"Thiếu mã lỗi","Hợp lệ"))))</x:f>
      </x:c>
    </x:row>
    <x:row r="32">
      <x:c r="A32" s="21"/>
      <x:c r="B32" s="43"/>
      <x:c r="C32" s="21"/>
      <x:c r="D32" s="21"/>
      <x:c r="E32" s="21"/>
      <x:c r="F32" s="21"/>
      <x:c r="G32" s="29" t="str">
        <x:f>IF(OR(C32="",D32=""),"",C32&amp;"|"&amp;D32&amp;"|"&amp;IF(E32="","00",E32)&amp;"|"&amp;IF(F32="","01",F32))</x:f>
      </x:c>
      <x:c r="H32" s="21"/>
      <x:c r="I32" s="29" t="str">
        <x:f>IF(OR(G32="",H32=""),"",G32&amp;"|"&amp;TEXT(H32,"000"))</x:f>
      </x:c>
      <x:c r="J32" s="21"/>
      <x:c r="K32" s="21"/>
      <x:c r="L32" s="21"/>
      <x:c r="M32" s="23"/>
      <x:c r="N32" s="23"/>
      <x:c r="O32" s="23"/>
      <x:c r="P32" s="21"/>
      <x:c r="Q32" s="29" t="str">
        <x:f>IF(P32="","",IFERROR(INDEX(DM_MA_LOI!$B$6:$B$105,MATCH(P32,DM_MA_LOI!$A$6:$A$105,0)),""))</x:f>
      </x:c>
      <x:c r="R32" s="29" t="str">
        <x:f>IF(P32="","",IFERROR(INDEX(DM_MA_LOI!$E$6:$E$105,MATCH(P32,DM_MA_LOI!$A$6:$A$105,0)),""))</x:f>
      </x:c>
      <x:c r="S32" s="29" t="str">
        <x:f>IF(P32="","",IFERROR(INDEX(DM_MA_LOI!$F$6:$F$105,MATCH(P32,DM_MA_LOI!$A$6:$A$105,0)),""))</x:f>
      </x:c>
      <x:c r="T32" s="21"/>
      <x:c r="U32" s="21"/>
      <x:c r="V32" s="21"/>
      <x:c r="W32" s="21"/>
      <x:c r="X32" s="21"/>
      <x:c r="Y32" s="21"/>
      <x:c r="Z32" s="21"/>
      <x:c r="AA32" s="29" t="str">
        <x:f>IF(A32="","",IF(OR(B32="",C32="",D32="",H32="",K32="",L32=""),"Thiếu dữ liệu",IF(M32&lt;&gt;N32+O32,"Sai cân đối SL",IF(AND(O32&gt;0,P32=""),"Thiếu mã lỗi","Hợp lệ"))))</x:f>
      </x:c>
    </x:row>
    <x:row r="33">
      <x:c r="A33" s="21"/>
      <x:c r="B33" s="43"/>
      <x:c r="C33" s="21"/>
      <x:c r="D33" s="21"/>
      <x:c r="E33" s="21"/>
      <x:c r="F33" s="21"/>
      <x:c r="G33" s="29" t="str">
        <x:f>IF(OR(C33="",D33=""),"",C33&amp;"|"&amp;D33&amp;"|"&amp;IF(E33="","00",E33)&amp;"|"&amp;IF(F33="","01",F33))</x:f>
      </x:c>
      <x:c r="H33" s="21"/>
      <x:c r="I33" s="29" t="str">
        <x:f>IF(OR(G33="",H33=""),"",G33&amp;"|"&amp;TEXT(H33,"000"))</x:f>
      </x:c>
      <x:c r="J33" s="21"/>
      <x:c r="K33" s="21"/>
      <x:c r="L33" s="21"/>
      <x:c r="M33" s="23"/>
      <x:c r="N33" s="23"/>
      <x:c r="O33" s="23"/>
      <x:c r="P33" s="21"/>
      <x:c r="Q33" s="29" t="str">
        <x:f>IF(P33="","",IFERROR(INDEX(DM_MA_LOI!$B$6:$B$105,MATCH(P33,DM_MA_LOI!$A$6:$A$105,0)),""))</x:f>
      </x:c>
      <x:c r="R33" s="29" t="str">
        <x:f>IF(P33="","",IFERROR(INDEX(DM_MA_LOI!$E$6:$E$105,MATCH(P33,DM_MA_LOI!$A$6:$A$105,0)),""))</x:f>
      </x:c>
      <x:c r="S33" s="29" t="str">
        <x:f>IF(P33="","",IFERROR(INDEX(DM_MA_LOI!$F$6:$F$105,MATCH(P33,DM_MA_LOI!$A$6:$A$105,0)),""))</x:f>
      </x:c>
      <x:c r="T33" s="21"/>
      <x:c r="U33" s="21"/>
      <x:c r="V33" s="21"/>
      <x:c r="W33" s="21"/>
      <x:c r="X33" s="21"/>
      <x:c r="Y33" s="21"/>
      <x:c r="Z33" s="21"/>
      <x:c r="AA33" s="29" t="str">
        <x:f>IF(A33="","",IF(OR(B33="",C33="",D33="",H33="",K33="",L33=""),"Thiếu dữ liệu",IF(M33&lt;&gt;N33+O33,"Sai cân đối SL",IF(AND(O33&gt;0,P33=""),"Thiếu mã lỗi","Hợp lệ"))))</x:f>
      </x:c>
    </x:row>
    <x:row r="34">
      <x:c r="A34" s="21"/>
      <x:c r="B34" s="43"/>
      <x:c r="C34" s="21"/>
      <x:c r="D34" s="21"/>
      <x:c r="E34" s="21"/>
      <x:c r="F34" s="21"/>
      <x:c r="G34" s="29" t="str">
        <x:f>IF(OR(C34="",D34=""),"",C34&amp;"|"&amp;D34&amp;"|"&amp;IF(E34="","00",E34)&amp;"|"&amp;IF(F34="","01",F34))</x:f>
      </x:c>
      <x:c r="H34" s="21"/>
      <x:c r="I34" s="29" t="str">
        <x:f>IF(OR(G34="",H34=""),"",G34&amp;"|"&amp;TEXT(H34,"000"))</x:f>
      </x:c>
      <x:c r="J34" s="21"/>
      <x:c r="K34" s="21"/>
      <x:c r="L34" s="21"/>
      <x:c r="M34" s="23"/>
      <x:c r="N34" s="23"/>
      <x:c r="O34" s="23"/>
      <x:c r="P34" s="21"/>
      <x:c r="Q34" s="29" t="str">
        <x:f>IF(P34="","",IFERROR(INDEX(DM_MA_LOI!$B$6:$B$105,MATCH(P34,DM_MA_LOI!$A$6:$A$105,0)),""))</x:f>
      </x:c>
      <x:c r="R34" s="29" t="str">
        <x:f>IF(P34="","",IFERROR(INDEX(DM_MA_LOI!$E$6:$E$105,MATCH(P34,DM_MA_LOI!$A$6:$A$105,0)),""))</x:f>
      </x:c>
      <x:c r="S34" s="29" t="str">
        <x:f>IF(P34="","",IFERROR(INDEX(DM_MA_LOI!$F$6:$F$105,MATCH(P34,DM_MA_LOI!$A$6:$A$105,0)),""))</x:f>
      </x:c>
      <x:c r="T34" s="21"/>
      <x:c r="U34" s="21"/>
      <x:c r="V34" s="21"/>
      <x:c r="W34" s="21"/>
      <x:c r="X34" s="21"/>
      <x:c r="Y34" s="21"/>
      <x:c r="Z34" s="21"/>
      <x:c r="AA34" s="29" t="str">
        <x:f>IF(A34="","",IF(OR(B34="",C34="",D34="",H34="",K34="",L34=""),"Thiếu dữ liệu",IF(M34&lt;&gt;N34+O34,"Sai cân đối SL",IF(AND(O34&gt;0,P34=""),"Thiếu mã lỗi","Hợp lệ"))))</x:f>
      </x:c>
    </x:row>
    <x:row r="35">
      <x:c r="A35" s="21"/>
      <x:c r="B35" s="43"/>
      <x:c r="C35" s="21"/>
      <x:c r="D35" s="21"/>
      <x:c r="E35" s="21"/>
      <x:c r="F35" s="21"/>
      <x:c r="G35" s="29" t="str">
        <x:f>IF(OR(C35="",D35=""),"",C35&amp;"|"&amp;D35&amp;"|"&amp;IF(E35="","00",E35)&amp;"|"&amp;IF(F35="","01",F35))</x:f>
      </x:c>
      <x:c r="H35" s="21"/>
      <x:c r="I35" s="29" t="str">
        <x:f>IF(OR(G35="",H35=""),"",G35&amp;"|"&amp;TEXT(H35,"000"))</x:f>
      </x:c>
      <x:c r="J35" s="21"/>
      <x:c r="K35" s="21"/>
      <x:c r="L35" s="21"/>
      <x:c r="M35" s="23"/>
      <x:c r="N35" s="23"/>
      <x:c r="O35" s="23"/>
      <x:c r="P35" s="21"/>
      <x:c r="Q35" s="29" t="str">
        <x:f>IF(P35="","",IFERROR(INDEX(DM_MA_LOI!$B$6:$B$105,MATCH(P35,DM_MA_LOI!$A$6:$A$105,0)),""))</x:f>
      </x:c>
      <x:c r="R35" s="29" t="str">
        <x:f>IF(P35="","",IFERROR(INDEX(DM_MA_LOI!$E$6:$E$105,MATCH(P35,DM_MA_LOI!$A$6:$A$105,0)),""))</x:f>
      </x:c>
      <x:c r="S35" s="29" t="str">
        <x:f>IF(P35="","",IFERROR(INDEX(DM_MA_LOI!$F$6:$F$105,MATCH(P35,DM_MA_LOI!$A$6:$A$105,0)),""))</x:f>
      </x:c>
      <x:c r="T35" s="21"/>
      <x:c r="U35" s="21"/>
      <x:c r="V35" s="21"/>
      <x:c r="W35" s="21"/>
      <x:c r="X35" s="21"/>
      <x:c r="Y35" s="21"/>
      <x:c r="Z35" s="21"/>
      <x:c r="AA35" s="29" t="str">
        <x:f>IF(A35="","",IF(OR(B35="",C35="",D35="",H35="",K35="",L35=""),"Thiếu dữ liệu",IF(M35&lt;&gt;N35+O35,"Sai cân đối SL",IF(AND(O35&gt;0,P35=""),"Thiếu mã lỗi","Hợp lệ"))))</x:f>
      </x:c>
    </x:row>
    <x:row r="36">
      <x:c r="A36" s="21"/>
      <x:c r="B36" s="43"/>
      <x:c r="C36" s="21"/>
      <x:c r="D36" s="21"/>
      <x:c r="E36" s="21"/>
      <x:c r="F36" s="21"/>
      <x:c r="G36" s="29" t="str">
        <x:f>IF(OR(C36="",D36=""),"",C36&amp;"|"&amp;D36&amp;"|"&amp;IF(E36="","00",E36)&amp;"|"&amp;IF(F36="","01",F36))</x:f>
      </x:c>
      <x:c r="H36" s="21"/>
      <x:c r="I36" s="29" t="str">
        <x:f>IF(OR(G36="",H36=""),"",G36&amp;"|"&amp;TEXT(H36,"000"))</x:f>
      </x:c>
      <x:c r="J36" s="21"/>
      <x:c r="K36" s="21"/>
      <x:c r="L36" s="21"/>
      <x:c r="M36" s="23"/>
      <x:c r="N36" s="23"/>
      <x:c r="O36" s="23"/>
      <x:c r="P36" s="21"/>
      <x:c r="Q36" s="29" t="str">
        <x:f>IF(P36="","",IFERROR(INDEX(DM_MA_LOI!$B$6:$B$105,MATCH(P36,DM_MA_LOI!$A$6:$A$105,0)),""))</x:f>
      </x:c>
      <x:c r="R36" s="29" t="str">
        <x:f>IF(P36="","",IFERROR(INDEX(DM_MA_LOI!$E$6:$E$105,MATCH(P36,DM_MA_LOI!$A$6:$A$105,0)),""))</x:f>
      </x:c>
      <x:c r="S36" s="29" t="str">
        <x:f>IF(P36="","",IFERROR(INDEX(DM_MA_LOI!$F$6:$F$105,MATCH(P36,DM_MA_LOI!$A$6:$A$105,0)),""))</x:f>
      </x:c>
      <x:c r="T36" s="21"/>
      <x:c r="U36" s="21"/>
      <x:c r="V36" s="21"/>
      <x:c r="W36" s="21"/>
      <x:c r="X36" s="21"/>
      <x:c r="Y36" s="21"/>
      <x:c r="Z36" s="21"/>
      <x:c r="AA36" s="29" t="str">
        <x:f>IF(A36="","",IF(OR(B36="",C36="",D36="",H36="",K36="",L36=""),"Thiếu dữ liệu",IF(M36&lt;&gt;N36+O36,"Sai cân đối SL",IF(AND(O36&gt;0,P36=""),"Thiếu mã lỗi","Hợp lệ"))))</x:f>
      </x:c>
    </x:row>
    <x:row r="37">
      <x:c r="A37" s="21"/>
      <x:c r="B37" s="43"/>
      <x:c r="C37" s="21"/>
      <x:c r="D37" s="21"/>
      <x:c r="E37" s="21"/>
      <x:c r="F37" s="21"/>
      <x:c r="G37" s="29" t="str">
        <x:f>IF(OR(C37="",D37=""),"",C37&amp;"|"&amp;D37&amp;"|"&amp;IF(E37="","00",E37)&amp;"|"&amp;IF(F37="","01",F37))</x:f>
      </x:c>
      <x:c r="H37" s="21"/>
      <x:c r="I37" s="29" t="str">
        <x:f>IF(OR(G37="",H37=""),"",G37&amp;"|"&amp;TEXT(H37,"000"))</x:f>
      </x:c>
      <x:c r="J37" s="21"/>
      <x:c r="K37" s="21"/>
      <x:c r="L37" s="21"/>
      <x:c r="M37" s="23"/>
      <x:c r="N37" s="23"/>
      <x:c r="O37" s="23"/>
      <x:c r="P37" s="21"/>
      <x:c r="Q37" s="29" t="str">
        <x:f>IF(P37="","",IFERROR(INDEX(DM_MA_LOI!$B$6:$B$105,MATCH(P37,DM_MA_LOI!$A$6:$A$105,0)),""))</x:f>
      </x:c>
      <x:c r="R37" s="29" t="str">
        <x:f>IF(P37="","",IFERROR(INDEX(DM_MA_LOI!$E$6:$E$105,MATCH(P37,DM_MA_LOI!$A$6:$A$105,0)),""))</x:f>
      </x:c>
      <x:c r="S37" s="29" t="str">
        <x:f>IF(P37="","",IFERROR(INDEX(DM_MA_LOI!$F$6:$F$105,MATCH(P37,DM_MA_LOI!$A$6:$A$105,0)),""))</x:f>
      </x:c>
      <x:c r="T37" s="21"/>
      <x:c r="U37" s="21"/>
      <x:c r="V37" s="21"/>
      <x:c r="W37" s="21"/>
      <x:c r="X37" s="21"/>
      <x:c r="Y37" s="21"/>
      <x:c r="Z37" s="21"/>
      <x:c r="AA37" s="29" t="str">
        <x:f>IF(A37="","",IF(OR(B37="",C37="",D37="",H37="",K37="",L37=""),"Thiếu dữ liệu",IF(M37&lt;&gt;N37+O37,"Sai cân đối SL",IF(AND(O37&gt;0,P37=""),"Thiếu mã lỗi","Hợp lệ"))))</x:f>
      </x:c>
    </x:row>
    <x:row r="38">
      <x:c r="A38" s="21"/>
      <x:c r="B38" s="43"/>
      <x:c r="C38" s="21"/>
      <x:c r="D38" s="21"/>
      <x:c r="E38" s="21"/>
      <x:c r="F38" s="21"/>
      <x:c r="G38" s="29" t="str">
        <x:f>IF(OR(C38="",D38=""),"",C38&amp;"|"&amp;D38&amp;"|"&amp;IF(E38="","00",E38)&amp;"|"&amp;IF(F38="","01",F38))</x:f>
      </x:c>
      <x:c r="H38" s="21"/>
      <x:c r="I38" s="29" t="str">
        <x:f>IF(OR(G38="",H38=""),"",G38&amp;"|"&amp;TEXT(H38,"000"))</x:f>
      </x:c>
      <x:c r="J38" s="21"/>
      <x:c r="K38" s="21"/>
      <x:c r="L38" s="21"/>
      <x:c r="M38" s="23"/>
      <x:c r="N38" s="23"/>
      <x:c r="O38" s="23"/>
      <x:c r="P38" s="21"/>
      <x:c r="Q38" s="29" t="str">
        <x:f>IF(P38="","",IFERROR(INDEX(DM_MA_LOI!$B$6:$B$105,MATCH(P38,DM_MA_LOI!$A$6:$A$105,0)),""))</x:f>
      </x:c>
      <x:c r="R38" s="29" t="str">
        <x:f>IF(P38="","",IFERROR(INDEX(DM_MA_LOI!$E$6:$E$105,MATCH(P38,DM_MA_LOI!$A$6:$A$105,0)),""))</x:f>
      </x:c>
      <x:c r="S38" s="29" t="str">
        <x:f>IF(P38="","",IFERROR(INDEX(DM_MA_LOI!$F$6:$F$105,MATCH(P38,DM_MA_LOI!$A$6:$A$105,0)),""))</x:f>
      </x:c>
      <x:c r="T38" s="21"/>
      <x:c r="U38" s="21"/>
      <x:c r="V38" s="21"/>
      <x:c r="W38" s="21"/>
      <x:c r="X38" s="21"/>
      <x:c r="Y38" s="21"/>
      <x:c r="Z38" s="21"/>
      <x:c r="AA38" s="29" t="str">
        <x:f>IF(A38="","",IF(OR(B38="",C38="",D38="",H38="",K38="",L38=""),"Thiếu dữ liệu",IF(M38&lt;&gt;N38+O38,"Sai cân đối SL",IF(AND(O38&gt;0,P38=""),"Thiếu mã lỗi","Hợp lệ"))))</x:f>
      </x:c>
    </x:row>
    <x:row r="39">
      <x:c r="A39" s="21"/>
      <x:c r="B39" s="43"/>
      <x:c r="C39" s="21"/>
      <x:c r="D39" s="21"/>
      <x:c r="E39" s="21"/>
      <x:c r="F39" s="21"/>
      <x:c r="G39" s="29" t="str">
        <x:f>IF(OR(C39="",D39=""),"",C39&amp;"|"&amp;D39&amp;"|"&amp;IF(E39="","00",E39)&amp;"|"&amp;IF(F39="","01",F39))</x:f>
      </x:c>
      <x:c r="H39" s="21"/>
      <x:c r="I39" s="29" t="str">
        <x:f>IF(OR(G39="",H39=""),"",G39&amp;"|"&amp;TEXT(H39,"000"))</x:f>
      </x:c>
      <x:c r="J39" s="21"/>
      <x:c r="K39" s="21"/>
      <x:c r="L39" s="21"/>
      <x:c r="M39" s="23"/>
      <x:c r="N39" s="23"/>
      <x:c r="O39" s="23"/>
      <x:c r="P39" s="21"/>
      <x:c r="Q39" s="29" t="str">
        <x:f>IF(P39="","",IFERROR(INDEX(DM_MA_LOI!$B$6:$B$105,MATCH(P39,DM_MA_LOI!$A$6:$A$105,0)),""))</x:f>
      </x:c>
      <x:c r="R39" s="29" t="str">
        <x:f>IF(P39="","",IFERROR(INDEX(DM_MA_LOI!$E$6:$E$105,MATCH(P39,DM_MA_LOI!$A$6:$A$105,0)),""))</x:f>
      </x:c>
      <x:c r="S39" s="29" t="str">
        <x:f>IF(P39="","",IFERROR(INDEX(DM_MA_LOI!$F$6:$F$105,MATCH(P39,DM_MA_LOI!$A$6:$A$105,0)),""))</x:f>
      </x:c>
      <x:c r="T39" s="21"/>
      <x:c r="U39" s="21"/>
      <x:c r="V39" s="21"/>
      <x:c r="W39" s="21"/>
      <x:c r="X39" s="21"/>
      <x:c r="Y39" s="21"/>
      <x:c r="Z39" s="21"/>
      <x:c r="AA39" s="29" t="str">
        <x:f>IF(A39="","",IF(OR(B39="",C39="",D39="",H39="",K39="",L39=""),"Thiếu dữ liệu",IF(M39&lt;&gt;N39+O39,"Sai cân đối SL",IF(AND(O39&gt;0,P39=""),"Thiếu mã lỗi","Hợp lệ"))))</x:f>
      </x:c>
    </x:row>
    <x:row r="40">
      <x:c r="A40" s="21"/>
      <x:c r="B40" s="43"/>
      <x:c r="C40" s="21"/>
      <x:c r="D40" s="21"/>
      <x:c r="E40" s="21"/>
      <x:c r="F40" s="21"/>
      <x:c r="G40" s="29" t="str">
        <x:f>IF(OR(C40="",D40=""),"",C40&amp;"|"&amp;D40&amp;"|"&amp;IF(E40="","00",E40)&amp;"|"&amp;IF(F40="","01",F40))</x:f>
      </x:c>
      <x:c r="H40" s="21"/>
      <x:c r="I40" s="29" t="str">
        <x:f>IF(OR(G40="",H40=""),"",G40&amp;"|"&amp;TEXT(H40,"000"))</x:f>
      </x:c>
      <x:c r="J40" s="21"/>
      <x:c r="K40" s="21"/>
      <x:c r="L40" s="21"/>
      <x:c r="M40" s="23"/>
      <x:c r="N40" s="23"/>
      <x:c r="O40" s="23"/>
      <x:c r="P40" s="21"/>
      <x:c r="Q40" s="29" t="str">
        <x:f>IF(P40="","",IFERROR(INDEX(DM_MA_LOI!$B$6:$B$105,MATCH(P40,DM_MA_LOI!$A$6:$A$105,0)),""))</x:f>
      </x:c>
      <x:c r="R40" s="29" t="str">
        <x:f>IF(P40="","",IFERROR(INDEX(DM_MA_LOI!$E$6:$E$105,MATCH(P40,DM_MA_LOI!$A$6:$A$105,0)),""))</x:f>
      </x:c>
      <x:c r="S40" s="29" t="str">
        <x:f>IF(P40="","",IFERROR(INDEX(DM_MA_LOI!$F$6:$F$105,MATCH(P40,DM_MA_LOI!$A$6:$A$105,0)),""))</x:f>
      </x:c>
      <x:c r="T40" s="21"/>
      <x:c r="U40" s="21"/>
      <x:c r="V40" s="21"/>
      <x:c r="W40" s="21"/>
      <x:c r="X40" s="21"/>
      <x:c r="Y40" s="21"/>
      <x:c r="Z40" s="21"/>
      <x:c r="AA40" s="29" t="str">
        <x:f>IF(A40="","",IF(OR(B40="",C40="",D40="",H40="",K40="",L40=""),"Thiếu dữ liệu",IF(M40&lt;&gt;N40+O40,"Sai cân đối SL",IF(AND(O40&gt;0,P40=""),"Thiếu mã lỗi","Hợp lệ"))))</x:f>
      </x:c>
    </x:row>
    <x:row r="41">
      <x:c r="A41" s="21"/>
      <x:c r="B41" s="43"/>
      <x:c r="C41" s="21"/>
      <x:c r="D41" s="21"/>
      <x:c r="E41" s="21"/>
      <x:c r="F41" s="21"/>
      <x:c r="G41" s="29" t="str">
        <x:f>IF(OR(C41="",D41=""),"",C41&amp;"|"&amp;D41&amp;"|"&amp;IF(E41="","00",E41)&amp;"|"&amp;IF(F41="","01",F41))</x:f>
      </x:c>
      <x:c r="H41" s="21"/>
      <x:c r="I41" s="29" t="str">
        <x:f>IF(OR(G41="",H41=""),"",G41&amp;"|"&amp;TEXT(H41,"000"))</x:f>
      </x:c>
      <x:c r="J41" s="21"/>
      <x:c r="K41" s="21"/>
      <x:c r="L41" s="21"/>
      <x:c r="M41" s="23"/>
      <x:c r="N41" s="23"/>
      <x:c r="O41" s="23"/>
      <x:c r="P41" s="21"/>
      <x:c r="Q41" s="29" t="str">
        <x:f>IF(P41="","",IFERROR(INDEX(DM_MA_LOI!$B$6:$B$105,MATCH(P41,DM_MA_LOI!$A$6:$A$105,0)),""))</x:f>
      </x:c>
      <x:c r="R41" s="29" t="str">
        <x:f>IF(P41="","",IFERROR(INDEX(DM_MA_LOI!$E$6:$E$105,MATCH(P41,DM_MA_LOI!$A$6:$A$105,0)),""))</x:f>
      </x:c>
      <x:c r="S41" s="29" t="str">
        <x:f>IF(P41="","",IFERROR(INDEX(DM_MA_LOI!$F$6:$F$105,MATCH(P41,DM_MA_LOI!$A$6:$A$105,0)),""))</x:f>
      </x:c>
      <x:c r="T41" s="21"/>
      <x:c r="U41" s="21"/>
      <x:c r="V41" s="21"/>
      <x:c r="W41" s="21"/>
      <x:c r="X41" s="21"/>
      <x:c r="Y41" s="21"/>
      <x:c r="Z41" s="21"/>
      <x:c r="AA41" s="29" t="str">
        <x:f>IF(A41="","",IF(OR(B41="",C41="",D41="",H41="",K41="",L41=""),"Thiếu dữ liệu",IF(M41&lt;&gt;N41+O41,"Sai cân đối SL",IF(AND(O41&gt;0,P41=""),"Thiếu mã lỗi","Hợp lệ"))))</x:f>
      </x:c>
    </x:row>
    <x:row r="42">
      <x:c r="A42" s="21"/>
      <x:c r="B42" s="43"/>
      <x:c r="C42" s="21"/>
      <x:c r="D42" s="21"/>
      <x:c r="E42" s="21"/>
      <x:c r="F42" s="21"/>
      <x:c r="G42" s="29" t="str">
        <x:f>IF(OR(C42="",D42=""),"",C42&amp;"|"&amp;D42&amp;"|"&amp;IF(E42="","00",E42)&amp;"|"&amp;IF(F42="","01",F42))</x:f>
      </x:c>
      <x:c r="H42" s="21"/>
      <x:c r="I42" s="29" t="str">
        <x:f>IF(OR(G42="",H42=""),"",G42&amp;"|"&amp;TEXT(H42,"000"))</x:f>
      </x:c>
      <x:c r="J42" s="21"/>
      <x:c r="K42" s="21"/>
      <x:c r="L42" s="21"/>
      <x:c r="M42" s="23"/>
      <x:c r="N42" s="23"/>
      <x:c r="O42" s="23"/>
      <x:c r="P42" s="21"/>
      <x:c r="Q42" s="29" t="str">
        <x:f>IF(P42="","",IFERROR(INDEX(DM_MA_LOI!$B$6:$B$105,MATCH(P42,DM_MA_LOI!$A$6:$A$105,0)),""))</x:f>
      </x:c>
      <x:c r="R42" s="29" t="str">
        <x:f>IF(P42="","",IFERROR(INDEX(DM_MA_LOI!$E$6:$E$105,MATCH(P42,DM_MA_LOI!$A$6:$A$105,0)),""))</x:f>
      </x:c>
      <x:c r="S42" s="29" t="str">
        <x:f>IF(P42="","",IFERROR(INDEX(DM_MA_LOI!$F$6:$F$105,MATCH(P42,DM_MA_LOI!$A$6:$A$105,0)),""))</x:f>
      </x:c>
      <x:c r="T42" s="21"/>
      <x:c r="U42" s="21"/>
      <x:c r="V42" s="21"/>
      <x:c r="W42" s="21"/>
      <x:c r="X42" s="21"/>
      <x:c r="Y42" s="21"/>
      <x:c r="Z42" s="21"/>
      <x:c r="AA42" s="29" t="str">
        <x:f>IF(A42="","",IF(OR(B42="",C42="",D42="",H42="",K42="",L42=""),"Thiếu dữ liệu",IF(M42&lt;&gt;N42+O42,"Sai cân đối SL",IF(AND(O42&gt;0,P42=""),"Thiếu mã lỗi","Hợp lệ"))))</x:f>
      </x:c>
    </x:row>
    <x:row r="43">
      <x:c r="A43" s="21"/>
      <x:c r="B43" s="43"/>
      <x:c r="C43" s="21"/>
      <x:c r="D43" s="21"/>
      <x:c r="E43" s="21"/>
      <x:c r="F43" s="21"/>
      <x:c r="G43" s="29" t="str">
        <x:f>IF(OR(C43="",D43=""),"",C43&amp;"|"&amp;D43&amp;"|"&amp;IF(E43="","00",E43)&amp;"|"&amp;IF(F43="","01",F43))</x:f>
      </x:c>
      <x:c r="H43" s="21"/>
      <x:c r="I43" s="29" t="str">
        <x:f>IF(OR(G43="",H43=""),"",G43&amp;"|"&amp;TEXT(H43,"000"))</x:f>
      </x:c>
      <x:c r="J43" s="21"/>
      <x:c r="K43" s="21"/>
      <x:c r="L43" s="21"/>
      <x:c r="M43" s="23"/>
      <x:c r="N43" s="23"/>
      <x:c r="O43" s="23"/>
      <x:c r="P43" s="21"/>
      <x:c r="Q43" s="29" t="str">
        <x:f>IF(P43="","",IFERROR(INDEX(DM_MA_LOI!$B$6:$B$105,MATCH(P43,DM_MA_LOI!$A$6:$A$105,0)),""))</x:f>
      </x:c>
      <x:c r="R43" s="29" t="str">
        <x:f>IF(P43="","",IFERROR(INDEX(DM_MA_LOI!$E$6:$E$105,MATCH(P43,DM_MA_LOI!$A$6:$A$105,0)),""))</x:f>
      </x:c>
      <x:c r="S43" s="29" t="str">
        <x:f>IF(P43="","",IFERROR(INDEX(DM_MA_LOI!$F$6:$F$105,MATCH(P43,DM_MA_LOI!$A$6:$A$105,0)),""))</x:f>
      </x:c>
      <x:c r="T43" s="21"/>
      <x:c r="U43" s="21"/>
      <x:c r="V43" s="21"/>
      <x:c r="W43" s="21"/>
      <x:c r="X43" s="21"/>
      <x:c r="Y43" s="21"/>
      <x:c r="Z43" s="21"/>
      <x:c r="AA43" s="29" t="str">
        <x:f>IF(A43="","",IF(OR(B43="",C43="",D43="",H43="",K43="",L43=""),"Thiếu dữ liệu",IF(M43&lt;&gt;N43+O43,"Sai cân đối SL",IF(AND(O43&gt;0,P43=""),"Thiếu mã lỗi","Hợp lệ"))))</x:f>
      </x:c>
    </x:row>
    <x:row r="44">
      <x:c r="A44" s="21"/>
      <x:c r="B44" s="43"/>
      <x:c r="C44" s="21"/>
      <x:c r="D44" s="21"/>
      <x:c r="E44" s="21"/>
      <x:c r="F44" s="21"/>
      <x:c r="G44" s="29" t="str">
        <x:f>IF(OR(C44="",D44=""),"",C44&amp;"|"&amp;D44&amp;"|"&amp;IF(E44="","00",E44)&amp;"|"&amp;IF(F44="","01",F44))</x:f>
      </x:c>
      <x:c r="H44" s="21"/>
      <x:c r="I44" s="29" t="str">
        <x:f>IF(OR(G44="",H44=""),"",G44&amp;"|"&amp;TEXT(H44,"000"))</x:f>
      </x:c>
      <x:c r="J44" s="21"/>
      <x:c r="K44" s="21"/>
      <x:c r="L44" s="21"/>
      <x:c r="M44" s="23"/>
      <x:c r="N44" s="23"/>
      <x:c r="O44" s="23"/>
      <x:c r="P44" s="21"/>
      <x:c r="Q44" s="29" t="str">
        <x:f>IF(P44="","",IFERROR(INDEX(DM_MA_LOI!$B$6:$B$105,MATCH(P44,DM_MA_LOI!$A$6:$A$105,0)),""))</x:f>
      </x:c>
      <x:c r="R44" s="29" t="str">
        <x:f>IF(P44="","",IFERROR(INDEX(DM_MA_LOI!$E$6:$E$105,MATCH(P44,DM_MA_LOI!$A$6:$A$105,0)),""))</x:f>
      </x:c>
      <x:c r="S44" s="29" t="str">
        <x:f>IF(P44="","",IFERROR(INDEX(DM_MA_LOI!$F$6:$F$105,MATCH(P44,DM_MA_LOI!$A$6:$A$105,0)),""))</x:f>
      </x:c>
      <x:c r="T44" s="21"/>
      <x:c r="U44" s="21"/>
      <x:c r="V44" s="21"/>
      <x:c r="W44" s="21"/>
      <x:c r="X44" s="21"/>
      <x:c r="Y44" s="21"/>
      <x:c r="Z44" s="21"/>
      <x:c r="AA44" s="29" t="str">
        <x:f>IF(A44="","",IF(OR(B44="",C44="",D44="",H44="",K44="",L44=""),"Thiếu dữ liệu",IF(M44&lt;&gt;N44+O44,"Sai cân đối SL",IF(AND(O44&gt;0,P44=""),"Thiếu mã lỗi","Hợp lệ"))))</x:f>
      </x:c>
    </x:row>
    <x:row r="45">
      <x:c r="A45" s="21"/>
      <x:c r="B45" s="43"/>
      <x:c r="C45" s="21"/>
      <x:c r="D45" s="21"/>
      <x:c r="E45" s="21"/>
      <x:c r="F45" s="21"/>
      <x:c r="G45" s="29" t="str">
        <x:f>IF(OR(C45="",D45=""),"",C45&amp;"|"&amp;D45&amp;"|"&amp;IF(E45="","00",E45)&amp;"|"&amp;IF(F45="","01",F45))</x:f>
      </x:c>
      <x:c r="H45" s="21"/>
      <x:c r="I45" s="29" t="str">
        <x:f>IF(OR(G45="",H45=""),"",G45&amp;"|"&amp;TEXT(H45,"000"))</x:f>
      </x:c>
      <x:c r="J45" s="21"/>
      <x:c r="K45" s="21"/>
      <x:c r="L45" s="21"/>
      <x:c r="M45" s="23"/>
      <x:c r="N45" s="23"/>
      <x:c r="O45" s="23"/>
      <x:c r="P45" s="21"/>
      <x:c r="Q45" s="29" t="str">
        <x:f>IF(P45="","",IFERROR(INDEX(DM_MA_LOI!$B$6:$B$105,MATCH(P45,DM_MA_LOI!$A$6:$A$105,0)),""))</x:f>
      </x:c>
      <x:c r="R45" s="29" t="str">
        <x:f>IF(P45="","",IFERROR(INDEX(DM_MA_LOI!$E$6:$E$105,MATCH(P45,DM_MA_LOI!$A$6:$A$105,0)),""))</x:f>
      </x:c>
      <x:c r="S45" s="29" t="str">
        <x:f>IF(P45="","",IFERROR(INDEX(DM_MA_LOI!$F$6:$F$105,MATCH(P45,DM_MA_LOI!$A$6:$A$105,0)),""))</x:f>
      </x:c>
      <x:c r="T45" s="21"/>
      <x:c r="U45" s="21"/>
      <x:c r="V45" s="21"/>
      <x:c r="W45" s="21"/>
      <x:c r="X45" s="21"/>
      <x:c r="Y45" s="21"/>
      <x:c r="Z45" s="21"/>
      <x:c r="AA45" s="29" t="str">
        <x:f>IF(A45="","",IF(OR(B45="",C45="",D45="",H45="",K45="",L45=""),"Thiếu dữ liệu",IF(M45&lt;&gt;N45+O45,"Sai cân đối SL",IF(AND(O45&gt;0,P45=""),"Thiếu mã lỗi","Hợp lệ"))))</x:f>
      </x:c>
    </x:row>
    <x:row r="46">
      <x:c r="A46" s="21"/>
      <x:c r="B46" s="43"/>
      <x:c r="C46" s="21"/>
      <x:c r="D46" s="21"/>
      <x:c r="E46" s="21"/>
      <x:c r="F46" s="21"/>
      <x:c r="G46" s="29" t="str">
        <x:f>IF(OR(C46="",D46=""),"",C46&amp;"|"&amp;D46&amp;"|"&amp;IF(E46="","00",E46)&amp;"|"&amp;IF(F46="","01",F46))</x:f>
      </x:c>
      <x:c r="H46" s="21"/>
      <x:c r="I46" s="29" t="str">
        <x:f>IF(OR(G46="",H46=""),"",G46&amp;"|"&amp;TEXT(H46,"000"))</x:f>
      </x:c>
      <x:c r="J46" s="21"/>
      <x:c r="K46" s="21"/>
      <x:c r="L46" s="21"/>
      <x:c r="M46" s="23"/>
      <x:c r="N46" s="23"/>
      <x:c r="O46" s="23"/>
      <x:c r="P46" s="21"/>
      <x:c r="Q46" s="29" t="str">
        <x:f>IF(P46="","",IFERROR(INDEX(DM_MA_LOI!$B$6:$B$105,MATCH(P46,DM_MA_LOI!$A$6:$A$105,0)),""))</x:f>
      </x:c>
      <x:c r="R46" s="29" t="str">
        <x:f>IF(P46="","",IFERROR(INDEX(DM_MA_LOI!$E$6:$E$105,MATCH(P46,DM_MA_LOI!$A$6:$A$105,0)),""))</x:f>
      </x:c>
      <x:c r="S46" s="29" t="str">
        <x:f>IF(P46="","",IFERROR(INDEX(DM_MA_LOI!$F$6:$F$105,MATCH(P46,DM_MA_LOI!$A$6:$A$105,0)),""))</x:f>
      </x:c>
      <x:c r="T46" s="21"/>
      <x:c r="U46" s="21"/>
      <x:c r="V46" s="21"/>
      <x:c r="W46" s="21"/>
      <x:c r="X46" s="21"/>
      <x:c r="Y46" s="21"/>
      <x:c r="Z46" s="21"/>
      <x:c r="AA46" s="29" t="str">
        <x:f>IF(A46="","",IF(OR(B46="",C46="",D46="",H46="",K46="",L46=""),"Thiếu dữ liệu",IF(M46&lt;&gt;N46+O46,"Sai cân đối SL",IF(AND(O46&gt;0,P46=""),"Thiếu mã lỗi","Hợp lệ"))))</x:f>
      </x:c>
    </x:row>
    <x:row r="47">
      <x:c r="A47" s="21"/>
      <x:c r="B47" s="43"/>
      <x:c r="C47" s="21"/>
      <x:c r="D47" s="21"/>
      <x:c r="E47" s="21"/>
      <x:c r="F47" s="21"/>
      <x:c r="G47" s="29" t="str">
        <x:f>IF(OR(C47="",D47=""),"",C47&amp;"|"&amp;D47&amp;"|"&amp;IF(E47="","00",E47)&amp;"|"&amp;IF(F47="","01",F47))</x:f>
      </x:c>
      <x:c r="H47" s="21"/>
      <x:c r="I47" s="29" t="str">
        <x:f>IF(OR(G47="",H47=""),"",G47&amp;"|"&amp;TEXT(H47,"000"))</x:f>
      </x:c>
      <x:c r="J47" s="21"/>
      <x:c r="K47" s="21"/>
      <x:c r="L47" s="21"/>
      <x:c r="M47" s="23"/>
      <x:c r="N47" s="23"/>
      <x:c r="O47" s="23"/>
      <x:c r="P47" s="21"/>
      <x:c r="Q47" s="29" t="str">
        <x:f>IF(P47="","",IFERROR(INDEX(DM_MA_LOI!$B$6:$B$105,MATCH(P47,DM_MA_LOI!$A$6:$A$105,0)),""))</x:f>
      </x:c>
      <x:c r="R47" s="29" t="str">
        <x:f>IF(P47="","",IFERROR(INDEX(DM_MA_LOI!$E$6:$E$105,MATCH(P47,DM_MA_LOI!$A$6:$A$105,0)),""))</x:f>
      </x:c>
      <x:c r="S47" s="29" t="str">
        <x:f>IF(P47="","",IFERROR(INDEX(DM_MA_LOI!$F$6:$F$105,MATCH(P47,DM_MA_LOI!$A$6:$A$105,0)),""))</x:f>
      </x:c>
      <x:c r="T47" s="21"/>
      <x:c r="U47" s="21"/>
      <x:c r="V47" s="21"/>
      <x:c r="W47" s="21"/>
      <x:c r="X47" s="21"/>
      <x:c r="Y47" s="21"/>
      <x:c r="Z47" s="21"/>
      <x:c r="AA47" s="29" t="str">
        <x:f>IF(A47="","",IF(OR(B47="",C47="",D47="",H47="",K47="",L47=""),"Thiếu dữ liệu",IF(M47&lt;&gt;N47+O47,"Sai cân đối SL",IF(AND(O47&gt;0,P47=""),"Thiếu mã lỗi","Hợp lệ"))))</x:f>
      </x:c>
    </x:row>
    <x:row r="48">
      <x:c r="A48" s="21"/>
      <x:c r="B48" s="43"/>
      <x:c r="C48" s="21"/>
      <x:c r="D48" s="21"/>
      <x:c r="E48" s="21"/>
      <x:c r="F48" s="21"/>
      <x:c r="G48" s="29" t="str">
        <x:f>IF(OR(C48="",D48=""),"",C48&amp;"|"&amp;D48&amp;"|"&amp;IF(E48="","00",E48)&amp;"|"&amp;IF(F48="","01",F48))</x:f>
      </x:c>
      <x:c r="H48" s="21"/>
      <x:c r="I48" s="29" t="str">
        <x:f>IF(OR(G48="",H48=""),"",G48&amp;"|"&amp;TEXT(H48,"000"))</x:f>
      </x:c>
      <x:c r="J48" s="21"/>
      <x:c r="K48" s="21"/>
      <x:c r="L48" s="21"/>
      <x:c r="M48" s="23"/>
      <x:c r="N48" s="23"/>
      <x:c r="O48" s="23"/>
      <x:c r="P48" s="21"/>
      <x:c r="Q48" s="29" t="str">
        <x:f>IF(P48="","",IFERROR(INDEX(DM_MA_LOI!$B$6:$B$105,MATCH(P48,DM_MA_LOI!$A$6:$A$105,0)),""))</x:f>
      </x:c>
      <x:c r="R48" s="29" t="str">
        <x:f>IF(P48="","",IFERROR(INDEX(DM_MA_LOI!$E$6:$E$105,MATCH(P48,DM_MA_LOI!$A$6:$A$105,0)),""))</x:f>
      </x:c>
      <x:c r="S48" s="29" t="str">
        <x:f>IF(P48="","",IFERROR(INDEX(DM_MA_LOI!$F$6:$F$105,MATCH(P48,DM_MA_LOI!$A$6:$A$105,0)),""))</x:f>
      </x:c>
      <x:c r="T48" s="21"/>
      <x:c r="U48" s="21"/>
      <x:c r="V48" s="21"/>
      <x:c r="W48" s="21"/>
      <x:c r="X48" s="21"/>
      <x:c r="Y48" s="21"/>
      <x:c r="Z48" s="21"/>
      <x:c r="AA48" s="29" t="str">
        <x:f>IF(A48="","",IF(OR(B48="",C48="",D48="",H48="",K48="",L48=""),"Thiếu dữ liệu",IF(M48&lt;&gt;N48+O48,"Sai cân đối SL",IF(AND(O48&gt;0,P48=""),"Thiếu mã lỗi","Hợp lệ"))))</x:f>
      </x:c>
    </x:row>
    <x:row r="49">
      <x:c r="A49" s="21"/>
      <x:c r="B49" s="43"/>
      <x:c r="C49" s="21"/>
      <x:c r="D49" s="21"/>
      <x:c r="E49" s="21"/>
      <x:c r="F49" s="21"/>
      <x:c r="G49" s="29" t="str">
        <x:f>IF(OR(C49="",D49=""),"",C49&amp;"|"&amp;D49&amp;"|"&amp;IF(E49="","00",E49)&amp;"|"&amp;IF(F49="","01",F49))</x:f>
      </x:c>
      <x:c r="H49" s="21"/>
      <x:c r="I49" s="29" t="str">
        <x:f>IF(OR(G49="",H49=""),"",G49&amp;"|"&amp;TEXT(H49,"000"))</x:f>
      </x:c>
      <x:c r="J49" s="21"/>
      <x:c r="K49" s="21"/>
      <x:c r="L49" s="21"/>
      <x:c r="M49" s="23"/>
      <x:c r="N49" s="23"/>
      <x:c r="O49" s="23"/>
      <x:c r="P49" s="21"/>
      <x:c r="Q49" s="29" t="str">
        <x:f>IF(P49="","",IFERROR(INDEX(DM_MA_LOI!$B$6:$B$105,MATCH(P49,DM_MA_LOI!$A$6:$A$105,0)),""))</x:f>
      </x:c>
      <x:c r="R49" s="29" t="str">
        <x:f>IF(P49="","",IFERROR(INDEX(DM_MA_LOI!$E$6:$E$105,MATCH(P49,DM_MA_LOI!$A$6:$A$105,0)),""))</x:f>
      </x:c>
      <x:c r="S49" s="29" t="str">
        <x:f>IF(P49="","",IFERROR(INDEX(DM_MA_LOI!$F$6:$F$105,MATCH(P49,DM_MA_LOI!$A$6:$A$105,0)),""))</x:f>
      </x:c>
      <x:c r="T49" s="21"/>
      <x:c r="U49" s="21"/>
      <x:c r="V49" s="21"/>
      <x:c r="W49" s="21"/>
      <x:c r="X49" s="21"/>
      <x:c r="Y49" s="21"/>
      <x:c r="Z49" s="21"/>
      <x:c r="AA49" s="29" t="str">
        <x:f>IF(A49="","",IF(OR(B49="",C49="",D49="",H49="",K49="",L49=""),"Thiếu dữ liệu",IF(M49&lt;&gt;N49+O49,"Sai cân đối SL",IF(AND(O49&gt;0,P49=""),"Thiếu mã lỗi","Hợp lệ"))))</x:f>
      </x:c>
    </x:row>
    <x:row r="50">
      <x:c r="A50" s="21"/>
      <x:c r="B50" s="43"/>
      <x:c r="C50" s="21"/>
      <x:c r="D50" s="21"/>
      <x:c r="E50" s="21"/>
      <x:c r="F50" s="21"/>
      <x:c r="G50" s="29" t="str">
        <x:f>IF(OR(C50="",D50=""),"",C50&amp;"|"&amp;D50&amp;"|"&amp;IF(E50="","00",E50)&amp;"|"&amp;IF(F50="","01",F50))</x:f>
      </x:c>
      <x:c r="H50" s="21"/>
      <x:c r="I50" s="29" t="str">
        <x:f>IF(OR(G50="",H50=""),"",G50&amp;"|"&amp;TEXT(H50,"000"))</x:f>
      </x:c>
      <x:c r="J50" s="21"/>
      <x:c r="K50" s="21"/>
      <x:c r="L50" s="21"/>
      <x:c r="M50" s="23"/>
      <x:c r="N50" s="23"/>
      <x:c r="O50" s="23"/>
      <x:c r="P50" s="21"/>
      <x:c r="Q50" s="29" t="str">
        <x:f>IF(P50="","",IFERROR(INDEX(DM_MA_LOI!$B$6:$B$105,MATCH(P50,DM_MA_LOI!$A$6:$A$105,0)),""))</x:f>
      </x:c>
      <x:c r="R50" s="29" t="str">
        <x:f>IF(P50="","",IFERROR(INDEX(DM_MA_LOI!$E$6:$E$105,MATCH(P50,DM_MA_LOI!$A$6:$A$105,0)),""))</x:f>
      </x:c>
      <x:c r="S50" s="29" t="str">
        <x:f>IF(P50="","",IFERROR(INDEX(DM_MA_LOI!$F$6:$F$105,MATCH(P50,DM_MA_LOI!$A$6:$A$105,0)),""))</x:f>
      </x:c>
      <x:c r="T50" s="21"/>
      <x:c r="U50" s="21"/>
      <x:c r="V50" s="21"/>
      <x:c r="W50" s="21"/>
      <x:c r="X50" s="21"/>
      <x:c r="Y50" s="21"/>
      <x:c r="Z50" s="21"/>
      <x:c r="AA50" s="29" t="str">
        <x:f>IF(A50="","",IF(OR(B50="",C50="",D50="",H50="",K50="",L50=""),"Thiếu dữ liệu",IF(M50&lt;&gt;N50+O50,"Sai cân đối SL",IF(AND(O50&gt;0,P50=""),"Thiếu mã lỗi","Hợp lệ"))))</x:f>
      </x:c>
    </x:row>
    <x:row r="51">
      <x:c r="A51" s="21"/>
      <x:c r="B51" s="43"/>
      <x:c r="C51" s="21"/>
      <x:c r="D51" s="21"/>
      <x:c r="E51" s="21"/>
      <x:c r="F51" s="21"/>
      <x:c r="G51" s="29" t="str">
        <x:f>IF(OR(C51="",D51=""),"",C51&amp;"|"&amp;D51&amp;"|"&amp;IF(E51="","00",E51)&amp;"|"&amp;IF(F51="","01",F51))</x:f>
      </x:c>
      <x:c r="H51" s="21"/>
      <x:c r="I51" s="29" t="str">
        <x:f>IF(OR(G51="",H51=""),"",G51&amp;"|"&amp;TEXT(H51,"000"))</x:f>
      </x:c>
      <x:c r="J51" s="21"/>
      <x:c r="K51" s="21"/>
      <x:c r="L51" s="21"/>
      <x:c r="M51" s="23"/>
      <x:c r="N51" s="23"/>
      <x:c r="O51" s="23"/>
      <x:c r="P51" s="21"/>
      <x:c r="Q51" s="29" t="str">
        <x:f>IF(P51="","",IFERROR(INDEX(DM_MA_LOI!$B$6:$B$105,MATCH(P51,DM_MA_LOI!$A$6:$A$105,0)),""))</x:f>
      </x:c>
      <x:c r="R51" s="29" t="str">
        <x:f>IF(P51="","",IFERROR(INDEX(DM_MA_LOI!$E$6:$E$105,MATCH(P51,DM_MA_LOI!$A$6:$A$105,0)),""))</x:f>
      </x:c>
      <x:c r="S51" s="29" t="str">
        <x:f>IF(P51="","",IFERROR(INDEX(DM_MA_LOI!$F$6:$F$105,MATCH(P51,DM_MA_LOI!$A$6:$A$105,0)),""))</x:f>
      </x:c>
      <x:c r="T51" s="21"/>
      <x:c r="U51" s="21"/>
      <x:c r="V51" s="21"/>
      <x:c r="W51" s="21"/>
      <x:c r="X51" s="21"/>
      <x:c r="Y51" s="21"/>
      <x:c r="Z51" s="21"/>
      <x:c r="AA51" s="29" t="str">
        <x:f>IF(A51="","",IF(OR(B51="",C51="",D51="",H51="",K51="",L51=""),"Thiếu dữ liệu",IF(M51&lt;&gt;N51+O51,"Sai cân đối SL",IF(AND(O51&gt;0,P51=""),"Thiếu mã lỗi","Hợp lệ"))))</x:f>
      </x:c>
    </x:row>
    <x:row r="52">
      <x:c r="A52" s="21"/>
      <x:c r="B52" s="43"/>
      <x:c r="C52" s="21"/>
      <x:c r="D52" s="21"/>
      <x:c r="E52" s="21"/>
      <x:c r="F52" s="21"/>
      <x:c r="G52" s="29" t="str">
        <x:f>IF(OR(C52="",D52=""),"",C52&amp;"|"&amp;D52&amp;"|"&amp;IF(E52="","00",E52)&amp;"|"&amp;IF(F52="","01",F52))</x:f>
      </x:c>
      <x:c r="H52" s="21"/>
      <x:c r="I52" s="29" t="str">
        <x:f>IF(OR(G52="",H52=""),"",G52&amp;"|"&amp;TEXT(H52,"000"))</x:f>
      </x:c>
      <x:c r="J52" s="21"/>
      <x:c r="K52" s="21"/>
      <x:c r="L52" s="21"/>
      <x:c r="M52" s="23"/>
      <x:c r="N52" s="23"/>
      <x:c r="O52" s="23"/>
      <x:c r="P52" s="21"/>
      <x:c r="Q52" s="29" t="str">
        <x:f>IF(P52="","",IFERROR(INDEX(DM_MA_LOI!$B$6:$B$105,MATCH(P52,DM_MA_LOI!$A$6:$A$105,0)),""))</x:f>
      </x:c>
      <x:c r="R52" s="29" t="str">
        <x:f>IF(P52="","",IFERROR(INDEX(DM_MA_LOI!$E$6:$E$105,MATCH(P52,DM_MA_LOI!$A$6:$A$105,0)),""))</x:f>
      </x:c>
      <x:c r="S52" s="29" t="str">
        <x:f>IF(P52="","",IFERROR(INDEX(DM_MA_LOI!$F$6:$F$105,MATCH(P52,DM_MA_LOI!$A$6:$A$105,0)),""))</x:f>
      </x:c>
      <x:c r="T52" s="21"/>
      <x:c r="U52" s="21"/>
      <x:c r="V52" s="21"/>
      <x:c r="W52" s="21"/>
      <x:c r="X52" s="21"/>
      <x:c r="Y52" s="21"/>
      <x:c r="Z52" s="21"/>
      <x:c r="AA52" s="29" t="str">
        <x:f>IF(A52="","",IF(OR(B52="",C52="",D52="",H52="",K52="",L52=""),"Thiếu dữ liệu",IF(M52&lt;&gt;N52+O52,"Sai cân đối SL",IF(AND(O52&gt;0,P52=""),"Thiếu mã lỗi","Hợp lệ"))))</x:f>
      </x:c>
    </x:row>
    <x:row r="53">
      <x:c r="A53" s="21"/>
      <x:c r="B53" s="43"/>
      <x:c r="C53" s="21"/>
      <x:c r="D53" s="21"/>
      <x:c r="E53" s="21"/>
      <x:c r="F53" s="21"/>
      <x:c r="G53" s="29" t="str">
        <x:f>IF(OR(C53="",D53=""),"",C53&amp;"|"&amp;D53&amp;"|"&amp;IF(E53="","00",E53)&amp;"|"&amp;IF(F53="","01",F53))</x:f>
      </x:c>
      <x:c r="H53" s="21"/>
      <x:c r="I53" s="29" t="str">
        <x:f>IF(OR(G53="",H53=""),"",G53&amp;"|"&amp;TEXT(H53,"000"))</x:f>
      </x:c>
      <x:c r="J53" s="21"/>
      <x:c r="K53" s="21"/>
      <x:c r="L53" s="21"/>
      <x:c r="M53" s="23"/>
      <x:c r="N53" s="23"/>
      <x:c r="O53" s="23"/>
      <x:c r="P53" s="21"/>
      <x:c r="Q53" s="29" t="str">
        <x:f>IF(P53="","",IFERROR(INDEX(DM_MA_LOI!$B$6:$B$105,MATCH(P53,DM_MA_LOI!$A$6:$A$105,0)),""))</x:f>
      </x:c>
      <x:c r="R53" s="29" t="str">
        <x:f>IF(P53="","",IFERROR(INDEX(DM_MA_LOI!$E$6:$E$105,MATCH(P53,DM_MA_LOI!$A$6:$A$105,0)),""))</x:f>
      </x:c>
      <x:c r="S53" s="29" t="str">
        <x:f>IF(P53="","",IFERROR(INDEX(DM_MA_LOI!$F$6:$F$105,MATCH(P53,DM_MA_LOI!$A$6:$A$105,0)),""))</x:f>
      </x:c>
      <x:c r="T53" s="21"/>
      <x:c r="U53" s="21"/>
      <x:c r="V53" s="21"/>
      <x:c r="W53" s="21"/>
      <x:c r="X53" s="21"/>
      <x:c r="Y53" s="21"/>
      <x:c r="Z53" s="21"/>
      <x:c r="AA53" s="29" t="str">
        <x:f>IF(A53="","",IF(OR(B53="",C53="",D53="",H53="",K53="",L53=""),"Thiếu dữ liệu",IF(M53&lt;&gt;N53+O53,"Sai cân đối SL",IF(AND(O53&gt;0,P53=""),"Thiếu mã lỗi","Hợp lệ"))))</x:f>
      </x:c>
    </x:row>
    <x:row r="54">
      <x:c r="A54" s="21"/>
      <x:c r="B54" s="43"/>
      <x:c r="C54" s="21"/>
      <x:c r="D54" s="21"/>
      <x:c r="E54" s="21"/>
      <x:c r="F54" s="21"/>
      <x:c r="G54" s="29" t="str">
        <x:f>IF(OR(C54="",D54=""),"",C54&amp;"|"&amp;D54&amp;"|"&amp;IF(E54="","00",E54)&amp;"|"&amp;IF(F54="","01",F54))</x:f>
      </x:c>
      <x:c r="H54" s="21"/>
      <x:c r="I54" s="29" t="str">
        <x:f>IF(OR(G54="",H54=""),"",G54&amp;"|"&amp;TEXT(H54,"000"))</x:f>
      </x:c>
      <x:c r="J54" s="21"/>
      <x:c r="K54" s="21"/>
      <x:c r="L54" s="21"/>
      <x:c r="M54" s="23"/>
      <x:c r="N54" s="23"/>
      <x:c r="O54" s="23"/>
      <x:c r="P54" s="21"/>
      <x:c r="Q54" s="29" t="str">
        <x:f>IF(P54="","",IFERROR(INDEX(DM_MA_LOI!$B$6:$B$105,MATCH(P54,DM_MA_LOI!$A$6:$A$105,0)),""))</x:f>
      </x:c>
      <x:c r="R54" s="29" t="str">
        <x:f>IF(P54="","",IFERROR(INDEX(DM_MA_LOI!$E$6:$E$105,MATCH(P54,DM_MA_LOI!$A$6:$A$105,0)),""))</x:f>
      </x:c>
      <x:c r="S54" s="29" t="str">
        <x:f>IF(P54="","",IFERROR(INDEX(DM_MA_LOI!$F$6:$F$105,MATCH(P54,DM_MA_LOI!$A$6:$A$105,0)),""))</x:f>
      </x:c>
      <x:c r="T54" s="21"/>
      <x:c r="U54" s="21"/>
      <x:c r="V54" s="21"/>
      <x:c r="W54" s="21"/>
      <x:c r="X54" s="21"/>
      <x:c r="Y54" s="21"/>
      <x:c r="Z54" s="21"/>
      <x:c r="AA54" s="29" t="str">
        <x:f>IF(A54="","",IF(OR(B54="",C54="",D54="",H54="",K54="",L54=""),"Thiếu dữ liệu",IF(M54&lt;&gt;N54+O54,"Sai cân đối SL",IF(AND(O54&gt;0,P54=""),"Thiếu mã lỗi","Hợp lệ"))))</x:f>
      </x:c>
    </x:row>
    <x:row r="55">
      <x:c r="A55" s="21"/>
      <x:c r="B55" s="43"/>
      <x:c r="C55" s="21"/>
      <x:c r="D55" s="21"/>
      <x:c r="E55" s="21"/>
      <x:c r="F55" s="21"/>
      <x:c r="G55" s="29" t="str">
        <x:f>IF(OR(C55="",D55=""),"",C55&amp;"|"&amp;D55&amp;"|"&amp;IF(E55="","00",E55)&amp;"|"&amp;IF(F55="","01",F55))</x:f>
      </x:c>
      <x:c r="H55" s="21"/>
      <x:c r="I55" s="29" t="str">
        <x:f>IF(OR(G55="",H55=""),"",G55&amp;"|"&amp;TEXT(H55,"000"))</x:f>
      </x:c>
      <x:c r="J55" s="21"/>
      <x:c r="K55" s="21"/>
      <x:c r="L55" s="21"/>
      <x:c r="M55" s="23"/>
      <x:c r="N55" s="23"/>
      <x:c r="O55" s="23"/>
      <x:c r="P55" s="21"/>
      <x:c r="Q55" s="29" t="str">
        <x:f>IF(P55="","",IFERROR(INDEX(DM_MA_LOI!$B$6:$B$105,MATCH(P55,DM_MA_LOI!$A$6:$A$105,0)),""))</x:f>
      </x:c>
      <x:c r="R55" s="29" t="str">
        <x:f>IF(P55="","",IFERROR(INDEX(DM_MA_LOI!$E$6:$E$105,MATCH(P55,DM_MA_LOI!$A$6:$A$105,0)),""))</x:f>
      </x:c>
      <x:c r="S55" s="29" t="str">
        <x:f>IF(P55="","",IFERROR(INDEX(DM_MA_LOI!$F$6:$F$105,MATCH(P55,DM_MA_LOI!$A$6:$A$105,0)),""))</x:f>
      </x:c>
      <x:c r="T55" s="21"/>
      <x:c r="U55" s="21"/>
      <x:c r="V55" s="21"/>
      <x:c r="W55" s="21"/>
      <x:c r="X55" s="21"/>
      <x:c r="Y55" s="21"/>
      <x:c r="Z55" s="21"/>
      <x:c r="AA55" s="29" t="str">
        <x:f>IF(A55="","",IF(OR(B55="",C55="",D55="",H55="",K55="",L55=""),"Thiếu dữ liệu",IF(M55&lt;&gt;N55+O55,"Sai cân đối SL",IF(AND(O55&gt;0,P55=""),"Thiếu mã lỗi","Hợp lệ"))))</x:f>
      </x:c>
    </x:row>
    <x:row r="56">
      <x:c r="A56" s="21"/>
      <x:c r="B56" s="43"/>
      <x:c r="C56" s="21"/>
      <x:c r="D56" s="21"/>
      <x:c r="E56" s="21"/>
      <x:c r="F56" s="21"/>
      <x:c r="G56" s="29" t="str">
        <x:f>IF(OR(C56="",D56=""),"",C56&amp;"|"&amp;D56&amp;"|"&amp;IF(E56="","00",E56)&amp;"|"&amp;IF(F56="","01",F56))</x:f>
      </x:c>
      <x:c r="H56" s="21"/>
      <x:c r="I56" s="29" t="str">
        <x:f>IF(OR(G56="",H56=""),"",G56&amp;"|"&amp;TEXT(H56,"000"))</x:f>
      </x:c>
      <x:c r="J56" s="21"/>
      <x:c r="K56" s="21"/>
      <x:c r="L56" s="21"/>
      <x:c r="M56" s="23"/>
      <x:c r="N56" s="23"/>
      <x:c r="O56" s="23"/>
      <x:c r="P56" s="21"/>
      <x:c r="Q56" s="29" t="str">
        <x:f>IF(P56="","",IFERROR(INDEX(DM_MA_LOI!$B$6:$B$105,MATCH(P56,DM_MA_LOI!$A$6:$A$105,0)),""))</x:f>
      </x:c>
      <x:c r="R56" s="29" t="str">
        <x:f>IF(P56="","",IFERROR(INDEX(DM_MA_LOI!$E$6:$E$105,MATCH(P56,DM_MA_LOI!$A$6:$A$105,0)),""))</x:f>
      </x:c>
      <x:c r="S56" s="29" t="str">
        <x:f>IF(P56="","",IFERROR(INDEX(DM_MA_LOI!$F$6:$F$105,MATCH(P56,DM_MA_LOI!$A$6:$A$105,0)),""))</x:f>
      </x:c>
      <x:c r="T56" s="21"/>
      <x:c r="U56" s="21"/>
      <x:c r="V56" s="21"/>
      <x:c r="W56" s="21"/>
      <x:c r="X56" s="21"/>
      <x:c r="Y56" s="21"/>
      <x:c r="Z56" s="21"/>
      <x:c r="AA56" s="29" t="str">
        <x:f>IF(A56="","",IF(OR(B56="",C56="",D56="",H56="",K56="",L56=""),"Thiếu dữ liệu",IF(M56&lt;&gt;N56+O56,"Sai cân đối SL",IF(AND(O56&gt;0,P56=""),"Thiếu mã lỗi","Hợp lệ"))))</x:f>
      </x:c>
    </x:row>
    <x:row r="57">
      <x:c r="A57" s="21"/>
      <x:c r="B57" s="43"/>
      <x:c r="C57" s="21"/>
      <x:c r="D57" s="21"/>
      <x:c r="E57" s="21"/>
      <x:c r="F57" s="21"/>
      <x:c r="G57" s="29" t="str">
        <x:f>IF(OR(C57="",D57=""),"",C57&amp;"|"&amp;D57&amp;"|"&amp;IF(E57="","00",E57)&amp;"|"&amp;IF(F57="","01",F57))</x:f>
      </x:c>
      <x:c r="H57" s="21"/>
      <x:c r="I57" s="29" t="str">
        <x:f>IF(OR(G57="",H57=""),"",G57&amp;"|"&amp;TEXT(H57,"000"))</x:f>
      </x:c>
      <x:c r="J57" s="21"/>
      <x:c r="K57" s="21"/>
      <x:c r="L57" s="21"/>
      <x:c r="M57" s="23"/>
      <x:c r="N57" s="23"/>
      <x:c r="O57" s="23"/>
      <x:c r="P57" s="21"/>
      <x:c r="Q57" s="29" t="str">
        <x:f>IF(P57="","",IFERROR(INDEX(DM_MA_LOI!$B$6:$B$105,MATCH(P57,DM_MA_LOI!$A$6:$A$105,0)),""))</x:f>
      </x:c>
      <x:c r="R57" s="29" t="str">
        <x:f>IF(P57="","",IFERROR(INDEX(DM_MA_LOI!$E$6:$E$105,MATCH(P57,DM_MA_LOI!$A$6:$A$105,0)),""))</x:f>
      </x:c>
      <x:c r="S57" s="29" t="str">
        <x:f>IF(P57="","",IFERROR(INDEX(DM_MA_LOI!$F$6:$F$105,MATCH(P57,DM_MA_LOI!$A$6:$A$105,0)),""))</x:f>
      </x:c>
      <x:c r="T57" s="21"/>
      <x:c r="U57" s="21"/>
      <x:c r="V57" s="21"/>
      <x:c r="W57" s="21"/>
      <x:c r="X57" s="21"/>
      <x:c r="Y57" s="21"/>
      <x:c r="Z57" s="21"/>
      <x:c r="AA57" s="29" t="str">
        <x:f>IF(A57="","",IF(OR(B57="",C57="",D57="",H57="",K57="",L57=""),"Thiếu dữ liệu",IF(M57&lt;&gt;N57+O57,"Sai cân đối SL",IF(AND(O57&gt;0,P57=""),"Thiếu mã lỗi","Hợp lệ"))))</x:f>
      </x:c>
    </x:row>
    <x:row r="58">
      <x:c r="A58" s="21"/>
      <x:c r="B58" s="43"/>
      <x:c r="C58" s="21"/>
      <x:c r="D58" s="21"/>
      <x:c r="E58" s="21"/>
      <x:c r="F58" s="21"/>
      <x:c r="G58" s="29" t="str">
        <x:f>IF(OR(C58="",D58=""),"",C58&amp;"|"&amp;D58&amp;"|"&amp;IF(E58="","00",E58)&amp;"|"&amp;IF(F58="","01",F58))</x:f>
      </x:c>
      <x:c r="H58" s="21"/>
      <x:c r="I58" s="29" t="str">
        <x:f>IF(OR(G58="",H58=""),"",G58&amp;"|"&amp;TEXT(H58,"000"))</x:f>
      </x:c>
      <x:c r="J58" s="21"/>
      <x:c r="K58" s="21"/>
      <x:c r="L58" s="21"/>
      <x:c r="M58" s="23"/>
      <x:c r="N58" s="23"/>
      <x:c r="O58" s="23"/>
      <x:c r="P58" s="21"/>
      <x:c r="Q58" s="29" t="str">
        <x:f>IF(P58="","",IFERROR(INDEX(DM_MA_LOI!$B$6:$B$105,MATCH(P58,DM_MA_LOI!$A$6:$A$105,0)),""))</x:f>
      </x:c>
      <x:c r="R58" s="29" t="str">
        <x:f>IF(P58="","",IFERROR(INDEX(DM_MA_LOI!$E$6:$E$105,MATCH(P58,DM_MA_LOI!$A$6:$A$105,0)),""))</x:f>
      </x:c>
      <x:c r="S58" s="29" t="str">
        <x:f>IF(P58="","",IFERROR(INDEX(DM_MA_LOI!$F$6:$F$105,MATCH(P58,DM_MA_LOI!$A$6:$A$105,0)),""))</x:f>
      </x:c>
      <x:c r="T58" s="21"/>
      <x:c r="U58" s="21"/>
      <x:c r="V58" s="21"/>
      <x:c r="W58" s="21"/>
      <x:c r="X58" s="21"/>
      <x:c r="Y58" s="21"/>
      <x:c r="Z58" s="21"/>
      <x:c r="AA58" s="29" t="str">
        <x:f>IF(A58="","",IF(OR(B58="",C58="",D58="",H58="",K58="",L58=""),"Thiếu dữ liệu",IF(M58&lt;&gt;N58+O58,"Sai cân đối SL",IF(AND(O58&gt;0,P58=""),"Thiếu mã lỗi","Hợp lệ"))))</x:f>
      </x:c>
    </x:row>
    <x:row r="59">
      <x:c r="A59" s="21"/>
      <x:c r="B59" s="43"/>
      <x:c r="C59" s="21"/>
      <x:c r="D59" s="21"/>
      <x:c r="E59" s="21"/>
      <x:c r="F59" s="21"/>
      <x:c r="G59" s="29" t="str">
        <x:f>IF(OR(C59="",D59=""),"",C59&amp;"|"&amp;D59&amp;"|"&amp;IF(E59="","00",E59)&amp;"|"&amp;IF(F59="","01",F59))</x:f>
      </x:c>
      <x:c r="H59" s="21"/>
      <x:c r="I59" s="29" t="str">
        <x:f>IF(OR(G59="",H59=""),"",G59&amp;"|"&amp;TEXT(H59,"000"))</x:f>
      </x:c>
      <x:c r="J59" s="21"/>
      <x:c r="K59" s="21"/>
      <x:c r="L59" s="21"/>
      <x:c r="M59" s="23"/>
      <x:c r="N59" s="23"/>
      <x:c r="O59" s="23"/>
      <x:c r="P59" s="21"/>
      <x:c r="Q59" s="29" t="str">
        <x:f>IF(P59="","",IFERROR(INDEX(DM_MA_LOI!$B$6:$B$105,MATCH(P59,DM_MA_LOI!$A$6:$A$105,0)),""))</x:f>
      </x:c>
      <x:c r="R59" s="29" t="str">
        <x:f>IF(P59="","",IFERROR(INDEX(DM_MA_LOI!$E$6:$E$105,MATCH(P59,DM_MA_LOI!$A$6:$A$105,0)),""))</x:f>
      </x:c>
      <x:c r="S59" s="29" t="str">
        <x:f>IF(P59="","",IFERROR(INDEX(DM_MA_LOI!$F$6:$F$105,MATCH(P59,DM_MA_LOI!$A$6:$A$105,0)),""))</x:f>
      </x:c>
      <x:c r="T59" s="21"/>
      <x:c r="U59" s="21"/>
      <x:c r="V59" s="21"/>
      <x:c r="W59" s="21"/>
      <x:c r="X59" s="21"/>
      <x:c r="Y59" s="21"/>
      <x:c r="Z59" s="21"/>
      <x:c r="AA59" s="29" t="str">
        <x:f>IF(A59="","",IF(OR(B59="",C59="",D59="",H59="",K59="",L59=""),"Thiếu dữ liệu",IF(M59&lt;&gt;N59+O59,"Sai cân đối SL",IF(AND(O59&gt;0,P59=""),"Thiếu mã lỗi","Hợp lệ"))))</x:f>
      </x:c>
    </x:row>
    <x:row r="60">
      <x:c r="A60" s="21"/>
      <x:c r="B60" s="43"/>
      <x:c r="C60" s="21"/>
      <x:c r="D60" s="21"/>
      <x:c r="E60" s="21"/>
      <x:c r="F60" s="21"/>
      <x:c r="G60" s="29" t="str">
        <x:f>IF(OR(C60="",D60=""),"",C60&amp;"|"&amp;D60&amp;"|"&amp;IF(E60="","00",E60)&amp;"|"&amp;IF(F60="","01",F60))</x:f>
      </x:c>
      <x:c r="H60" s="21"/>
      <x:c r="I60" s="29" t="str">
        <x:f>IF(OR(G60="",H60=""),"",G60&amp;"|"&amp;TEXT(H60,"000"))</x:f>
      </x:c>
      <x:c r="J60" s="21"/>
      <x:c r="K60" s="21"/>
      <x:c r="L60" s="21"/>
      <x:c r="M60" s="23"/>
      <x:c r="N60" s="23"/>
      <x:c r="O60" s="23"/>
      <x:c r="P60" s="21"/>
      <x:c r="Q60" s="29" t="str">
        <x:f>IF(P60="","",IFERROR(INDEX(DM_MA_LOI!$B$6:$B$105,MATCH(P60,DM_MA_LOI!$A$6:$A$105,0)),""))</x:f>
      </x:c>
      <x:c r="R60" s="29" t="str">
        <x:f>IF(P60="","",IFERROR(INDEX(DM_MA_LOI!$E$6:$E$105,MATCH(P60,DM_MA_LOI!$A$6:$A$105,0)),""))</x:f>
      </x:c>
      <x:c r="S60" s="29" t="str">
        <x:f>IF(P60="","",IFERROR(INDEX(DM_MA_LOI!$F$6:$F$105,MATCH(P60,DM_MA_LOI!$A$6:$A$105,0)),""))</x:f>
      </x:c>
      <x:c r="T60" s="21"/>
      <x:c r="U60" s="21"/>
      <x:c r="V60" s="21"/>
      <x:c r="W60" s="21"/>
      <x:c r="X60" s="21"/>
      <x:c r="Y60" s="21"/>
      <x:c r="Z60" s="21"/>
      <x:c r="AA60" s="29" t="str">
        <x:f>IF(A60="","",IF(OR(B60="",C60="",D60="",H60="",K60="",L60=""),"Thiếu dữ liệu",IF(M60&lt;&gt;N60+O60,"Sai cân đối SL",IF(AND(O60&gt;0,P60=""),"Thiếu mã lỗi","Hợp lệ"))))</x:f>
      </x:c>
    </x:row>
    <x:row r="61">
      <x:c r="A61" s="21"/>
      <x:c r="B61" s="43"/>
      <x:c r="C61" s="21"/>
      <x:c r="D61" s="21"/>
      <x:c r="E61" s="21"/>
      <x:c r="F61" s="21"/>
      <x:c r="G61" s="29" t="str">
        <x:f>IF(OR(C61="",D61=""),"",C61&amp;"|"&amp;D61&amp;"|"&amp;IF(E61="","00",E61)&amp;"|"&amp;IF(F61="","01",F61))</x:f>
      </x:c>
      <x:c r="H61" s="21"/>
      <x:c r="I61" s="29" t="str">
        <x:f>IF(OR(G61="",H61=""),"",G61&amp;"|"&amp;TEXT(H61,"000"))</x:f>
      </x:c>
      <x:c r="J61" s="21"/>
      <x:c r="K61" s="21"/>
      <x:c r="L61" s="21"/>
      <x:c r="M61" s="23"/>
      <x:c r="N61" s="23"/>
      <x:c r="O61" s="23"/>
      <x:c r="P61" s="21"/>
      <x:c r="Q61" s="29" t="str">
        <x:f>IF(P61="","",IFERROR(INDEX(DM_MA_LOI!$B$6:$B$105,MATCH(P61,DM_MA_LOI!$A$6:$A$105,0)),""))</x:f>
      </x:c>
      <x:c r="R61" s="29" t="str">
        <x:f>IF(P61="","",IFERROR(INDEX(DM_MA_LOI!$E$6:$E$105,MATCH(P61,DM_MA_LOI!$A$6:$A$105,0)),""))</x:f>
      </x:c>
      <x:c r="S61" s="29" t="str">
        <x:f>IF(P61="","",IFERROR(INDEX(DM_MA_LOI!$F$6:$F$105,MATCH(P61,DM_MA_LOI!$A$6:$A$105,0)),""))</x:f>
      </x:c>
      <x:c r="T61" s="21"/>
      <x:c r="U61" s="21"/>
      <x:c r="V61" s="21"/>
      <x:c r="W61" s="21"/>
      <x:c r="X61" s="21"/>
      <x:c r="Y61" s="21"/>
      <x:c r="Z61" s="21"/>
      <x:c r="AA61" s="29" t="str">
        <x:f>IF(A61="","",IF(OR(B61="",C61="",D61="",H61="",K61="",L61=""),"Thiếu dữ liệu",IF(M61&lt;&gt;N61+O61,"Sai cân đối SL",IF(AND(O61&gt;0,P61=""),"Thiếu mã lỗi","Hợp lệ"))))</x:f>
      </x:c>
    </x:row>
    <x:row r="62">
      <x:c r="A62" s="21"/>
      <x:c r="B62" s="43"/>
      <x:c r="C62" s="21"/>
      <x:c r="D62" s="21"/>
      <x:c r="E62" s="21"/>
      <x:c r="F62" s="21"/>
      <x:c r="G62" s="29" t="str">
        <x:f>IF(OR(C62="",D62=""),"",C62&amp;"|"&amp;D62&amp;"|"&amp;IF(E62="","00",E62)&amp;"|"&amp;IF(F62="","01",F62))</x:f>
      </x:c>
      <x:c r="H62" s="21"/>
      <x:c r="I62" s="29" t="str">
        <x:f>IF(OR(G62="",H62=""),"",G62&amp;"|"&amp;TEXT(H62,"000"))</x:f>
      </x:c>
      <x:c r="J62" s="21"/>
      <x:c r="K62" s="21"/>
      <x:c r="L62" s="21"/>
      <x:c r="M62" s="23"/>
      <x:c r="N62" s="23"/>
      <x:c r="O62" s="23"/>
      <x:c r="P62" s="21"/>
      <x:c r="Q62" s="29" t="str">
        <x:f>IF(P62="","",IFERROR(INDEX(DM_MA_LOI!$B$6:$B$105,MATCH(P62,DM_MA_LOI!$A$6:$A$105,0)),""))</x:f>
      </x:c>
      <x:c r="R62" s="29" t="str">
        <x:f>IF(P62="","",IFERROR(INDEX(DM_MA_LOI!$E$6:$E$105,MATCH(P62,DM_MA_LOI!$A$6:$A$105,0)),""))</x:f>
      </x:c>
      <x:c r="S62" s="29" t="str">
        <x:f>IF(P62="","",IFERROR(INDEX(DM_MA_LOI!$F$6:$F$105,MATCH(P62,DM_MA_LOI!$A$6:$A$105,0)),""))</x:f>
      </x:c>
      <x:c r="T62" s="21"/>
      <x:c r="U62" s="21"/>
      <x:c r="V62" s="21"/>
      <x:c r="W62" s="21"/>
      <x:c r="X62" s="21"/>
      <x:c r="Y62" s="21"/>
      <x:c r="Z62" s="21"/>
      <x:c r="AA62" s="29" t="str">
        <x:f>IF(A62="","",IF(OR(B62="",C62="",D62="",H62="",K62="",L62=""),"Thiếu dữ liệu",IF(M62&lt;&gt;N62+O62,"Sai cân đối SL",IF(AND(O62&gt;0,P62=""),"Thiếu mã lỗi","Hợp lệ"))))</x:f>
      </x:c>
    </x:row>
    <x:row r="63">
      <x:c r="A63" s="21"/>
      <x:c r="B63" s="43"/>
      <x:c r="C63" s="21"/>
      <x:c r="D63" s="21"/>
      <x:c r="E63" s="21"/>
      <x:c r="F63" s="21"/>
      <x:c r="G63" s="29" t="str">
        <x:f>IF(OR(C63="",D63=""),"",C63&amp;"|"&amp;D63&amp;"|"&amp;IF(E63="","00",E63)&amp;"|"&amp;IF(F63="","01",F63))</x:f>
      </x:c>
      <x:c r="H63" s="21"/>
      <x:c r="I63" s="29" t="str">
        <x:f>IF(OR(G63="",H63=""),"",G63&amp;"|"&amp;TEXT(H63,"000"))</x:f>
      </x:c>
      <x:c r="J63" s="21"/>
      <x:c r="K63" s="21"/>
      <x:c r="L63" s="21"/>
      <x:c r="M63" s="23"/>
      <x:c r="N63" s="23"/>
      <x:c r="O63" s="23"/>
      <x:c r="P63" s="21"/>
      <x:c r="Q63" s="29" t="str">
        <x:f>IF(P63="","",IFERROR(INDEX(DM_MA_LOI!$B$6:$B$105,MATCH(P63,DM_MA_LOI!$A$6:$A$105,0)),""))</x:f>
      </x:c>
      <x:c r="R63" s="29" t="str">
        <x:f>IF(P63="","",IFERROR(INDEX(DM_MA_LOI!$E$6:$E$105,MATCH(P63,DM_MA_LOI!$A$6:$A$105,0)),""))</x:f>
      </x:c>
      <x:c r="S63" s="29" t="str">
        <x:f>IF(P63="","",IFERROR(INDEX(DM_MA_LOI!$F$6:$F$105,MATCH(P63,DM_MA_LOI!$A$6:$A$105,0)),""))</x:f>
      </x:c>
      <x:c r="T63" s="21"/>
      <x:c r="U63" s="21"/>
      <x:c r="V63" s="21"/>
      <x:c r="W63" s="21"/>
      <x:c r="X63" s="21"/>
      <x:c r="Y63" s="21"/>
      <x:c r="Z63" s="21"/>
      <x:c r="AA63" s="29" t="str">
        <x:f>IF(A63="","",IF(OR(B63="",C63="",D63="",H63="",K63="",L63=""),"Thiếu dữ liệu",IF(M63&lt;&gt;N63+O63,"Sai cân đối SL",IF(AND(O63&gt;0,P63=""),"Thiếu mã lỗi","Hợp lệ"))))</x:f>
      </x:c>
    </x:row>
    <x:row r="64">
      <x:c r="A64" s="21"/>
      <x:c r="B64" s="43"/>
      <x:c r="C64" s="21"/>
      <x:c r="D64" s="21"/>
      <x:c r="E64" s="21"/>
      <x:c r="F64" s="21"/>
      <x:c r="G64" s="29" t="str">
        <x:f>IF(OR(C64="",D64=""),"",C64&amp;"|"&amp;D64&amp;"|"&amp;IF(E64="","00",E64)&amp;"|"&amp;IF(F64="","01",F64))</x:f>
      </x:c>
      <x:c r="H64" s="21"/>
      <x:c r="I64" s="29" t="str">
        <x:f>IF(OR(G64="",H64=""),"",G64&amp;"|"&amp;TEXT(H64,"000"))</x:f>
      </x:c>
      <x:c r="J64" s="21"/>
      <x:c r="K64" s="21"/>
      <x:c r="L64" s="21"/>
      <x:c r="M64" s="23"/>
      <x:c r="N64" s="23"/>
      <x:c r="O64" s="23"/>
      <x:c r="P64" s="21"/>
      <x:c r="Q64" s="29" t="str">
        <x:f>IF(P64="","",IFERROR(INDEX(DM_MA_LOI!$B$6:$B$105,MATCH(P64,DM_MA_LOI!$A$6:$A$105,0)),""))</x:f>
      </x:c>
      <x:c r="R64" s="29" t="str">
        <x:f>IF(P64="","",IFERROR(INDEX(DM_MA_LOI!$E$6:$E$105,MATCH(P64,DM_MA_LOI!$A$6:$A$105,0)),""))</x:f>
      </x:c>
      <x:c r="S64" s="29" t="str">
        <x:f>IF(P64="","",IFERROR(INDEX(DM_MA_LOI!$F$6:$F$105,MATCH(P64,DM_MA_LOI!$A$6:$A$105,0)),""))</x:f>
      </x:c>
      <x:c r="T64" s="21"/>
      <x:c r="U64" s="21"/>
      <x:c r="V64" s="21"/>
      <x:c r="W64" s="21"/>
      <x:c r="X64" s="21"/>
      <x:c r="Y64" s="21"/>
      <x:c r="Z64" s="21"/>
      <x:c r="AA64" s="29" t="str">
        <x:f>IF(A64="","",IF(OR(B64="",C64="",D64="",H64="",K64="",L64=""),"Thiếu dữ liệu",IF(M64&lt;&gt;N64+O64,"Sai cân đối SL",IF(AND(O64&gt;0,P64=""),"Thiếu mã lỗi","Hợp lệ"))))</x:f>
      </x:c>
    </x:row>
    <x:row r="65">
      <x:c r="A65" s="21"/>
      <x:c r="B65" s="43"/>
      <x:c r="C65" s="21"/>
      <x:c r="D65" s="21"/>
      <x:c r="E65" s="21"/>
      <x:c r="F65" s="21"/>
      <x:c r="G65" s="29" t="str">
        <x:f>IF(OR(C65="",D65=""),"",C65&amp;"|"&amp;D65&amp;"|"&amp;IF(E65="","00",E65)&amp;"|"&amp;IF(F65="","01",F65))</x:f>
      </x:c>
      <x:c r="H65" s="21"/>
      <x:c r="I65" s="29" t="str">
        <x:f>IF(OR(G65="",H65=""),"",G65&amp;"|"&amp;TEXT(H65,"000"))</x:f>
      </x:c>
      <x:c r="J65" s="21"/>
      <x:c r="K65" s="21"/>
      <x:c r="L65" s="21"/>
      <x:c r="M65" s="23"/>
      <x:c r="N65" s="23"/>
      <x:c r="O65" s="23"/>
      <x:c r="P65" s="21"/>
      <x:c r="Q65" s="29" t="str">
        <x:f>IF(P65="","",IFERROR(INDEX(DM_MA_LOI!$B$6:$B$105,MATCH(P65,DM_MA_LOI!$A$6:$A$105,0)),""))</x:f>
      </x:c>
      <x:c r="R65" s="29" t="str">
        <x:f>IF(P65="","",IFERROR(INDEX(DM_MA_LOI!$E$6:$E$105,MATCH(P65,DM_MA_LOI!$A$6:$A$105,0)),""))</x:f>
      </x:c>
      <x:c r="S65" s="29" t="str">
        <x:f>IF(P65="","",IFERROR(INDEX(DM_MA_LOI!$F$6:$F$105,MATCH(P65,DM_MA_LOI!$A$6:$A$105,0)),""))</x:f>
      </x:c>
      <x:c r="T65" s="21"/>
      <x:c r="U65" s="21"/>
      <x:c r="V65" s="21"/>
      <x:c r="W65" s="21"/>
      <x:c r="X65" s="21"/>
      <x:c r="Y65" s="21"/>
      <x:c r="Z65" s="21"/>
      <x:c r="AA65" s="29" t="str">
        <x:f>IF(A65="","",IF(OR(B65="",C65="",D65="",H65="",K65="",L65=""),"Thiếu dữ liệu",IF(M65&lt;&gt;N65+O65,"Sai cân đối SL",IF(AND(O65&gt;0,P65=""),"Thiếu mã lỗi","Hợp lệ"))))</x:f>
      </x:c>
    </x:row>
    <x:row r="66">
      <x:c r="A66" s="21"/>
      <x:c r="B66" s="43"/>
      <x:c r="C66" s="21"/>
      <x:c r="D66" s="21"/>
      <x:c r="E66" s="21"/>
      <x:c r="F66" s="21"/>
      <x:c r="G66" s="29" t="str">
        <x:f>IF(OR(C66="",D66=""),"",C66&amp;"|"&amp;D66&amp;"|"&amp;IF(E66="","00",E66)&amp;"|"&amp;IF(F66="","01",F66))</x:f>
      </x:c>
      <x:c r="H66" s="21"/>
      <x:c r="I66" s="29" t="str">
        <x:f>IF(OR(G66="",H66=""),"",G66&amp;"|"&amp;TEXT(H66,"000"))</x:f>
      </x:c>
      <x:c r="J66" s="21"/>
      <x:c r="K66" s="21"/>
      <x:c r="L66" s="21"/>
      <x:c r="M66" s="23"/>
      <x:c r="N66" s="23"/>
      <x:c r="O66" s="23"/>
      <x:c r="P66" s="21"/>
      <x:c r="Q66" s="29" t="str">
        <x:f>IF(P66="","",IFERROR(INDEX(DM_MA_LOI!$B$6:$B$105,MATCH(P66,DM_MA_LOI!$A$6:$A$105,0)),""))</x:f>
      </x:c>
      <x:c r="R66" s="29" t="str">
        <x:f>IF(P66="","",IFERROR(INDEX(DM_MA_LOI!$E$6:$E$105,MATCH(P66,DM_MA_LOI!$A$6:$A$105,0)),""))</x:f>
      </x:c>
      <x:c r="S66" s="29" t="str">
        <x:f>IF(P66="","",IFERROR(INDEX(DM_MA_LOI!$F$6:$F$105,MATCH(P66,DM_MA_LOI!$A$6:$A$105,0)),""))</x:f>
      </x:c>
      <x:c r="T66" s="21"/>
      <x:c r="U66" s="21"/>
      <x:c r="V66" s="21"/>
      <x:c r="W66" s="21"/>
      <x:c r="X66" s="21"/>
      <x:c r="Y66" s="21"/>
      <x:c r="Z66" s="21"/>
      <x:c r="AA66" s="29" t="str">
        <x:f>IF(A66="","",IF(OR(B66="",C66="",D66="",H66="",K66="",L66=""),"Thiếu dữ liệu",IF(M66&lt;&gt;N66+O66,"Sai cân đối SL",IF(AND(O66&gt;0,P66=""),"Thiếu mã lỗi","Hợp lệ"))))</x:f>
      </x:c>
    </x:row>
    <x:row r="67">
      <x:c r="A67" s="21"/>
      <x:c r="B67" s="43"/>
      <x:c r="C67" s="21"/>
      <x:c r="D67" s="21"/>
      <x:c r="E67" s="21"/>
      <x:c r="F67" s="21"/>
      <x:c r="G67" s="29" t="str">
        <x:f>IF(OR(C67="",D67=""),"",C67&amp;"|"&amp;D67&amp;"|"&amp;IF(E67="","00",E67)&amp;"|"&amp;IF(F67="","01",F67))</x:f>
      </x:c>
      <x:c r="H67" s="21"/>
      <x:c r="I67" s="29" t="str">
        <x:f>IF(OR(G67="",H67=""),"",G67&amp;"|"&amp;TEXT(H67,"000"))</x:f>
      </x:c>
      <x:c r="J67" s="21"/>
      <x:c r="K67" s="21"/>
      <x:c r="L67" s="21"/>
      <x:c r="M67" s="23"/>
      <x:c r="N67" s="23"/>
      <x:c r="O67" s="23"/>
      <x:c r="P67" s="21"/>
      <x:c r="Q67" s="29" t="str">
        <x:f>IF(P67="","",IFERROR(INDEX(DM_MA_LOI!$B$6:$B$105,MATCH(P67,DM_MA_LOI!$A$6:$A$105,0)),""))</x:f>
      </x:c>
      <x:c r="R67" s="29" t="str">
        <x:f>IF(P67="","",IFERROR(INDEX(DM_MA_LOI!$E$6:$E$105,MATCH(P67,DM_MA_LOI!$A$6:$A$105,0)),""))</x:f>
      </x:c>
      <x:c r="S67" s="29" t="str">
        <x:f>IF(P67="","",IFERROR(INDEX(DM_MA_LOI!$F$6:$F$105,MATCH(P67,DM_MA_LOI!$A$6:$A$105,0)),""))</x:f>
      </x:c>
      <x:c r="T67" s="21"/>
      <x:c r="U67" s="21"/>
      <x:c r="V67" s="21"/>
      <x:c r="W67" s="21"/>
      <x:c r="X67" s="21"/>
      <x:c r="Y67" s="21"/>
      <x:c r="Z67" s="21"/>
      <x:c r="AA67" s="29" t="str">
        <x:f>IF(A67="","",IF(OR(B67="",C67="",D67="",H67="",K67="",L67=""),"Thiếu dữ liệu",IF(M67&lt;&gt;N67+O67,"Sai cân đối SL",IF(AND(O67&gt;0,P67=""),"Thiếu mã lỗi","Hợp lệ"))))</x:f>
      </x:c>
    </x:row>
    <x:row r="68">
      <x:c r="A68" s="21"/>
      <x:c r="B68" s="43"/>
      <x:c r="C68" s="21"/>
      <x:c r="D68" s="21"/>
      <x:c r="E68" s="21"/>
      <x:c r="F68" s="21"/>
      <x:c r="G68" s="29" t="str">
        <x:f>IF(OR(C68="",D68=""),"",C68&amp;"|"&amp;D68&amp;"|"&amp;IF(E68="","00",E68)&amp;"|"&amp;IF(F68="","01",F68))</x:f>
      </x:c>
      <x:c r="H68" s="21"/>
      <x:c r="I68" s="29" t="str">
        <x:f>IF(OR(G68="",H68=""),"",G68&amp;"|"&amp;TEXT(H68,"000"))</x:f>
      </x:c>
      <x:c r="J68" s="21"/>
      <x:c r="K68" s="21"/>
      <x:c r="L68" s="21"/>
      <x:c r="M68" s="23"/>
      <x:c r="N68" s="23"/>
      <x:c r="O68" s="23"/>
      <x:c r="P68" s="21"/>
      <x:c r="Q68" s="29" t="str">
        <x:f>IF(P68="","",IFERROR(INDEX(DM_MA_LOI!$B$6:$B$105,MATCH(P68,DM_MA_LOI!$A$6:$A$105,0)),""))</x:f>
      </x:c>
      <x:c r="R68" s="29" t="str">
        <x:f>IF(P68="","",IFERROR(INDEX(DM_MA_LOI!$E$6:$E$105,MATCH(P68,DM_MA_LOI!$A$6:$A$105,0)),""))</x:f>
      </x:c>
      <x:c r="S68" s="29" t="str">
        <x:f>IF(P68="","",IFERROR(INDEX(DM_MA_LOI!$F$6:$F$105,MATCH(P68,DM_MA_LOI!$A$6:$A$105,0)),""))</x:f>
      </x:c>
      <x:c r="T68" s="21"/>
      <x:c r="U68" s="21"/>
      <x:c r="V68" s="21"/>
      <x:c r="W68" s="21"/>
      <x:c r="X68" s="21"/>
      <x:c r="Y68" s="21"/>
      <x:c r="Z68" s="21"/>
      <x:c r="AA68" s="29" t="str">
        <x:f>IF(A68="","",IF(OR(B68="",C68="",D68="",H68="",K68="",L68=""),"Thiếu dữ liệu",IF(M68&lt;&gt;N68+O68,"Sai cân đối SL",IF(AND(O68&gt;0,P68=""),"Thiếu mã lỗi","Hợp lệ"))))</x:f>
      </x:c>
    </x:row>
    <x:row r="69">
      <x:c r="A69" s="21"/>
      <x:c r="B69" s="43"/>
      <x:c r="C69" s="21"/>
      <x:c r="D69" s="21"/>
      <x:c r="E69" s="21"/>
      <x:c r="F69" s="21"/>
      <x:c r="G69" s="29" t="str">
        <x:f>IF(OR(C69="",D69=""),"",C69&amp;"|"&amp;D69&amp;"|"&amp;IF(E69="","00",E69)&amp;"|"&amp;IF(F69="","01",F69))</x:f>
      </x:c>
      <x:c r="H69" s="21"/>
      <x:c r="I69" s="29" t="str">
        <x:f>IF(OR(G69="",H69=""),"",G69&amp;"|"&amp;TEXT(H69,"000"))</x:f>
      </x:c>
      <x:c r="J69" s="21"/>
      <x:c r="K69" s="21"/>
      <x:c r="L69" s="21"/>
      <x:c r="M69" s="23"/>
      <x:c r="N69" s="23"/>
      <x:c r="O69" s="23"/>
      <x:c r="P69" s="21"/>
      <x:c r="Q69" s="29" t="str">
        <x:f>IF(P69="","",IFERROR(INDEX(DM_MA_LOI!$B$6:$B$105,MATCH(P69,DM_MA_LOI!$A$6:$A$105,0)),""))</x:f>
      </x:c>
      <x:c r="R69" s="29" t="str">
        <x:f>IF(P69="","",IFERROR(INDEX(DM_MA_LOI!$E$6:$E$105,MATCH(P69,DM_MA_LOI!$A$6:$A$105,0)),""))</x:f>
      </x:c>
      <x:c r="S69" s="29" t="str">
        <x:f>IF(P69="","",IFERROR(INDEX(DM_MA_LOI!$F$6:$F$105,MATCH(P69,DM_MA_LOI!$A$6:$A$105,0)),""))</x:f>
      </x:c>
      <x:c r="T69" s="21"/>
      <x:c r="U69" s="21"/>
      <x:c r="V69" s="21"/>
      <x:c r="W69" s="21"/>
      <x:c r="X69" s="21"/>
      <x:c r="Y69" s="21"/>
      <x:c r="Z69" s="21"/>
      <x:c r="AA69" s="29" t="str">
        <x:f>IF(A69="","",IF(OR(B69="",C69="",D69="",H69="",K69="",L69=""),"Thiếu dữ liệu",IF(M69&lt;&gt;N69+O69,"Sai cân đối SL",IF(AND(O69&gt;0,P69=""),"Thiếu mã lỗi","Hợp lệ"))))</x:f>
      </x:c>
    </x:row>
    <x:row r="70">
      <x:c r="A70" s="21"/>
      <x:c r="B70" s="43"/>
      <x:c r="C70" s="21"/>
      <x:c r="D70" s="21"/>
      <x:c r="E70" s="21"/>
      <x:c r="F70" s="21"/>
      <x:c r="G70" s="29" t="str">
        <x:f>IF(OR(C70="",D70=""),"",C70&amp;"|"&amp;D70&amp;"|"&amp;IF(E70="","00",E70)&amp;"|"&amp;IF(F70="","01",F70))</x:f>
      </x:c>
      <x:c r="H70" s="21"/>
      <x:c r="I70" s="29" t="str">
        <x:f>IF(OR(G70="",H70=""),"",G70&amp;"|"&amp;TEXT(H70,"000"))</x:f>
      </x:c>
      <x:c r="J70" s="21"/>
      <x:c r="K70" s="21"/>
      <x:c r="L70" s="21"/>
      <x:c r="M70" s="23"/>
      <x:c r="N70" s="23"/>
      <x:c r="O70" s="23"/>
      <x:c r="P70" s="21"/>
      <x:c r="Q70" s="29" t="str">
        <x:f>IF(P70="","",IFERROR(INDEX(DM_MA_LOI!$B$6:$B$105,MATCH(P70,DM_MA_LOI!$A$6:$A$105,0)),""))</x:f>
      </x:c>
      <x:c r="R70" s="29" t="str">
        <x:f>IF(P70="","",IFERROR(INDEX(DM_MA_LOI!$E$6:$E$105,MATCH(P70,DM_MA_LOI!$A$6:$A$105,0)),""))</x:f>
      </x:c>
      <x:c r="S70" s="29" t="str">
        <x:f>IF(P70="","",IFERROR(INDEX(DM_MA_LOI!$F$6:$F$105,MATCH(P70,DM_MA_LOI!$A$6:$A$105,0)),""))</x:f>
      </x:c>
      <x:c r="T70" s="21"/>
      <x:c r="U70" s="21"/>
      <x:c r="V70" s="21"/>
      <x:c r="W70" s="21"/>
      <x:c r="X70" s="21"/>
      <x:c r="Y70" s="21"/>
      <x:c r="Z70" s="21"/>
      <x:c r="AA70" s="29" t="str">
        <x:f>IF(A70="","",IF(OR(B70="",C70="",D70="",H70="",K70="",L70=""),"Thiếu dữ liệu",IF(M70&lt;&gt;N70+O70,"Sai cân đối SL",IF(AND(O70&gt;0,P70=""),"Thiếu mã lỗi","Hợp lệ"))))</x:f>
      </x:c>
    </x:row>
    <x:row r="71">
      <x:c r="A71" s="21"/>
      <x:c r="B71" s="43"/>
      <x:c r="C71" s="21"/>
      <x:c r="D71" s="21"/>
      <x:c r="E71" s="21"/>
      <x:c r="F71" s="21"/>
      <x:c r="G71" s="29" t="str">
        <x:f>IF(OR(C71="",D71=""),"",C71&amp;"|"&amp;D71&amp;"|"&amp;IF(E71="","00",E71)&amp;"|"&amp;IF(F71="","01",F71))</x:f>
      </x:c>
      <x:c r="H71" s="21"/>
      <x:c r="I71" s="29" t="str">
        <x:f>IF(OR(G71="",H71=""),"",G71&amp;"|"&amp;TEXT(H71,"000"))</x:f>
      </x:c>
      <x:c r="J71" s="21"/>
      <x:c r="K71" s="21"/>
      <x:c r="L71" s="21"/>
      <x:c r="M71" s="23"/>
      <x:c r="N71" s="23"/>
      <x:c r="O71" s="23"/>
      <x:c r="P71" s="21"/>
      <x:c r="Q71" s="29" t="str">
        <x:f>IF(P71="","",IFERROR(INDEX(DM_MA_LOI!$B$6:$B$105,MATCH(P71,DM_MA_LOI!$A$6:$A$105,0)),""))</x:f>
      </x:c>
      <x:c r="R71" s="29" t="str">
        <x:f>IF(P71="","",IFERROR(INDEX(DM_MA_LOI!$E$6:$E$105,MATCH(P71,DM_MA_LOI!$A$6:$A$105,0)),""))</x:f>
      </x:c>
      <x:c r="S71" s="29" t="str">
        <x:f>IF(P71="","",IFERROR(INDEX(DM_MA_LOI!$F$6:$F$105,MATCH(P71,DM_MA_LOI!$A$6:$A$105,0)),""))</x:f>
      </x:c>
      <x:c r="T71" s="21"/>
      <x:c r="U71" s="21"/>
      <x:c r="V71" s="21"/>
      <x:c r="W71" s="21"/>
      <x:c r="X71" s="21"/>
      <x:c r="Y71" s="21"/>
      <x:c r="Z71" s="21"/>
      <x:c r="AA71" s="29" t="str">
        <x:f>IF(A71="","",IF(OR(B71="",C71="",D71="",H71="",K71="",L71=""),"Thiếu dữ liệu",IF(M71&lt;&gt;N71+O71,"Sai cân đối SL",IF(AND(O71&gt;0,P71=""),"Thiếu mã lỗi","Hợp lệ"))))</x:f>
      </x:c>
    </x:row>
    <x:row r="72">
      <x:c r="A72" s="21"/>
      <x:c r="B72" s="43"/>
      <x:c r="C72" s="21"/>
      <x:c r="D72" s="21"/>
      <x:c r="E72" s="21"/>
      <x:c r="F72" s="21"/>
      <x:c r="G72" s="29" t="str">
        <x:f>IF(OR(C72="",D72=""),"",C72&amp;"|"&amp;D72&amp;"|"&amp;IF(E72="","00",E72)&amp;"|"&amp;IF(F72="","01",F72))</x:f>
      </x:c>
      <x:c r="H72" s="21"/>
      <x:c r="I72" s="29" t="str">
        <x:f>IF(OR(G72="",H72=""),"",G72&amp;"|"&amp;TEXT(H72,"000"))</x:f>
      </x:c>
      <x:c r="J72" s="21"/>
      <x:c r="K72" s="21"/>
      <x:c r="L72" s="21"/>
      <x:c r="M72" s="23"/>
      <x:c r="N72" s="23"/>
      <x:c r="O72" s="23"/>
      <x:c r="P72" s="21"/>
      <x:c r="Q72" s="29" t="str">
        <x:f>IF(P72="","",IFERROR(INDEX(DM_MA_LOI!$B$6:$B$105,MATCH(P72,DM_MA_LOI!$A$6:$A$105,0)),""))</x:f>
      </x:c>
      <x:c r="R72" s="29" t="str">
        <x:f>IF(P72="","",IFERROR(INDEX(DM_MA_LOI!$E$6:$E$105,MATCH(P72,DM_MA_LOI!$A$6:$A$105,0)),""))</x:f>
      </x:c>
      <x:c r="S72" s="29" t="str">
        <x:f>IF(P72="","",IFERROR(INDEX(DM_MA_LOI!$F$6:$F$105,MATCH(P72,DM_MA_LOI!$A$6:$A$105,0)),""))</x:f>
      </x:c>
      <x:c r="T72" s="21"/>
      <x:c r="U72" s="21"/>
      <x:c r="V72" s="21"/>
      <x:c r="W72" s="21"/>
      <x:c r="X72" s="21"/>
      <x:c r="Y72" s="21"/>
      <x:c r="Z72" s="21"/>
      <x:c r="AA72" s="29" t="str">
        <x:f>IF(A72="","",IF(OR(B72="",C72="",D72="",H72="",K72="",L72=""),"Thiếu dữ liệu",IF(M72&lt;&gt;N72+O72,"Sai cân đối SL",IF(AND(O72&gt;0,P72=""),"Thiếu mã lỗi","Hợp lệ"))))</x:f>
      </x:c>
    </x:row>
    <x:row r="73">
      <x:c r="A73" s="21"/>
      <x:c r="B73" s="43"/>
      <x:c r="C73" s="21"/>
      <x:c r="D73" s="21"/>
      <x:c r="E73" s="21"/>
      <x:c r="F73" s="21"/>
      <x:c r="G73" s="29" t="str">
        <x:f>IF(OR(C73="",D73=""),"",C73&amp;"|"&amp;D73&amp;"|"&amp;IF(E73="","00",E73)&amp;"|"&amp;IF(F73="","01",F73))</x:f>
      </x:c>
      <x:c r="H73" s="21"/>
      <x:c r="I73" s="29" t="str">
        <x:f>IF(OR(G73="",H73=""),"",G73&amp;"|"&amp;TEXT(H73,"000"))</x:f>
      </x:c>
      <x:c r="J73" s="21"/>
      <x:c r="K73" s="21"/>
      <x:c r="L73" s="21"/>
      <x:c r="M73" s="23"/>
      <x:c r="N73" s="23"/>
      <x:c r="O73" s="23"/>
      <x:c r="P73" s="21"/>
      <x:c r="Q73" s="29" t="str">
        <x:f>IF(P73="","",IFERROR(INDEX(DM_MA_LOI!$B$6:$B$105,MATCH(P73,DM_MA_LOI!$A$6:$A$105,0)),""))</x:f>
      </x:c>
      <x:c r="R73" s="29" t="str">
        <x:f>IF(P73="","",IFERROR(INDEX(DM_MA_LOI!$E$6:$E$105,MATCH(P73,DM_MA_LOI!$A$6:$A$105,0)),""))</x:f>
      </x:c>
      <x:c r="S73" s="29" t="str">
        <x:f>IF(P73="","",IFERROR(INDEX(DM_MA_LOI!$F$6:$F$105,MATCH(P73,DM_MA_LOI!$A$6:$A$105,0)),""))</x:f>
      </x:c>
      <x:c r="T73" s="21"/>
      <x:c r="U73" s="21"/>
      <x:c r="V73" s="21"/>
      <x:c r="W73" s="21"/>
      <x:c r="X73" s="21"/>
      <x:c r="Y73" s="21"/>
      <x:c r="Z73" s="21"/>
      <x:c r="AA73" s="29" t="str">
        <x:f>IF(A73="","",IF(OR(B73="",C73="",D73="",H73="",K73="",L73=""),"Thiếu dữ liệu",IF(M73&lt;&gt;N73+O73,"Sai cân đối SL",IF(AND(O73&gt;0,P73=""),"Thiếu mã lỗi","Hợp lệ"))))</x:f>
      </x:c>
    </x:row>
    <x:row r="74">
      <x:c r="A74" s="21"/>
      <x:c r="B74" s="43"/>
      <x:c r="C74" s="21"/>
      <x:c r="D74" s="21"/>
      <x:c r="E74" s="21"/>
      <x:c r="F74" s="21"/>
      <x:c r="G74" s="29" t="str">
        <x:f>IF(OR(C74="",D74=""),"",C74&amp;"|"&amp;D74&amp;"|"&amp;IF(E74="","00",E74)&amp;"|"&amp;IF(F74="","01",F74))</x:f>
      </x:c>
      <x:c r="H74" s="21"/>
      <x:c r="I74" s="29" t="str">
        <x:f>IF(OR(G74="",H74=""),"",G74&amp;"|"&amp;TEXT(H74,"000"))</x:f>
      </x:c>
      <x:c r="J74" s="21"/>
      <x:c r="K74" s="21"/>
      <x:c r="L74" s="21"/>
      <x:c r="M74" s="23"/>
      <x:c r="N74" s="23"/>
      <x:c r="O74" s="23"/>
      <x:c r="P74" s="21"/>
      <x:c r="Q74" s="29" t="str">
        <x:f>IF(P74="","",IFERROR(INDEX(DM_MA_LOI!$B$6:$B$105,MATCH(P74,DM_MA_LOI!$A$6:$A$105,0)),""))</x:f>
      </x:c>
      <x:c r="R74" s="29" t="str">
        <x:f>IF(P74="","",IFERROR(INDEX(DM_MA_LOI!$E$6:$E$105,MATCH(P74,DM_MA_LOI!$A$6:$A$105,0)),""))</x:f>
      </x:c>
      <x:c r="S74" s="29" t="str">
        <x:f>IF(P74="","",IFERROR(INDEX(DM_MA_LOI!$F$6:$F$105,MATCH(P74,DM_MA_LOI!$A$6:$A$105,0)),""))</x:f>
      </x:c>
      <x:c r="T74" s="21"/>
      <x:c r="U74" s="21"/>
      <x:c r="V74" s="21"/>
      <x:c r="W74" s="21"/>
      <x:c r="X74" s="21"/>
      <x:c r="Y74" s="21"/>
      <x:c r="Z74" s="21"/>
      <x:c r="AA74" s="29" t="str">
        <x:f>IF(A74="","",IF(OR(B74="",C74="",D74="",H74="",K74="",L74=""),"Thiếu dữ liệu",IF(M74&lt;&gt;N74+O74,"Sai cân đối SL",IF(AND(O74&gt;0,P74=""),"Thiếu mã lỗi","Hợp lệ"))))</x:f>
      </x:c>
    </x:row>
    <x:row r="75">
      <x:c r="A75" s="21"/>
      <x:c r="B75" s="43"/>
      <x:c r="C75" s="21"/>
      <x:c r="D75" s="21"/>
      <x:c r="E75" s="21"/>
      <x:c r="F75" s="21"/>
      <x:c r="G75" s="29" t="str">
        <x:f>IF(OR(C75="",D75=""),"",C75&amp;"|"&amp;D75&amp;"|"&amp;IF(E75="","00",E75)&amp;"|"&amp;IF(F75="","01",F75))</x:f>
      </x:c>
      <x:c r="H75" s="21"/>
      <x:c r="I75" s="29" t="str">
        <x:f>IF(OR(G75="",H75=""),"",G75&amp;"|"&amp;TEXT(H75,"000"))</x:f>
      </x:c>
      <x:c r="J75" s="21"/>
      <x:c r="K75" s="21"/>
      <x:c r="L75" s="21"/>
      <x:c r="M75" s="23"/>
      <x:c r="N75" s="23"/>
      <x:c r="O75" s="23"/>
      <x:c r="P75" s="21"/>
      <x:c r="Q75" s="29" t="str">
        <x:f>IF(P75="","",IFERROR(INDEX(DM_MA_LOI!$B$6:$B$105,MATCH(P75,DM_MA_LOI!$A$6:$A$105,0)),""))</x:f>
      </x:c>
      <x:c r="R75" s="29" t="str">
        <x:f>IF(P75="","",IFERROR(INDEX(DM_MA_LOI!$E$6:$E$105,MATCH(P75,DM_MA_LOI!$A$6:$A$105,0)),""))</x:f>
      </x:c>
      <x:c r="S75" s="29" t="str">
        <x:f>IF(P75="","",IFERROR(INDEX(DM_MA_LOI!$F$6:$F$105,MATCH(P75,DM_MA_LOI!$A$6:$A$105,0)),""))</x:f>
      </x:c>
      <x:c r="T75" s="21"/>
      <x:c r="U75" s="21"/>
      <x:c r="V75" s="21"/>
      <x:c r="W75" s="21"/>
      <x:c r="X75" s="21"/>
      <x:c r="Y75" s="21"/>
      <x:c r="Z75" s="21"/>
      <x:c r="AA75" s="29" t="str">
        <x:f>IF(A75="","",IF(OR(B75="",C75="",D75="",H75="",K75="",L75=""),"Thiếu dữ liệu",IF(M75&lt;&gt;N75+O75,"Sai cân đối SL",IF(AND(O75&gt;0,P75=""),"Thiếu mã lỗi","Hợp lệ"))))</x:f>
      </x:c>
    </x:row>
    <x:row r="76">
      <x:c r="A76" s="21"/>
      <x:c r="B76" s="43"/>
      <x:c r="C76" s="21"/>
      <x:c r="D76" s="21"/>
      <x:c r="E76" s="21"/>
      <x:c r="F76" s="21"/>
      <x:c r="G76" s="29" t="str">
        <x:f>IF(OR(C76="",D76=""),"",C76&amp;"|"&amp;D76&amp;"|"&amp;IF(E76="","00",E76)&amp;"|"&amp;IF(F76="","01",F76))</x:f>
      </x:c>
      <x:c r="H76" s="21"/>
      <x:c r="I76" s="29" t="str">
        <x:f>IF(OR(G76="",H76=""),"",G76&amp;"|"&amp;TEXT(H76,"000"))</x:f>
      </x:c>
      <x:c r="J76" s="21"/>
      <x:c r="K76" s="21"/>
      <x:c r="L76" s="21"/>
      <x:c r="M76" s="23"/>
      <x:c r="N76" s="23"/>
      <x:c r="O76" s="23"/>
      <x:c r="P76" s="21"/>
      <x:c r="Q76" s="29" t="str">
        <x:f>IF(P76="","",IFERROR(INDEX(DM_MA_LOI!$B$6:$B$105,MATCH(P76,DM_MA_LOI!$A$6:$A$105,0)),""))</x:f>
      </x:c>
      <x:c r="R76" s="29" t="str">
        <x:f>IF(P76="","",IFERROR(INDEX(DM_MA_LOI!$E$6:$E$105,MATCH(P76,DM_MA_LOI!$A$6:$A$105,0)),""))</x:f>
      </x:c>
      <x:c r="S76" s="29" t="str">
        <x:f>IF(P76="","",IFERROR(INDEX(DM_MA_LOI!$F$6:$F$105,MATCH(P76,DM_MA_LOI!$A$6:$A$105,0)),""))</x:f>
      </x:c>
      <x:c r="T76" s="21"/>
      <x:c r="U76" s="21"/>
      <x:c r="V76" s="21"/>
      <x:c r="W76" s="21"/>
      <x:c r="X76" s="21"/>
      <x:c r="Y76" s="21"/>
      <x:c r="Z76" s="21"/>
      <x:c r="AA76" s="29" t="str">
        <x:f>IF(A76="","",IF(OR(B76="",C76="",D76="",H76="",K76="",L76=""),"Thiếu dữ liệu",IF(M76&lt;&gt;N76+O76,"Sai cân đối SL",IF(AND(O76&gt;0,P76=""),"Thiếu mã lỗi","Hợp lệ"))))</x:f>
      </x:c>
    </x:row>
    <x:row r="77">
      <x:c r="A77" s="21"/>
      <x:c r="B77" s="43"/>
      <x:c r="C77" s="21"/>
      <x:c r="D77" s="21"/>
      <x:c r="E77" s="21"/>
      <x:c r="F77" s="21"/>
      <x:c r="G77" s="29" t="str">
        <x:f>IF(OR(C77="",D77=""),"",C77&amp;"|"&amp;D77&amp;"|"&amp;IF(E77="","00",E77)&amp;"|"&amp;IF(F77="","01",F77))</x:f>
      </x:c>
      <x:c r="H77" s="21"/>
      <x:c r="I77" s="29" t="str">
        <x:f>IF(OR(G77="",H77=""),"",G77&amp;"|"&amp;TEXT(H77,"000"))</x:f>
      </x:c>
      <x:c r="J77" s="21"/>
      <x:c r="K77" s="21"/>
      <x:c r="L77" s="21"/>
      <x:c r="M77" s="23"/>
      <x:c r="N77" s="23"/>
      <x:c r="O77" s="23"/>
      <x:c r="P77" s="21"/>
      <x:c r="Q77" s="29" t="str">
        <x:f>IF(P77="","",IFERROR(INDEX(DM_MA_LOI!$B$6:$B$105,MATCH(P77,DM_MA_LOI!$A$6:$A$105,0)),""))</x:f>
      </x:c>
      <x:c r="R77" s="29" t="str">
        <x:f>IF(P77="","",IFERROR(INDEX(DM_MA_LOI!$E$6:$E$105,MATCH(P77,DM_MA_LOI!$A$6:$A$105,0)),""))</x:f>
      </x:c>
      <x:c r="S77" s="29" t="str">
        <x:f>IF(P77="","",IFERROR(INDEX(DM_MA_LOI!$F$6:$F$105,MATCH(P77,DM_MA_LOI!$A$6:$A$105,0)),""))</x:f>
      </x:c>
      <x:c r="T77" s="21"/>
      <x:c r="U77" s="21"/>
      <x:c r="V77" s="21"/>
      <x:c r="W77" s="21"/>
      <x:c r="X77" s="21"/>
      <x:c r="Y77" s="21"/>
      <x:c r="Z77" s="21"/>
      <x:c r="AA77" s="29" t="str">
        <x:f>IF(A77="","",IF(OR(B77="",C77="",D77="",H77="",K77="",L77=""),"Thiếu dữ liệu",IF(M77&lt;&gt;N77+O77,"Sai cân đối SL",IF(AND(O77&gt;0,P77=""),"Thiếu mã lỗi","Hợp lệ"))))</x:f>
      </x:c>
    </x:row>
    <x:row r="78">
      <x:c r="A78" s="21"/>
      <x:c r="B78" s="43"/>
      <x:c r="C78" s="21"/>
      <x:c r="D78" s="21"/>
      <x:c r="E78" s="21"/>
      <x:c r="F78" s="21"/>
      <x:c r="G78" s="29" t="str">
        <x:f>IF(OR(C78="",D78=""),"",C78&amp;"|"&amp;D78&amp;"|"&amp;IF(E78="","00",E78)&amp;"|"&amp;IF(F78="","01",F78))</x:f>
      </x:c>
      <x:c r="H78" s="21"/>
      <x:c r="I78" s="29" t="str">
        <x:f>IF(OR(G78="",H78=""),"",G78&amp;"|"&amp;TEXT(H78,"000"))</x:f>
      </x:c>
      <x:c r="J78" s="21"/>
      <x:c r="K78" s="21"/>
      <x:c r="L78" s="21"/>
      <x:c r="M78" s="23"/>
      <x:c r="N78" s="23"/>
      <x:c r="O78" s="23"/>
      <x:c r="P78" s="21"/>
      <x:c r="Q78" s="29" t="str">
        <x:f>IF(P78="","",IFERROR(INDEX(DM_MA_LOI!$B$6:$B$105,MATCH(P78,DM_MA_LOI!$A$6:$A$105,0)),""))</x:f>
      </x:c>
      <x:c r="R78" s="29" t="str">
        <x:f>IF(P78="","",IFERROR(INDEX(DM_MA_LOI!$E$6:$E$105,MATCH(P78,DM_MA_LOI!$A$6:$A$105,0)),""))</x:f>
      </x:c>
      <x:c r="S78" s="29" t="str">
        <x:f>IF(P78="","",IFERROR(INDEX(DM_MA_LOI!$F$6:$F$105,MATCH(P78,DM_MA_LOI!$A$6:$A$105,0)),""))</x:f>
      </x:c>
      <x:c r="T78" s="21"/>
      <x:c r="U78" s="21"/>
      <x:c r="V78" s="21"/>
      <x:c r="W78" s="21"/>
      <x:c r="X78" s="21"/>
      <x:c r="Y78" s="21"/>
      <x:c r="Z78" s="21"/>
      <x:c r="AA78" s="29" t="str">
        <x:f>IF(A78="","",IF(OR(B78="",C78="",D78="",H78="",K78="",L78=""),"Thiếu dữ liệu",IF(M78&lt;&gt;N78+O78,"Sai cân đối SL",IF(AND(O78&gt;0,P78=""),"Thiếu mã lỗi","Hợp lệ"))))</x:f>
      </x:c>
    </x:row>
    <x:row r="79">
      <x:c r="A79" s="21"/>
      <x:c r="B79" s="43"/>
      <x:c r="C79" s="21"/>
      <x:c r="D79" s="21"/>
      <x:c r="E79" s="21"/>
      <x:c r="F79" s="21"/>
      <x:c r="G79" s="29" t="str">
        <x:f>IF(OR(C79="",D79=""),"",C79&amp;"|"&amp;D79&amp;"|"&amp;IF(E79="","00",E79)&amp;"|"&amp;IF(F79="","01",F79))</x:f>
      </x:c>
      <x:c r="H79" s="21"/>
      <x:c r="I79" s="29" t="str">
        <x:f>IF(OR(G79="",H79=""),"",G79&amp;"|"&amp;TEXT(H79,"000"))</x:f>
      </x:c>
      <x:c r="J79" s="21"/>
      <x:c r="K79" s="21"/>
      <x:c r="L79" s="21"/>
      <x:c r="M79" s="23"/>
      <x:c r="N79" s="23"/>
      <x:c r="O79" s="23"/>
      <x:c r="P79" s="21"/>
      <x:c r="Q79" s="29" t="str">
        <x:f>IF(P79="","",IFERROR(INDEX(DM_MA_LOI!$B$6:$B$105,MATCH(P79,DM_MA_LOI!$A$6:$A$105,0)),""))</x:f>
      </x:c>
      <x:c r="R79" s="29" t="str">
        <x:f>IF(P79="","",IFERROR(INDEX(DM_MA_LOI!$E$6:$E$105,MATCH(P79,DM_MA_LOI!$A$6:$A$105,0)),""))</x:f>
      </x:c>
      <x:c r="S79" s="29" t="str">
        <x:f>IF(P79="","",IFERROR(INDEX(DM_MA_LOI!$F$6:$F$105,MATCH(P79,DM_MA_LOI!$A$6:$A$105,0)),""))</x:f>
      </x:c>
      <x:c r="T79" s="21"/>
      <x:c r="U79" s="21"/>
      <x:c r="V79" s="21"/>
      <x:c r="W79" s="21"/>
      <x:c r="X79" s="21"/>
      <x:c r="Y79" s="21"/>
      <x:c r="Z79" s="21"/>
      <x:c r="AA79" s="29" t="str">
        <x:f>IF(A79="","",IF(OR(B79="",C79="",D79="",H79="",K79="",L79=""),"Thiếu dữ liệu",IF(M79&lt;&gt;N79+O79,"Sai cân đối SL",IF(AND(O79&gt;0,P79=""),"Thiếu mã lỗi","Hợp lệ"))))</x:f>
      </x:c>
    </x:row>
    <x:row r="80">
      <x:c r="A80" s="21"/>
      <x:c r="B80" s="43"/>
      <x:c r="C80" s="21"/>
      <x:c r="D80" s="21"/>
      <x:c r="E80" s="21"/>
      <x:c r="F80" s="21"/>
      <x:c r="G80" s="29" t="str">
        <x:f>IF(OR(C80="",D80=""),"",C80&amp;"|"&amp;D80&amp;"|"&amp;IF(E80="","00",E80)&amp;"|"&amp;IF(F80="","01",F80))</x:f>
      </x:c>
      <x:c r="H80" s="21"/>
      <x:c r="I80" s="29" t="str">
        <x:f>IF(OR(G80="",H80=""),"",G80&amp;"|"&amp;TEXT(H80,"000"))</x:f>
      </x:c>
      <x:c r="J80" s="21"/>
      <x:c r="K80" s="21"/>
      <x:c r="L80" s="21"/>
      <x:c r="M80" s="23"/>
      <x:c r="N80" s="23"/>
      <x:c r="O80" s="23"/>
      <x:c r="P80" s="21"/>
      <x:c r="Q80" s="29" t="str">
        <x:f>IF(P80="","",IFERROR(INDEX(DM_MA_LOI!$B$6:$B$105,MATCH(P80,DM_MA_LOI!$A$6:$A$105,0)),""))</x:f>
      </x:c>
      <x:c r="R80" s="29" t="str">
        <x:f>IF(P80="","",IFERROR(INDEX(DM_MA_LOI!$E$6:$E$105,MATCH(P80,DM_MA_LOI!$A$6:$A$105,0)),""))</x:f>
      </x:c>
      <x:c r="S80" s="29" t="str">
        <x:f>IF(P80="","",IFERROR(INDEX(DM_MA_LOI!$F$6:$F$105,MATCH(P80,DM_MA_LOI!$A$6:$A$105,0)),""))</x:f>
      </x:c>
      <x:c r="T80" s="21"/>
      <x:c r="U80" s="21"/>
      <x:c r="V80" s="21"/>
      <x:c r="W80" s="21"/>
      <x:c r="X80" s="21"/>
      <x:c r="Y80" s="21"/>
      <x:c r="Z80" s="21"/>
      <x:c r="AA80" s="29" t="str">
        <x:f>IF(A80="","",IF(OR(B80="",C80="",D80="",H80="",K80="",L80=""),"Thiếu dữ liệu",IF(M80&lt;&gt;N80+O80,"Sai cân đối SL",IF(AND(O80&gt;0,P80=""),"Thiếu mã lỗi","Hợp lệ"))))</x:f>
      </x:c>
    </x:row>
    <x:row r="81">
      <x:c r="A81" s="21"/>
      <x:c r="B81" s="43"/>
      <x:c r="C81" s="21"/>
      <x:c r="D81" s="21"/>
      <x:c r="E81" s="21"/>
      <x:c r="F81" s="21"/>
      <x:c r="G81" s="29" t="str">
        <x:f>IF(OR(C81="",D81=""),"",C81&amp;"|"&amp;D81&amp;"|"&amp;IF(E81="","00",E81)&amp;"|"&amp;IF(F81="","01",F81))</x:f>
      </x:c>
      <x:c r="H81" s="21"/>
      <x:c r="I81" s="29" t="str">
        <x:f>IF(OR(G81="",H81=""),"",G81&amp;"|"&amp;TEXT(H81,"000"))</x:f>
      </x:c>
      <x:c r="J81" s="21"/>
      <x:c r="K81" s="21"/>
      <x:c r="L81" s="21"/>
      <x:c r="M81" s="23"/>
      <x:c r="N81" s="23"/>
      <x:c r="O81" s="23"/>
      <x:c r="P81" s="21"/>
      <x:c r="Q81" s="29" t="str">
        <x:f>IF(P81="","",IFERROR(INDEX(DM_MA_LOI!$B$6:$B$105,MATCH(P81,DM_MA_LOI!$A$6:$A$105,0)),""))</x:f>
      </x:c>
      <x:c r="R81" s="29" t="str">
        <x:f>IF(P81="","",IFERROR(INDEX(DM_MA_LOI!$E$6:$E$105,MATCH(P81,DM_MA_LOI!$A$6:$A$105,0)),""))</x:f>
      </x:c>
      <x:c r="S81" s="29" t="str">
        <x:f>IF(P81="","",IFERROR(INDEX(DM_MA_LOI!$F$6:$F$105,MATCH(P81,DM_MA_LOI!$A$6:$A$105,0)),""))</x:f>
      </x:c>
      <x:c r="T81" s="21"/>
      <x:c r="U81" s="21"/>
      <x:c r="V81" s="21"/>
      <x:c r="W81" s="21"/>
      <x:c r="X81" s="21"/>
      <x:c r="Y81" s="21"/>
      <x:c r="Z81" s="21"/>
      <x:c r="AA81" s="29" t="str">
        <x:f>IF(A81="","",IF(OR(B81="",C81="",D81="",H81="",K81="",L81=""),"Thiếu dữ liệu",IF(M81&lt;&gt;N81+O81,"Sai cân đối SL",IF(AND(O81&gt;0,P81=""),"Thiếu mã lỗi","Hợp lệ"))))</x:f>
      </x:c>
    </x:row>
    <x:row r="82">
      <x:c r="A82" s="21"/>
      <x:c r="B82" s="43"/>
      <x:c r="C82" s="21"/>
      <x:c r="D82" s="21"/>
      <x:c r="E82" s="21"/>
      <x:c r="F82" s="21"/>
      <x:c r="G82" s="29" t="str">
        <x:f>IF(OR(C82="",D82=""),"",C82&amp;"|"&amp;D82&amp;"|"&amp;IF(E82="","00",E82)&amp;"|"&amp;IF(F82="","01",F82))</x:f>
      </x:c>
      <x:c r="H82" s="21"/>
      <x:c r="I82" s="29" t="str">
        <x:f>IF(OR(G82="",H82=""),"",G82&amp;"|"&amp;TEXT(H82,"000"))</x:f>
      </x:c>
      <x:c r="J82" s="21"/>
      <x:c r="K82" s="21"/>
      <x:c r="L82" s="21"/>
      <x:c r="M82" s="23"/>
      <x:c r="N82" s="23"/>
      <x:c r="O82" s="23"/>
      <x:c r="P82" s="21"/>
      <x:c r="Q82" s="29" t="str">
        <x:f>IF(P82="","",IFERROR(INDEX(DM_MA_LOI!$B$6:$B$105,MATCH(P82,DM_MA_LOI!$A$6:$A$105,0)),""))</x:f>
      </x:c>
      <x:c r="R82" s="29" t="str">
        <x:f>IF(P82="","",IFERROR(INDEX(DM_MA_LOI!$E$6:$E$105,MATCH(P82,DM_MA_LOI!$A$6:$A$105,0)),""))</x:f>
      </x:c>
      <x:c r="S82" s="29" t="str">
        <x:f>IF(P82="","",IFERROR(INDEX(DM_MA_LOI!$F$6:$F$105,MATCH(P82,DM_MA_LOI!$A$6:$A$105,0)),""))</x:f>
      </x:c>
      <x:c r="T82" s="21"/>
      <x:c r="U82" s="21"/>
      <x:c r="V82" s="21"/>
      <x:c r="W82" s="21"/>
      <x:c r="X82" s="21"/>
      <x:c r="Y82" s="21"/>
      <x:c r="Z82" s="21"/>
      <x:c r="AA82" s="29" t="str">
        <x:f>IF(A82="","",IF(OR(B82="",C82="",D82="",H82="",K82="",L82=""),"Thiếu dữ liệu",IF(M82&lt;&gt;N82+O82,"Sai cân đối SL",IF(AND(O82&gt;0,P82=""),"Thiếu mã lỗi","Hợp lệ"))))</x:f>
      </x:c>
    </x:row>
    <x:row r="83">
      <x:c r="A83" s="21"/>
      <x:c r="B83" s="43"/>
      <x:c r="C83" s="21"/>
      <x:c r="D83" s="21"/>
      <x:c r="E83" s="21"/>
      <x:c r="F83" s="21"/>
      <x:c r="G83" s="29" t="str">
        <x:f>IF(OR(C83="",D83=""),"",C83&amp;"|"&amp;D83&amp;"|"&amp;IF(E83="","00",E83)&amp;"|"&amp;IF(F83="","01",F83))</x:f>
      </x:c>
      <x:c r="H83" s="21"/>
      <x:c r="I83" s="29" t="str">
        <x:f>IF(OR(G83="",H83=""),"",G83&amp;"|"&amp;TEXT(H83,"000"))</x:f>
      </x:c>
      <x:c r="J83" s="21"/>
      <x:c r="K83" s="21"/>
      <x:c r="L83" s="21"/>
      <x:c r="M83" s="23"/>
      <x:c r="N83" s="23"/>
      <x:c r="O83" s="23"/>
      <x:c r="P83" s="21"/>
      <x:c r="Q83" s="29" t="str">
        <x:f>IF(P83="","",IFERROR(INDEX(DM_MA_LOI!$B$6:$B$105,MATCH(P83,DM_MA_LOI!$A$6:$A$105,0)),""))</x:f>
      </x:c>
      <x:c r="R83" s="29" t="str">
        <x:f>IF(P83="","",IFERROR(INDEX(DM_MA_LOI!$E$6:$E$105,MATCH(P83,DM_MA_LOI!$A$6:$A$105,0)),""))</x:f>
      </x:c>
      <x:c r="S83" s="29" t="str">
        <x:f>IF(P83="","",IFERROR(INDEX(DM_MA_LOI!$F$6:$F$105,MATCH(P83,DM_MA_LOI!$A$6:$A$105,0)),""))</x:f>
      </x:c>
      <x:c r="T83" s="21"/>
      <x:c r="U83" s="21"/>
      <x:c r="V83" s="21"/>
      <x:c r="W83" s="21"/>
      <x:c r="X83" s="21"/>
      <x:c r="Y83" s="21"/>
      <x:c r="Z83" s="21"/>
      <x:c r="AA83" s="29" t="str">
        <x:f>IF(A83="","",IF(OR(B83="",C83="",D83="",H83="",K83="",L83=""),"Thiếu dữ liệu",IF(M83&lt;&gt;N83+O83,"Sai cân đối SL",IF(AND(O83&gt;0,P83=""),"Thiếu mã lỗi","Hợp lệ"))))</x:f>
      </x:c>
    </x:row>
    <x:row r="84">
      <x:c r="A84" s="21"/>
      <x:c r="B84" s="43"/>
      <x:c r="C84" s="21"/>
      <x:c r="D84" s="21"/>
      <x:c r="E84" s="21"/>
      <x:c r="F84" s="21"/>
      <x:c r="G84" s="29" t="str">
        <x:f>IF(OR(C84="",D84=""),"",C84&amp;"|"&amp;D84&amp;"|"&amp;IF(E84="","00",E84)&amp;"|"&amp;IF(F84="","01",F84))</x:f>
      </x:c>
      <x:c r="H84" s="21"/>
      <x:c r="I84" s="29" t="str">
        <x:f>IF(OR(G84="",H84=""),"",G84&amp;"|"&amp;TEXT(H84,"000"))</x:f>
      </x:c>
      <x:c r="J84" s="21"/>
      <x:c r="K84" s="21"/>
      <x:c r="L84" s="21"/>
      <x:c r="M84" s="23"/>
      <x:c r="N84" s="23"/>
      <x:c r="O84" s="23"/>
      <x:c r="P84" s="21"/>
      <x:c r="Q84" s="29" t="str">
        <x:f>IF(P84="","",IFERROR(INDEX(DM_MA_LOI!$B$6:$B$105,MATCH(P84,DM_MA_LOI!$A$6:$A$105,0)),""))</x:f>
      </x:c>
      <x:c r="R84" s="29" t="str">
        <x:f>IF(P84="","",IFERROR(INDEX(DM_MA_LOI!$E$6:$E$105,MATCH(P84,DM_MA_LOI!$A$6:$A$105,0)),""))</x:f>
      </x:c>
      <x:c r="S84" s="29" t="str">
        <x:f>IF(P84="","",IFERROR(INDEX(DM_MA_LOI!$F$6:$F$105,MATCH(P84,DM_MA_LOI!$A$6:$A$105,0)),""))</x:f>
      </x:c>
      <x:c r="T84" s="21"/>
      <x:c r="U84" s="21"/>
      <x:c r="V84" s="21"/>
      <x:c r="W84" s="21"/>
      <x:c r="X84" s="21"/>
      <x:c r="Y84" s="21"/>
      <x:c r="Z84" s="21"/>
      <x:c r="AA84" s="29" t="str">
        <x:f>IF(A84="","",IF(OR(B84="",C84="",D84="",H84="",K84="",L84=""),"Thiếu dữ liệu",IF(M84&lt;&gt;N84+O84,"Sai cân đối SL",IF(AND(O84&gt;0,P84=""),"Thiếu mã lỗi","Hợp lệ"))))</x:f>
      </x:c>
    </x:row>
    <x:row r="85">
      <x:c r="A85" s="21"/>
      <x:c r="B85" s="43"/>
      <x:c r="C85" s="21"/>
      <x:c r="D85" s="21"/>
      <x:c r="E85" s="21"/>
      <x:c r="F85" s="21"/>
      <x:c r="G85" s="29" t="str">
        <x:f>IF(OR(C85="",D85=""),"",C85&amp;"|"&amp;D85&amp;"|"&amp;IF(E85="","00",E85)&amp;"|"&amp;IF(F85="","01",F85))</x:f>
      </x:c>
      <x:c r="H85" s="21"/>
      <x:c r="I85" s="29" t="str">
        <x:f>IF(OR(G85="",H85=""),"",G85&amp;"|"&amp;TEXT(H85,"000"))</x:f>
      </x:c>
      <x:c r="J85" s="21"/>
      <x:c r="K85" s="21"/>
      <x:c r="L85" s="21"/>
      <x:c r="M85" s="23"/>
      <x:c r="N85" s="23"/>
      <x:c r="O85" s="23"/>
      <x:c r="P85" s="21"/>
      <x:c r="Q85" s="29" t="str">
        <x:f>IF(P85="","",IFERROR(INDEX(DM_MA_LOI!$B$6:$B$105,MATCH(P85,DM_MA_LOI!$A$6:$A$105,0)),""))</x:f>
      </x:c>
      <x:c r="R85" s="29" t="str">
        <x:f>IF(P85="","",IFERROR(INDEX(DM_MA_LOI!$E$6:$E$105,MATCH(P85,DM_MA_LOI!$A$6:$A$105,0)),""))</x:f>
      </x:c>
      <x:c r="S85" s="29" t="str">
        <x:f>IF(P85="","",IFERROR(INDEX(DM_MA_LOI!$F$6:$F$105,MATCH(P85,DM_MA_LOI!$A$6:$A$105,0)),""))</x:f>
      </x:c>
      <x:c r="T85" s="21"/>
      <x:c r="U85" s="21"/>
      <x:c r="V85" s="21"/>
      <x:c r="W85" s="21"/>
      <x:c r="X85" s="21"/>
      <x:c r="Y85" s="21"/>
      <x:c r="Z85" s="21"/>
      <x:c r="AA85" s="29" t="str">
        <x:f>IF(A85="","",IF(OR(B85="",C85="",D85="",H85="",K85="",L85=""),"Thiếu dữ liệu",IF(M85&lt;&gt;N85+O85,"Sai cân đối SL",IF(AND(O85&gt;0,P85=""),"Thiếu mã lỗi","Hợp lệ"))))</x:f>
      </x:c>
    </x:row>
    <x:row r="86">
      <x:c r="A86" s="21"/>
      <x:c r="B86" s="43"/>
      <x:c r="C86" s="21"/>
      <x:c r="D86" s="21"/>
      <x:c r="E86" s="21"/>
      <x:c r="F86" s="21"/>
      <x:c r="G86" s="29" t="str">
        <x:f>IF(OR(C86="",D86=""),"",C86&amp;"|"&amp;D86&amp;"|"&amp;IF(E86="","00",E86)&amp;"|"&amp;IF(F86="","01",F86))</x:f>
      </x:c>
      <x:c r="H86" s="21"/>
      <x:c r="I86" s="29" t="str">
        <x:f>IF(OR(G86="",H86=""),"",G86&amp;"|"&amp;TEXT(H86,"000"))</x:f>
      </x:c>
      <x:c r="J86" s="21"/>
      <x:c r="K86" s="21"/>
      <x:c r="L86" s="21"/>
      <x:c r="M86" s="23"/>
      <x:c r="N86" s="23"/>
      <x:c r="O86" s="23"/>
      <x:c r="P86" s="21"/>
      <x:c r="Q86" s="29" t="str">
        <x:f>IF(P86="","",IFERROR(INDEX(DM_MA_LOI!$B$6:$B$105,MATCH(P86,DM_MA_LOI!$A$6:$A$105,0)),""))</x:f>
      </x:c>
      <x:c r="R86" s="29" t="str">
        <x:f>IF(P86="","",IFERROR(INDEX(DM_MA_LOI!$E$6:$E$105,MATCH(P86,DM_MA_LOI!$A$6:$A$105,0)),""))</x:f>
      </x:c>
      <x:c r="S86" s="29" t="str">
        <x:f>IF(P86="","",IFERROR(INDEX(DM_MA_LOI!$F$6:$F$105,MATCH(P86,DM_MA_LOI!$A$6:$A$105,0)),""))</x:f>
      </x:c>
      <x:c r="T86" s="21"/>
      <x:c r="U86" s="21"/>
      <x:c r="V86" s="21"/>
      <x:c r="W86" s="21"/>
      <x:c r="X86" s="21"/>
      <x:c r="Y86" s="21"/>
      <x:c r="Z86" s="21"/>
      <x:c r="AA86" s="29" t="str">
        <x:f>IF(A86="","",IF(OR(B86="",C86="",D86="",H86="",K86="",L86=""),"Thiếu dữ liệu",IF(M86&lt;&gt;N86+O86,"Sai cân đối SL",IF(AND(O86&gt;0,P86=""),"Thiếu mã lỗi","Hợp lệ"))))</x:f>
      </x:c>
    </x:row>
    <x:row r="87">
      <x:c r="A87" s="21"/>
      <x:c r="B87" s="43"/>
      <x:c r="C87" s="21"/>
      <x:c r="D87" s="21"/>
      <x:c r="E87" s="21"/>
      <x:c r="F87" s="21"/>
      <x:c r="G87" s="29" t="str">
        <x:f>IF(OR(C87="",D87=""),"",C87&amp;"|"&amp;D87&amp;"|"&amp;IF(E87="","00",E87)&amp;"|"&amp;IF(F87="","01",F87))</x:f>
      </x:c>
      <x:c r="H87" s="21"/>
      <x:c r="I87" s="29" t="str">
        <x:f>IF(OR(G87="",H87=""),"",G87&amp;"|"&amp;TEXT(H87,"000"))</x:f>
      </x:c>
      <x:c r="J87" s="21"/>
      <x:c r="K87" s="21"/>
      <x:c r="L87" s="21"/>
      <x:c r="M87" s="23"/>
      <x:c r="N87" s="23"/>
      <x:c r="O87" s="23"/>
      <x:c r="P87" s="21"/>
      <x:c r="Q87" s="29" t="str">
        <x:f>IF(P87="","",IFERROR(INDEX(DM_MA_LOI!$B$6:$B$105,MATCH(P87,DM_MA_LOI!$A$6:$A$105,0)),""))</x:f>
      </x:c>
      <x:c r="R87" s="29" t="str">
        <x:f>IF(P87="","",IFERROR(INDEX(DM_MA_LOI!$E$6:$E$105,MATCH(P87,DM_MA_LOI!$A$6:$A$105,0)),""))</x:f>
      </x:c>
      <x:c r="S87" s="29" t="str">
        <x:f>IF(P87="","",IFERROR(INDEX(DM_MA_LOI!$F$6:$F$105,MATCH(P87,DM_MA_LOI!$A$6:$A$105,0)),""))</x:f>
      </x:c>
      <x:c r="T87" s="21"/>
      <x:c r="U87" s="21"/>
      <x:c r="V87" s="21"/>
      <x:c r="W87" s="21"/>
      <x:c r="X87" s="21"/>
      <x:c r="Y87" s="21"/>
      <x:c r="Z87" s="21"/>
      <x:c r="AA87" s="29" t="str">
        <x:f>IF(A87="","",IF(OR(B87="",C87="",D87="",H87="",K87="",L87=""),"Thiếu dữ liệu",IF(M87&lt;&gt;N87+O87,"Sai cân đối SL",IF(AND(O87&gt;0,P87=""),"Thiếu mã lỗi","Hợp lệ"))))</x:f>
      </x:c>
    </x:row>
    <x:row r="88">
      <x:c r="A88" s="21"/>
      <x:c r="B88" s="43"/>
      <x:c r="C88" s="21"/>
      <x:c r="D88" s="21"/>
      <x:c r="E88" s="21"/>
      <x:c r="F88" s="21"/>
      <x:c r="G88" s="29" t="str">
        <x:f>IF(OR(C88="",D88=""),"",C88&amp;"|"&amp;D88&amp;"|"&amp;IF(E88="","00",E88)&amp;"|"&amp;IF(F88="","01",F88))</x:f>
      </x:c>
      <x:c r="H88" s="21"/>
      <x:c r="I88" s="29" t="str">
        <x:f>IF(OR(G88="",H88=""),"",G88&amp;"|"&amp;TEXT(H88,"000"))</x:f>
      </x:c>
      <x:c r="J88" s="21"/>
      <x:c r="K88" s="21"/>
      <x:c r="L88" s="21"/>
      <x:c r="M88" s="23"/>
      <x:c r="N88" s="23"/>
      <x:c r="O88" s="23"/>
      <x:c r="P88" s="21"/>
      <x:c r="Q88" s="29" t="str">
        <x:f>IF(P88="","",IFERROR(INDEX(DM_MA_LOI!$B$6:$B$105,MATCH(P88,DM_MA_LOI!$A$6:$A$105,0)),""))</x:f>
      </x:c>
      <x:c r="R88" s="29" t="str">
        <x:f>IF(P88="","",IFERROR(INDEX(DM_MA_LOI!$E$6:$E$105,MATCH(P88,DM_MA_LOI!$A$6:$A$105,0)),""))</x:f>
      </x:c>
      <x:c r="S88" s="29" t="str">
        <x:f>IF(P88="","",IFERROR(INDEX(DM_MA_LOI!$F$6:$F$105,MATCH(P88,DM_MA_LOI!$A$6:$A$105,0)),""))</x:f>
      </x:c>
      <x:c r="T88" s="21"/>
      <x:c r="U88" s="21"/>
      <x:c r="V88" s="21"/>
      <x:c r="W88" s="21"/>
      <x:c r="X88" s="21"/>
      <x:c r="Y88" s="21"/>
      <x:c r="Z88" s="21"/>
      <x:c r="AA88" s="29" t="str">
        <x:f>IF(A88="","",IF(OR(B88="",C88="",D88="",H88="",K88="",L88=""),"Thiếu dữ liệu",IF(M88&lt;&gt;N88+O88,"Sai cân đối SL",IF(AND(O88&gt;0,P88=""),"Thiếu mã lỗi","Hợp lệ"))))</x:f>
      </x:c>
    </x:row>
    <x:row r="89">
      <x:c r="A89" s="21"/>
      <x:c r="B89" s="43"/>
      <x:c r="C89" s="21"/>
      <x:c r="D89" s="21"/>
      <x:c r="E89" s="21"/>
      <x:c r="F89" s="21"/>
      <x:c r="G89" s="29" t="str">
        <x:f>IF(OR(C89="",D89=""),"",C89&amp;"|"&amp;D89&amp;"|"&amp;IF(E89="","00",E89)&amp;"|"&amp;IF(F89="","01",F89))</x:f>
      </x:c>
      <x:c r="H89" s="21"/>
      <x:c r="I89" s="29" t="str">
        <x:f>IF(OR(G89="",H89=""),"",G89&amp;"|"&amp;TEXT(H89,"000"))</x:f>
      </x:c>
      <x:c r="J89" s="21"/>
      <x:c r="K89" s="21"/>
      <x:c r="L89" s="21"/>
      <x:c r="M89" s="23"/>
      <x:c r="N89" s="23"/>
      <x:c r="O89" s="23"/>
      <x:c r="P89" s="21"/>
      <x:c r="Q89" s="29" t="str">
        <x:f>IF(P89="","",IFERROR(INDEX(DM_MA_LOI!$B$6:$B$105,MATCH(P89,DM_MA_LOI!$A$6:$A$105,0)),""))</x:f>
      </x:c>
      <x:c r="R89" s="29" t="str">
        <x:f>IF(P89="","",IFERROR(INDEX(DM_MA_LOI!$E$6:$E$105,MATCH(P89,DM_MA_LOI!$A$6:$A$105,0)),""))</x:f>
      </x:c>
      <x:c r="S89" s="29" t="str">
        <x:f>IF(P89="","",IFERROR(INDEX(DM_MA_LOI!$F$6:$F$105,MATCH(P89,DM_MA_LOI!$A$6:$A$105,0)),""))</x:f>
      </x:c>
      <x:c r="T89" s="21"/>
      <x:c r="U89" s="21"/>
      <x:c r="V89" s="21"/>
      <x:c r="W89" s="21"/>
      <x:c r="X89" s="21"/>
      <x:c r="Y89" s="21"/>
      <x:c r="Z89" s="21"/>
      <x:c r="AA89" s="29" t="str">
        <x:f>IF(A89="","",IF(OR(B89="",C89="",D89="",H89="",K89="",L89=""),"Thiếu dữ liệu",IF(M89&lt;&gt;N89+O89,"Sai cân đối SL",IF(AND(O89&gt;0,P89=""),"Thiếu mã lỗi","Hợp lệ"))))</x:f>
      </x:c>
    </x:row>
    <x:row r="90">
      <x:c r="A90" s="21"/>
      <x:c r="B90" s="43"/>
      <x:c r="C90" s="21"/>
      <x:c r="D90" s="21"/>
      <x:c r="E90" s="21"/>
      <x:c r="F90" s="21"/>
      <x:c r="G90" s="29" t="str">
        <x:f>IF(OR(C90="",D90=""),"",C90&amp;"|"&amp;D90&amp;"|"&amp;IF(E90="","00",E90)&amp;"|"&amp;IF(F90="","01",F90))</x:f>
      </x:c>
      <x:c r="H90" s="21"/>
      <x:c r="I90" s="29" t="str">
        <x:f>IF(OR(G90="",H90=""),"",G90&amp;"|"&amp;TEXT(H90,"000"))</x:f>
      </x:c>
      <x:c r="J90" s="21"/>
      <x:c r="K90" s="21"/>
      <x:c r="L90" s="21"/>
      <x:c r="M90" s="23"/>
      <x:c r="N90" s="23"/>
      <x:c r="O90" s="23"/>
      <x:c r="P90" s="21"/>
      <x:c r="Q90" s="29" t="str">
        <x:f>IF(P90="","",IFERROR(INDEX(DM_MA_LOI!$B$6:$B$105,MATCH(P90,DM_MA_LOI!$A$6:$A$105,0)),""))</x:f>
      </x:c>
      <x:c r="R90" s="29" t="str">
        <x:f>IF(P90="","",IFERROR(INDEX(DM_MA_LOI!$E$6:$E$105,MATCH(P90,DM_MA_LOI!$A$6:$A$105,0)),""))</x:f>
      </x:c>
      <x:c r="S90" s="29" t="str">
        <x:f>IF(P90="","",IFERROR(INDEX(DM_MA_LOI!$F$6:$F$105,MATCH(P90,DM_MA_LOI!$A$6:$A$105,0)),""))</x:f>
      </x:c>
      <x:c r="T90" s="21"/>
      <x:c r="U90" s="21"/>
      <x:c r="V90" s="21"/>
      <x:c r="W90" s="21"/>
      <x:c r="X90" s="21"/>
      <x:c r="Y90" s="21"/>
      <x:c r="Z90" s="21"/>
      <x:c r="AA90" s="29" t="str">
        <x:f>IF(A90="","",IF(OR(B90="",C90="",D90="",H90="",K90="",L90=""),"Thiếu dữ liệu",IF(M90&lt;&gt;N90+O90,"Sai cân đối SL",IF(AND(O90&gt;0,P90=""),"Thiếu mã lỗi","Hợp lệ"))))</x:f>
      </x:c>
    </x:row>
    <x:row r="91">
      <x:c r="A91" s="21"/>
      <x:c r="B91" s="43"/>
      <x:c r="C91" s="21"/>
      <x:c r="D91" s="21"/>
      <x:c r="E91" s="21"/>
      <x:c r="F91" s="21"/>
      <x:c r="G91" s="29" t="str">
        <x:f>IF(OR(C91="",D91=""),"",C91&amp;"|"&amp;D91&amp;"|"&amp;IF(E91="","00",E91)&amp;"|"&amp;IF(F91="","01",F91))</x:f>
      </x:c>
      <x:c r="H91" s="21"/>
      <x:c r="I91" s="29" t="str">
        <x:f>IF(OR(G91="",H91=""),"",G91&amp;"|"&amp;TEXT(H91,"000"))</x:f>
      </x:c>
      <x:c r="J91" s="21"/>
      <x:c r="K91" s="21"/>
      <x:c r="L91" s="21"/>
      <x:c r="M91" s="23"/>
      <x:c r="N91" s="23"/>
      <x:c r="O91" s="23"/>
      <x:c r="P91" s="21"/>
      <x:c r="Q91" s="29" t="str">
        <x:f>IF(P91="","",IFERROR(INDEX(DM_MA_LOI!$B$6:$B$105,MATCH(P91,DM_MA_LOI!$A$6:$A$105,0)),""))</x:f>
      </x:c>
      <x:c r="R91" s="29" t="str">
        <x:f>IF(P91="","",IFERROR(INDEX(DM_MA_LOI!$E$6:$E$105,MATCH(P91,DM_MA_LOI!$A$6:$A$105,0)),""))</x:f>
      </x:c>
      <x:c r="S91" s="29" t="str">
        <x:f>IF(P91="","",IFERROR(INDEX(DM_MA_LOI!$F$6:$F$105,MATCH(P91,DM_MA_LOI!$A$6:$A$105,0)),""))</x:f>
      </x:c>
      <x:c r="T91" s="21"/>
      <x:c r="U91" s="21"/>
      <x:c r="V91" s="21"/>
      <x:c r="W91" s="21"/>
      <x:c r="X91" s="21"/>
      <x:c r="Y91" s="21"/>
      <x:c r="Z91" s="21"/>
      <x:c r="AA91" s="29" t="str">
        <x:f>IF(A91="","",IF(OR(B91="",C91="",D91="",H91="",K91="",L91=""),"Thiếu dữ liệu",IF(M91&lt;&gt;N91+O91,"Sai cân đối SL",IF(AND(O91&gt;0,P91=""),"Thiếu mã lỗi","Hợp lệ"))))</x:f>
      </x:c>
    </x:row>
    <x:row r="92">
      <x:c r="A92" s="21"/>
      <x:c r="B92" s="43"/>
      <x:c r="C92" s="21"/>
      <x:c r="D92" s="21"/>
      <x:c r="E92" s="21"/>
      <x:c r="F92" s="21"/>
      <x:c r="G92" s="29" t="str">
        <x:f>IF(OR(C92="",D92=""),"",C92&amp;"|"&amp;D92&amp;"|"&amp;IF(E92="","00",E92)&amp;"|"&amp;IF(F92="","01",F92))</x:f>
      </x:c>
      <x:c r="H92" s="21"/>
      <x:c r="I92" s="29" t="str">
        <x:f>IF(OR(G92="",H92=""),"",G92&amp;"|"&amp;TEXT(H92,"000"))</x:f>
      </x:c>
      <x:c r="J92" s="21"/>
      <x:c r="K92" s="21"/>
      <x:c r="L92" s="21"/>
      <x:c r="M92" s="23"/>
      <x:c r="N92" s="23"/>
      <x:c r="O92" s="23"/>
      <x:c r="P92" s="21"/>
      <x:c r="Q92" s="29" t="str">
        <x:f>IF(P92="","",IFERROR(INDEX(DM_MA_LOI!$B$6:$B$105,MATCH(P92,DM_MA_LOI!$A$6:$A$105,0)),""))</x:f>
      </x:c>
      <x:c r="R92" s="29" t="str">
        <x:f>IF(P92="","",IFERROR(INDEX(DM_MA_LOI!$E$6:$E$105,MATCH(P92,DM_MA_LOI!$A$6:$A$105,0)),""))</x:f>
      </x:c>
      <x:c r="S92" s="29" t="str">
        <x:f>IF(P92="","",IFERROR(INDEX(DM_MA_LOI!$F$6:$F$105,MATCH(P92,DM_MA_LOI!$A$6:$A$105,0)),""))</x:f>
      </x:c>
      <x:c r="T92" s="21"/>
      <x:c r="U92" s="21"/>
      <x:c r="V92" s="21"/>
      <x:c r="W92" s="21"/>
      <x:c r="X92" s="21"/>
      <x:c r="Y92" s="21"/>
      <x:c r="Z92" s="21"/>
      <x:c r="AA92" s="29" t="str">
        <x:f>IF(A92="","",IF(OR(B92="",C92="",D92="",H92="",K92="",L92=""),"Thiếu dữ liệu",IF(M92&lt;&gt;N92+O92,"Sai cân đối SL",IF(AND(O92&gt;0,P92=""),"Thiếu mã lỗi","Hợp lệ"))))</x:f>
      </x:c>
    </x:row>
    <x:row r="93">
      <x:c r="A93" s="21"/>
      <x:c r="B93" s="43"/>
      <x:c r="C93" s="21"/>
      <x:c r="D93" s="21"/>
      <x:c r="E93" s="21"/>
      <x:c r="F93" s="21"/>
      <x:c r="G93" s="29" t="str">
        <x:f>IF(OR(C93="",D93=""),"",C93&amp;"|"&amp;D93&amp;"|"&amp;IF(E93="","00",E93)&amp;"|"&amp;IF(F93="","01",F93))</x:f>
      </x:c>
      <x:c r="H93" s="21"/>
      <x:c r="I93" s="29" t="str">
        <x:f>IF(OR(G93="",H93=""),"",G93&amp;"|"&amp;TEXT(H93,"000"))</x:f>
      </x:c>
      <x:c r="J93" s="21"/>
      <x:c r="K93" s="21"/>
      <x:c r="L93" s="21"/>
      <x:c r="M93" s="23"/>
      <x:c r="N93" s="23"/>
      <x:c r="O93" s="23"/>
      <x:c r="P93" s="21"/>
      <x:c r="Q93" s="29" t="str">
        <x:f>IF(P93="","",IFERROR(INDEX(DM_MA_LOI!$B$6:$B$105,MATCH(P93,DM_MA_LOI!$A$6:$A$105,0)),""))</x:f>
      </x:c>
      <x:c r="R93" s="29" t="str">
        <x:f>IF(P93="","",IFERROR(INDEX(DM_MA_LOI!$E$6:$E$105,MATCH(P93,DM_MA_LOI!$A$6:$A$105,0)),""))</x:f>
      </x:c>
      <x:c r="S93" s="29" t="str">
        <x:f>IF(P93="","",IFERROR(INDEX(DM_MA_LOI!$F$6:$F$105,MATCH(P93,DM_MA_LOI!$A$6:$A$105,0)),""))</x:f>
      </x:c>
      <x:c r="T93" s="21"/>
      <x:c r="U93" s="21"/>
      <x:c r="V93" s="21"/>
      <x:c r="W93" s="21"/>
      <x:c r="X93" s="21"/>
      <x:c r="Y93" s="21"/>
      <x:c r="Z93" s="21"/>
      <x:c r="AA93" s="29" t="str">
        <x:f>IF(A93="","",IF(OR(B93="",C93="",D93="",H93="",K93="",L93=""),"Thiếu dữ liệu",IF(M93&lt;&gt;N93+O93,"Sai cân đối SL",IF(AND(O93&gt;0,P93=""),"Thiếu mã lỗi","Hợp lệ"))))</x:f>
      </x:c>
    </x:row>
    <x:row r="94">
      <x:c r="A94" s="21"/>
      <x:c r="B94" s="43"/>
      <x:c r="C94" s="21"/>
      <x:c r="D94" s="21"/>
      <x:c r="E94" s="21"/>
      <x:c r="F94" s="21"/>
      <x:c r="G94" s="29" t="str">
        <x:f>IF(OR(C94="",D94=""),"",C94&amp;"|"&amp;D94&amp;"|"&amp;IF(E94="","00",E94)&amp;"|"&amp;IF(F94="","01",F94))</x:f>
      </x:c>
      <x:c r="H94" s="21"/>
      <x:c r="I94" s="29" t="str">
        <x:f>IF(OR(G94="",H94=""),"",G94&amp;"|"&amp;TEXT(H94,"000"))</x:f>
      </x:c>
      <x:c r="J94" s="21"/>
      <x:c r="K94" s="21"/>
      <x:c r="L94" s="21"/>
      <x:c r="M94" s="23"/>
      <x:c r="N94" s="23"/>
      <x:c r="O94" s="23"/>
      <x:c r="P94" s="21"/>
      <x:c r="Q94" s="29" t="str">
        <x:f>IF(P94="","",IFERROR(INDEX(DM_MA_LOI!$B$6:$B$105,MATCH(P94,DM_MA_LOI!$A$6:$A$105,0)),""))</x:f>
      </x:c>
      <x:c r="R94" s="29" t="str">
        <x:f>IF(P94="","",IFERROR(INDEX(DM_MA_LOI!$E$6:$E$105,MATCH(P94,DM_MA_LOI!$A$6:$A$105,0)),""))</x:f>
      </x:c>
      <x:c r="S94" s="29" t="str">
        <x:f>IF(P94="","",IFERROR(INDEX(DM_MA_LOI!$F$6:$F$105,MATCH(P94,DM_MA_LOI!$A$6:$A$105,0)),""))</x:f>
      </x:c>
      <x:c r="T94" s="21"/>
      <x:c r="U94" s="21"/>
      <x:c r="V94" s="21"/>
      <x:c r="W94" s="21"/>
      <x:c r="X94" s="21"/>
      <x:c r="Y94" s="21"/>
      <x:c r="Z94" s="21"/>
      <x:c r="AA94" s="29" t="str">
        <x:f>IF(A94="","",IF(OR(B94="",C94="",D94="",H94="",K94="",L94=""),"Thiếu dữ liệu",IF(M94&lt;&gt;N94+O94,"Sai cân đối SL",IF(AND(O94&gt;0,P94=""),"Thiếu mã lỗi","Hợp lệ"))))</x:f>
      </x:c>
    </x:row>
    <x:row r="95">
      <x:c r="A95" s="21"/>
      <x:c r="B95" s="43"/>
      <x:c r="C95" s="21"/>
      <x:c r="D95" s="21"/>
      <x:c r="E95" s="21"/>
      <x:c r="F95" s="21"/>
      <x:c r="G95" s="29" t="str">
        <x:f>IF(OR(C95="",D95=""),"",C95&amp;"|"&amp;D95&amp;"|"&amp;IF(E95="","00",E95)&amp;"|"&amp;IF(F95="","01",F95))</x:f>
      </x:c>
      <x:c r="H95" s="21"/>
      <x:c r="I95" s="29" t="str">
        <x:f>IF(OR(G95="",H95=""),"",G95&amp;"|"&amp;TEXT(H95,"000"))</x:f>
      </x:c>
      <x:c r="J95" s="21"/>
      <x:c r="K95" s="21"/>
      <x:c r="L95" s="21"/>
      <x:c r="M95" s="23"/>
      <x:c r="N95" s="23"/>
      <x:c r="O95" s="23"/>
      <x:c r="P95" s="21"/>
      <x:c r="Q95" s="29" t="str">
        <x:f>IF(P95="","",IFERROR(INDEX(DM_MA_LOI!$B$6:$B$105,MATCH(P95,DM_MA_LOI!$A$6:$A$105,0)),""))</x:f>
      </x:c>
      <x:c r="R95" s="29" t="str">
        <x:f>IF(P95="","",IFERROR(INDEX(DM_MA_LOI!$E$6:$E$105,MATCH(P95,DM_MA_LOI!$A$6:$A$105,0)),""))</x:f>
      </x:c>
      <x:c r="S95" s="29" t="str">
        <x:f>IF(P95="","",IFERROR(INDEX(DM_MA_LOI!$F$6:$F$105,MATCH(P95,DM_MA_LOI!$A$6:$A$105,0)),""))</x:f>
      </x:c>
      <x:c r="T95" s="21"/>
      <x:c r="U95" s="21"/>
      <x:c r="V95" s="21"/>
      <x:c r="W95" s="21"/>
      <x:c r="X95" s="21"/>
      <x:c r="Y95" s="21"/>
      <x:c r="Z95" s="21"/>
      <x:c r="AA95" s="29" t="str">
        <x:f>IF(A95="","",IF(OR(B95="",C95="",D95="",H95="",K95="",L95=""),"Thiếu dữ liệu",IF(M95&lt;&gt;N95+O95,"Sai cân đối SL",IF(AND(O95&gt;0,P95=""),"Thiếu mã lỗi","Hợp lệ"))))</x:f>
      </x:c>
    </x:row>
    <x:row r="96">
      <x:c r="A96" s="21"/>
      <x:c r="B96" s="43"/>
      <x:c r="C96" s="21"/>
      <x:c r="D96" s="21"/>
      <x:c r="E96" s="21"/>
      <x:c r="F96" s="21"/>
      <x:c r="G96" s="29" t="str">
        <x:f>IF(OR(C96="",D96=""),"",C96&amp;"|"&amp;D96&amp;"|"&amp;IF(E96="","00",E96)&amp;"|"&amp;IF(F96="","01",F96))</x:f>
      </x:c>
      <x:c r="H96" s="21"/>
      <x:c r="I96" s="29" t="str">
        <x:f>IF(OR(G96="",H96=""),"",G96&amp;"|"&amp;TEXT(H96,"000"))</x:f>
      </x:c>
      <x:c r="J96" s="21"/>
      <x:c r="K96" s="21"/>
      <x:c r="L96" s="21"/>
      <x:c r="M96" s="23"/>
      <x:c r="N96" s="23"/>
      <x:c r="O96" s="23"/>
      <x:c r="P96" s="21"/>
      <x:c r="Q96" s="29" t="str">
        <x:f>IF(P96="","",IFERROR(INDEX(DM_MA_LOI!$B$6:$B$105,MATCH(P96,DM_MA_LOI!$A$6:$A$105,0)),""))</x:f>
      </x:c>
      <x:c r="R96" s="29" t="str">
        <x:f>IF(P96="","",IFERROR(INDEX(DM_MA_LOI!$E$6:$E$105,MATCH(P96,DM_MA_LOI!$A$6:$A$105,0)),""))</x:f>
      </x:c>
      <x:c r="S96" s="29" t="str">
        <x:f>IF(P96="","",IFERROR(INDEX(DM_MA_LOI!$F$6:$F$105,MATCH(P96,DM_MA_LOI!$A$6:$A$105,0)),""))</x:f>
      </x:c>
      <x:c r="T96" s="21"/>
      <x:c r="U96" s="21"/>
      <x:c r="V96" s="21"/>
      <x:c r="W96" s="21"/>
      <x:c r="X96" s="21"/>
      <x:c r="Y96" s="21"/>
      <x:c r="Z96" s="21"/>
      <x:c r="AA96" s="29" t="str">
        <x:f>IF(A96="","",IF(OR(B96="",C96="",D96="",H96="",K96="",L96=""),"Thiếu dữ liệu",IF(M96&lt;&gt;N96+O96,"Sai cân đối SL",IF(AND(O96&gt;0,P96=""),"Thiếu mã lỗi","Hợp lệ"))))</x:f>
      </x:c>
    </x:row>
    <x:row r="97">
      <x:c r="A97" s="21"/>
      <x:c r="B97" s="43"/>
      <x:c r="C97" s="21"/>
      <x:c r="D97" s="21"/>
      <x:c r="E97" s="21"/>
      <x:c r="F97" s="21"/>
      <x:c r="G97" s="29" t="str">
        <x:f>IF(OR(C97="",D97=""),"",C97&amp;"|"&amp;D97&amp;"|"&amp;IF(E97="","00",E97)&amp;"|"&amp;IF(F97="","01",F97))</x:f>
      </x:c>
      <x:c r="H97" s="21"/>
      <x:c r="I97" s="29" t="str">
        <x:f>IF(OR(G97="",H97=""),"",G97&amp;"|"&amp;TEXT(H97,"000"))</x:f>
      </x:c>
      <x:c r="J97" s="21"/>
      <x:c r="K97" s="21"/>
      <x:c r="L97" s="21"/>
      <x:c r="M97" s="23"/>
      <x:c r="N97" s="23"/>
      <x:c r="O97" s="23"/>
      <x:c r="P97" s="21"/>
      <x:c r="Q97" s="29" t="str">
        <x:f>IF(P97="","",IFERROR(INDEX(DM_MA_LOI!$B$6:$B$105,MATCH(P97,DM_MA_LOI!$A$6:$A$105,0)),""))</x:f>
      </x:c>
      <x:c r="R97" s="29" t="str">
        <x:f>IF(P97="","",IFERROR(INDEX(DM_MA_LOI!$E$6:$E$105,MATCH(P97,DM_MA_LOI!$A$6:$A$105,0)),""))</x:f>
      </x:c>
      <x:c r="S97" s="29" t="str">
        <x:f>IF(P97="","",IFERROR(INDEX(DM_MA_LOI!$F$6:$F$105,MATCH(P97,DM_MA_LOI!$A$6:$A$105,0)),""))</x:f>
      </x:c>
      <x:c r="T97" s="21"/>
      <x:c r="U97" s="21"/>
      <x:c r="V97" s="21"/>
      <x:c r="W97" s="21"/>
      <x:c r="X97" s="21"/>
      <x:c r="Y97" s="21"/>
      <x:c r="Z97" s="21"/>
      <x:c r="AA97" s="29" t="str">
        <x:f>IF(A97="","",IF(OR(B97="",C97="",D97="",H97="",K97="",L97=""),"Thiếu dữ liệu",IF(M97&lt;&gt;N97+O97,"Sai cân đối SL",IF(AND(O97&gt;0,P97=""),"Thiếu mã lỗi","Hợp lệ"))))</x:f>
      </x:c>
    </x:row>
    <x:row r="98">
      <x:c r="A98" s="21"/>
      <x:c r="B98" s="43"/>
      <x:c r="C98" s="21"/>
      <x:c r="D98" s="21"/>
      <x:c r="E98" s="21"/>
      <x:c r="F98" s="21"/>
      <x:c r="G98" s="29" t="str">
        <x:f>IF(OR(C98="",D98=""),"",C98&amp;"|"&amp;D98&amp;"|"&amp;IF(E98="","00",E98)&amp;"|"&amp;IF(F98="","01",F98))</x:f>
      </x:c>
      <x:c r="H98" s="21"/>
      <x:c r="I98" s="29" t="str">
        <x:f>IF(OR(G98="",H98=""),"",G98&amp;"|"&amp;TEXT(H98,"000"))</x:f>
      </x:c>
      <x:c r="J98" s="21"/>
      <x:c r="K98" s="21"/>
      <x:c r="L98" s="21"/>
      <x:c r="M98" s="23"/>
      <x:c r="N98" s="23"/>
      <x:c r="O98" s="23"/>
      <x:c r="P98" s="21"/>
      <x:c r="Q98" s="29" t="str">
        <x:f>IF(P98="","",IFERROR(INDEX(DM_MA_LOI!$B$6:$B$105,MATCH(P98,DM_MA_LOI!$A$6:$A$105,0)),""))</x:f>
      </x:c>
      <x:c r="R98" s="29" t="str">
        <x:f>IF(P98="","",IFERROR(INDEX(DM_MA_LOI!$E$6:$E$105,MATCH(P98,DM_MA_LOI!$A$6:$A$105,0)),""))</x:f>
      </x:c>
      <x:c r="S98" s="29" t="str">
        <x:f>IF(P98="","",IFERROR(INDEX(DM_MA_LOI!$F$6:$F$105,MATCH(P98,DM_MA_LOI!$A$6:$A$105,0)),""))</x:f>
      </x:c>
      <x:c r="T98" s="21"/>
      <x:c r="U98" s="21"/>
      <x:c r="V98" s="21"/>
      <x:c r="W98" s="21"/>
      <x:c r="X98" s="21"/>
      <x:c r="Y98" s="21"/>
      <x:c r="Z98" s="21"/>
      <x:c r="AA98" s="29" t="str">
        <x:f>IF(A98="","",IF(OR(B98="",C98="",D98="",H98="",K98="",L98=""),"Thiếu dữ liệu",IF(M98&lt;&gt;N98+O98,"Sai cân đối SL",IF(AND(O98&gt;0,P98=""),"Thiếu mã lỗi","Hợp lệ"))))</x:f>
      </x:c>
    </x:row>
    <x:row r="99">
      <x:c r="A99" s="21"/>
      <x:c r="B99" s="43"/>
      <x:c r="C99" s="21"/>
      <x:c r="D99" s="21"/>
      <x:c r="E99" s="21"/>
      <x:c r="F99" s="21"/>
      <x:c r="G99" s="29" t="str">
        <x:f>IF(OR(C99="",D99=""),"",C99&amp;"|"&amp;D99&amp;"|"&amp;IF(E99="","00",E99)&amp;"|"&amp;IF(F99="","01",F99))</x:f>
      </x:c>
      <x:c r="H99" s="21"/>
      <x:c r="I99" s="29" t="str">
        <x:f>IF(OR(G99="",H99=""),"",G99&amp;"|"&amp;TEXT(H99,"000"))</x:f>
      </x:c>
      <x:c r="J99" s="21"/>
      <x:c r="K99" s="21"/>
      <x:c r="L99" s="21"/>
      <x:c r="M99" s="23"/>
      <x:c r="N99" s="23"/>
      <x:c r="O99" s="23"/>
      <x:c r="P99" s="21"/>
      <x:c r="Q99" s="29" t="str">
        <x:f>IF(P99="","",IFERROR(INDEX(DM_MA_LOI!$B$6:$B$105,MATCH(P99,DM_MA_LOI!$A$6:$A$105,0)),""))</x:f>
      </x:c>
      <x:c r="R99" s="29" t="str">
        <x:f>IF(P99="","",IFERROR(INDEX(DM_MA_LOI!$E$6:$E$105,MATCH(P99,DM_MA_LOI!$A$6:$A$105,0)),""))</x:f>
      </x:c>
      <x:c r="S99" s="29" t="str">
        <x:f>IF(P99="","",IFERROR(INDEX(DM_MA_LOI!$F$6:$F$105,MATCH(P99,DM_MA_LOI!$A$6:$A$105,0)),""))</x:f>
      </x:c>
      <x:c r="T99" s="21"/>
      <x:c r="U99" s="21"/>
      <x:c r="V99" s="21"/>
      <x:c r="W99" s="21"/>
      <x:c r="X99" s="21"/>
      <x:c r="Y99" s="21"/>
      <x:c r="Z99" s="21"/>
      <x:c r="AA99" s="29" t="str">
        <x:f>IF(A99="","",IF(OR(B99="",C99="",D99="",H99="",K99="",L99=""),"Thiếu dữ liệu",IF(M99&lt;&gt;N99+O99,"Sai cân đối SL",IF(AND(O99&gt;0,P99=""),"Thiếu mã lỗi","Hợp lệ"))))</x:f>
      </x:c>
    </x:row>
    <x:row r="100">
      <x:c r="A100" s="21"/>
      <x:c r="B100" s="43"/>
      <x:c r="C100" s="21"/>
      <x:c r="D100" s="21"/>
      <x:c r="E100" s="21"/>
      <x:c r="F100" s="21"/>
      <x:c r="G100" s="29" t="str">
        <x:f>IF(OR(C100="",D100=""),"",C100&amp;"|"&amp;D100&amp;"|"&amp;IF(E100="","00",E100)&amp;"|"&amp;IF(F100="","01",F100))</x:f>
      </x:c>
      <x:c r="H100" s="21"/>
      <x:c r="I100" s="29" t="str">
        <x:f>IF(OR(G100="",H100=""),"",G100&amp;"|"&amp;TEXT(H100,"000"))</x:f>
      </x:c>
      <x:c r="J100" s="21"/>
      <x:c r="K100" s="21"/>
      <x:c r="L100" s="21"/>
      <x:c r="M100" s="23"/>
      <x:c r="N100" s="23"/>
      <x:c r="O100" s="23"/>
      <x:c r="P100" s="21"/>
      <x:c r="Q100" s="29" t="str">
        <x:f>IF(P100="","",IFERROR(INDEX(DM_MA_LOI!$B$6:$B$105,MATCH(P100,DM_MA_LOI!$A$6:$A$105,0)),""))</x:f>
      </x:c>
      <x:c r="R100" s="29" t="str">
        <x:f>IF(P100="","",IFERROR(INDEX(DM_MA_LOI!$E$6:$E$105,MATCH(P100,DM_MA_LOI!$A$6:$A$105,0)),""))</x:f>
      </x:c>
      <x:c r="S100" s="29" t="str">
        <x:f>IF(P100="","",IFERROR(INDEX(DM_MA_LOI!$F$6:$F$105,MATCH(P100,DM_MA_LOI!$A$6:$A$105,0)),""))</x:f>
      </x:c>
      <x:c r="T100" s="21"/>
      <x:c r="U100" s="21"/>
      <x:c r="V100" s="21"/>
      <x:c r="W100" s="21"/>
      <x:c r="X100" s="21"/>
      <x:c r="Y100" s="21"/>
      <x:c r="Z100" s="21"/>
      <x:c r="AA100" s="29" t="str">
        <x:f>IF(A100="","",IF(OR(B100="",C100="",D100="",H100="",K100="",L100=""),"Thiếu dữ liệu",IF(M100&lt;&gt;N100+O100,"Sai cân đối SL",IF(AND(O100&gt;0,P100=""),"Thiếu mã lỗi","Hợp lệ"))))</x:f>
      </x:c>
    </x:row>
    <x:row r="101">
      <x:c r="A101" s="21"/>
      <x:c r="B101" s="43"/>
      <x:c r="C101" s="21"/>
      <x:c r="D101" s="21"/>
      <x:c r="E101" s="21"/>
      <x:c r="F101" s="21"/>
      <x:c r="G101" s="29" t="str">
        <x:f>IF(OR(C101="",D101=""),"",C101&amp;"|"&amp;D101&amp;"|"&amp;IF(E101="","00",E101)&amp;"|"&amp;IF(F101="","01",F101))</x:f>
      </x:c>
      <x:c r="H101" s="21"/>
      <x:c r="I101" s="29" t="str">
        <x:f>IF(OR(G101="",H101=""),"",G101&amp;"|"&amp;TEXT(H101,"000"))</x:f>
      </x:c>
      <x:c r="J101" s="21"/>
      <x:c r="K101" s="21"/>
      <x:c r="L101" s="21"/>
      <x:c r="M101" s="23"/>
      <x:c r="N101" s="23"/>
      <x:c r="O101" s="23"/>
      <x:c r="P101" s="21"/>
      <x:c r="Q101" s="29" t="str">
        <x:f>IF(P101="","",IFERROR(INDEX(DM_MA_LOI!$B$6:$B$105,MATCH(P101,DM_MA_LOI!$A$6:$A$105,0)),""))</x:f>
      </x:c>
      <x:c r="R101" s="29" t="str">
        <x:f>IF(P101="","",IFERROR(INDEX(DM_MA_LOI!$E$6:$E$105,MATCH(P101,DM_MA_LOI!$A$6:$A$105,0)),""))</x:f>
      </x:c>
      <x:c r="S101" s="29" t="str">
        <x:f>IF(P101="","",IFERROR(INDEX(DM_MA_LOI!$F$6:$F$105,MATCH(P101,DM_MA_LOI!$A$6:$A$105,0)),""))</x:f>
      </x:c>
      <x:c r="T101" s="21"/>
      <x:c r="U101" s="21"/>
      <x:c r="V101" s="21"/>
      <x:c r="W101" s="21"/>
      <x:c r="X101" s="21"/>
      <x:c r="Y101" s="21"/>
      <x:c r="Z101" s="21"/>
      <x:c r="AA101" s="29" t="str">
        <x:f>IF(A101="","",IF(OR(B101="",C101="",D101="",H101="",K101="",L101=""),"Thiếu dữ liệu",IF(M101&lt;&gt;N101+O101,"Sai cân đối SL",IF(AND(O101&gt;0,P101=""),"Thiếu mã lỗi","Hợp lệ"))))</x:f>
      </x:c>
    </x:row>
    <x:row r="102">
      <x:c r="A102" s="21"/>
      <x:c r="B102" s="43"/>
      <x:c r="C102" s="21"/>
      <x:c r="D102" s="21"/>
      <x:c r="E102" s="21"/>
      <x:c r="F102" s="21"/>
      <x:c r="G102" s="29" t="str">
        <x:f>IF(OR(C102="",D102=""),"",C102&amp;"|"&amp;D102&amp;"|"&amp;IF(E102="","00",E102)&amp;"|"&amp;IF(F102="","01",F102))</x:f>
      </x:c>
      <x:c r="H102" s="21"/>
      <x:c r="I102" s="29" t="str">
        <x:f>IF(OR(G102="",H102=""),"",G102&amp;"|"&amp;TEXT(H102,"000"))</x:f>
      </x:c>
      <x:c r="J102" s="21"/>
      <x:c r="K102" s="21"/>
      <x:c r="L102" s="21"/>
      <x:c r="M102" s="23"/>
      <x:c r="N102" s="23"/>
      <x:c r="O102" s="23"/>
      <x:c r="P102" s="21"/>
      <x:c r="Q102" s="29" t="str">
        <x:f>IF(P102="","",IFERROR(INDEX(DM_MA_LOI!$B$6:$B$105,MATCH(P102,DM_MA_LOI!$A$6:$A$105,0)),""))</x:f>
      </x:c>
      <x:c r="R102" s="29" t="str">
        <x:f>IF(P102="","",IFERROR(INDEX(DM_MA_LOI!$E$6:$E$105,MATCH(P102,DM_MA_LOI!$A$6:$A$105,0)),""))</x:f>
      </x:c>
      <x:c r="S102" s="29" t="str">
        <x:f>IF(P102="","",IFERROR(INDEX(DM_MA_LOI!$F$6:$F$105,MATCH(P102,DM_MA_LOI!$A$6:$A$105,0)),""))</x:f>
      </x:c>
      <x:c r="T102" s="21"/>
      <x:c r="U102" s="21"/>
      <x:c r="V102" s="21"/>
      <x:c r="W102" s="21"/>
      <x:c r="X102" s="21"/>
      <x:c r="Y102" s="21"/>
      <x:c r="Z102" s="21"/>
      <x:c r="AA102" s="29" t="str">
        <x:f>IF(A102="","",IF(OR(B102="",C102="",D102="",H102="",K102="",L102=""),"Thiếu dữ liệu",IF(M102&lt;&gt;N102+O102,"Sai cân đối SL",IF(AND(O102&gt;0,P102=""),"Thiếu mã lỗi","Hợp lệ"))))</x:f>
      </x:c>
    </x:row>
    <x:row r="103">
      <x:c r="A103" s="21"/>
      <x:c r="B103" s="43"/>
      <x:c r="C103" s="21"/>
      <x:c r="D103" s="21"/>
      <x:c r="E103" s="21"/>
      <x:c r="F103" s="21"/>
      <x:c r="G103" s="29" t="str">
        <x:f>IF(OR(C103="",D103=""),"",C103&amp;"|"&amp;D103&amp;"|"&amp;IF(E103="","00",E103)&amp;"|"&amp;IF(F103="","01",F103))</x:f>
      </x:c>
      <x:c r="H103" s="21"/>
      <x:c r="I103" s="29" t="str">
        <x:f>IF(OR(G103="",H103=""),"",G103&amp;"|"&amp;TEXT(H103,"000"))</x:f>
      </x:c>
      <x:c r="J103" s="21"/>
      <x:c r="K103" s="21"/>
      <x:c r="L103" s="21"/>
      <x:c r="M103" s="23"/>
      <x:c r="N103" s="23"/>
      <x:c r="O103" s="23"/>
      <x:c r="P103" s="21"/>
      <x:c r="Q103" s="29" t="str">
        <x:f>IF(P103="","",IFERROR(INDEX(DM_MA_LOI!$B$6:$B$105,MATCH(P103,DM_MA_LOI!$A$6:$A$105,0)),""))</x:f>
      </x:c>
      <x:c r="R103" s="29" t="str">
        <x:f>IF(P103="","",IFERROR(INDEX(DM_MA_LOI!$E$6:$E$105,MATCH(P103,DM_MA_LOI!$A$6:$A$105,0)),""))</x:f>
      </x:c>
      <x:c r="S103" s="29" t="str">
        <x:f>IF(P103="","",IFERROR(INDEX(DM_MA_LOI!$F$6:$F$105,MATCH(P103,DM_MA_LOI!$A$6:$A$105,0)),""))</x:f>
      </x:c>
      <x:c r="T103" s="21"/>
      <x:c r="U103" s="21"/>
      <x:c r="V103" s="21"/>
      <x:c r="W103" s="21"/>
      <x:c r="X103" s="21"/>
      <x:c r="Y103" s="21"/>
      <x:c r="Z103" s="21"/>
      <x:c r="AA103" s="29" t="str">
        <x:f>IF(A103="","",IF(OR(B103="",C103="",D103="",H103="",K103="",L103=""),"Thiếu dữ liệu",IF(M103&lt;&gt;N103+O103,"Sai cân đối SL",IF(AND(O103&gt;0,P103=""),"Thiếu mã lỗi","Hợp lệ"))))</x:f>
      </x:c>
    </x:row>
    <x:row r="104">
      <x:c r="A104" s="21"/>
      <x:c r="B104" s="43"/>
      <x:c r="C104" s="21"/>
      <x:c r="D104" s="21"/>
      <x:c r="E104" s="21"/>
      <x:c r="F104" s="21"/>
      <x:c r="G104" s="29" t="str">
        <x:f>IF(OR(C104="",D104=""),"",C104&amp;"|"&amp;D104&amp;"|"&amp;IF(E104="","00",E104)&amp;"|"&amp;IF(F104="","01",F104))</x:f>
      </x:c>
      <x:c r="H104" s="21"/>
      <x:c r="I104" s="29" t="str">
        <x:f>IF(OR(G104="",H104=""),"",G104&amp;"|"&amp;TEXT(H104,"000"))</x:f>
      </x:c>
      <x:c r="J104" s="21"/>
      <x:c r="K104" s="21"/>
      <x:c r="L104" s="21"/>
      <x:c r="M104" s="23"/>
      <x:c r="N104" s="23"/>
      <x:c r="O104" s="23"/>
      <x:c r="P104" s="21"/>
      <x:c r="Q104" s="29" t="str">
        <x:f>IF(P104="","",IFERROR(INDEX(DM_MA_LOI!$B$6:$B$105,MATCH(P104,DM_MA_LOI!$A$6:$A$105,0)),""))</x:f>
      </x:c>
      <x:c r="R104" s="29" t="str">
        <x:f>IF(P104="","",IFERROR(INDEX(DM_MA_LOI!$E$6:$E$105,MATCH(P104,DM_MA_LOI!$A$6:$A$105,0)),""))</x:f>
      </x:c>
      <x:c r="S104" s="29" t="str">
        <x:f>IF(P104="","",IFERROR(INDEX(DM_MA_LOI!$F$6:$F$105,MATCH(P104,DM_MA_LOI!$A$6:$A$105,0)),""))</x:f>
      </x:c>
      <x:c r="T104" s="21"/>
      <x:c r="U104" s="21"/>
      <x:c r="V104" s="21"/>
      <x:c r="W104" s="21"/>
      <x:c r="X104" s="21"/>
      <x:c r="Y104" s="21"/>
      <x:c r="Z104" s="21"/>
      <x:c r="AA104" s="29" t="str">
        <x:f>IF(A104="","",IF(OR(B104="",C104="",D104="",H104="",K104="",L104=""),"Thiếu dữ liệu",IF(M104&lt;&gt;N104+O104,"Sai cân đối SL",IF(AND(O104&gt;0,P104=""),"Thiếu mã lỗi","Hợp lệ"))))</x:f>
      </x:c>
    </x:row>
    <x:row r="105">
      <x:c r="A105" s="21"/>
      <x:c r="B105" s="43"/>
      <x:c r="C105" s="21"/>
      <x:c r="D105" s="21"/>
      <x:c r="E105" s="21"/>
      <x:c r="F105" s="21"/>
      <x:c r="G105" s="29" t="str">
        <x:f>IF(OR(C105="",D105=""),"",C105&amp;"|"&amp;D105&amp;"|"&amp;IF(E105="","00",E105)&amp;"|"&amp;IF(F105="","01",F105))</x:f>
      </x:c>
      <x:c r="H105" s="21"/>
      <x:c r="I105" s="29" t="str">
        <x:f>IF(OR(G105="",H105=""),"",G105&amp;"|"&amp;TEXT(H105,"000"))</x:f>
      </x:c>
      <x:c r="J105" s="21"/>
      <x:c r="K105" s="21"/>
      <x:c r="L105" s="21"/>
      <x:c r="M105" s="23"/>
      <x:c r="N105" s="23"/>
      <x:c r="O105" s="23"/>
      <x:c r="P105" s="21"/>
      <x:c r="Q105" s="29" t="str">
        <x:f>IF(P105="","",IFERROR(INDEX(DM_MA_LOI!$B$6:$B$105,MATCH(P105,DM_MA_LOI!$A$6:$A$105,0)),""))</x:f>
      </x:c>
      <x:c r="R105" s="29" t="str">
        <x:f>IF(P105="","",IFERROR(INDEX(DM_MA_LOI!$E$6:$E$105,MATCH(P105,DM_MA_LOI!$A$6:$A$105,0)),""))</x:f>
      </x:c>
      <x:c r="S105" s="29" t="str">
        <x:f>IF(P105="","",IFERROR(INDEX(DM_MA_LOI!$F$6:$F$105,MATCH(P105,DM_MA_LOI!$A$6:$A$105,0)),""))</x:f>
      </x:c>
      <x:c r="T105" s="21"/>
      <x:c r="U105" s="21"/>
      <x:c r="V105" s="21"/>
      <x:c r="W105" s="21"/>
      <x:c r="X105" s="21"/>
      <x:c r="Y105" s="21"/>
      <x:c r="Z105" s="21"/>
      <x:c r="AA105" s="29" t="str">
        <x:f>IF(A105="","",IF(OR(B105="",C105="",D105="",H105="",K105="",L105=""),"Thiếu dữ liệu",IF(M105&lt;&gt;N105+O105,"Sai cân đối SL",IF(AND(O105&gt;0,P105=""),"Thiếu mã lỗi","Hợp lệ"))))</x:f>
      </x:c>
    </x:row>
    <x:row r="106">
      <x:c r="A106" s="21"/>
      <x:c r="B106" s="43"/>
      <x:c r="C106" s="21"/>
      <x:c r="D106" s="21"/>
      <x:c r="E106" s="21"/>
      <x:c r="F106" s="21"/>
      <x:c r="G106" s="29" t="str">
        <x:f>IF(OR(C106="",D106=""),"",C106&amp;"|"&amp;D106&amp;"|"&amp;IF(E106="","00",E106)&amp;"|"&amp;IF(F106="","01",F106))</x:f>
      </x:c>
      <x:c r="H106" s="21"/>
      <x:c r="I106" s="29" t="str">
        <x:f>IF(OR(G106="",H106=""),"",G106&amp;"|"&amp;TEXT(H106,"000"))</x:f>
      </x:c>
      <x:c r="J106" s="21"/>
      <x:c r="K106" s="21"/>
      <x:c r="L106" s="21"/>
      <x:c r="M106" s="23"/>
      <x:c r="N106" s="23"/>
      <x:c r="O106" s="23"/>
      <x:c r="P106" s="21"/>
      <x:c r="Q106" s="29" t="str">
        <x:f>IF(P106="","",IFERROR(INDEX(DM_MA_LOI!$B$6:$B$105,MATCH(P106,DM_MA_LOI!$A$6:$A$105,0)),""))</x:f>
      </x:c>
      <x:c r="R106" s="29" t="str">
        <x:f>IF(P106="","",IFERROR(INDEX(DM_MA_LOI!$E$6:$E$105,MATCH(P106,DM_MA_LOI!$A$6:$A$105,0)),""))</x:f>
      </x:c>
      <x:c r="S106" s="29" t="str">
        <x:f>IF(P106="","",IFERROR(INDEX(DM_MA_LOI!$F$6:$F$105,MATCH(P106,DM_MA_LOI!$A$6:$A$105,0)),""))</x:f>
      </x:c>
      <x:c r="T106" s="21"/>
      <x:c r="U106" s="21"/>
      <x:c r="V106" s="21"/>
      <x:c r="W106" s="21"/>
      <x:c r="X106" s="21"/>
      <x:c r="Y106" s="21"/>
      <x:c r="Z106" s="21"/>
      <x:c r="AA106" s="29" t="str">
        <x:f>IF(A106="","",IF(OR(B106="",C106="",D106="",H106="",K106="",L106=""),"Thiếu dữ liệu",IF(M106&lt;&gt;N106+O106,"Sai cân đối SL",IF(AND(O106&gt;0,P106=""),"Thiếu mã lỗi","Hợp lệ"))))</x:f>
      </x:c>
    </x:row>
    <x:row r="107">
      <x:c r="A107" s="21"/>
      <x:c r="B107" s="43"/>
      <x:c r="C107" s="21"/>
      <x:c r="D107" s="21"/>
      <x:c r="E107" s="21"/>
      <x:c r="F107" s="21"/>
      <x:c r="G107" s="29" t="str">
        <x:f>IF(OR(C107="",D107=""),"",C107&amp;"|"&amp;D107&amp;"|"&amp;IF(E107="","00",E107)&amp;"|"&amp;IF(F107="","01",F107))</x:f>
      </x:c>
      <x:c r="H107" s="21"/>
      <x:c r="I107" s="29" t="str">
        <x:f>IF(OR(G107="",H107=""),"",G107&amp;"|"&amp;TEXT(H107,"000"))</x:f>
      </x:c>
      <x:c r="J107" s="21"/>
      <x:c r="K107" s="21"/>
      <x:c r="L107" s="21"/>
      <x:c r="M107" s="23"/>
      <x:c r="N107" s="23"/>
      <x:c r="O107" s="23"/>
      <x:c r="P107" s="21"/>
      <x:c r="Q107" s="29" t="str">
        <x:f>IF(P107="","",IFERROR(INDEX(DM_MA_LOI!$B$6:$B$105,MATCH(P107,DM_MA_LOI!$A$6:$A$105,0)),""))</x:f>
      </x:c>
      <x:c r="R107" s="29" t="str">
        <x:f>IF(P107="","",IFERROR(INDEX(DM_MA_LOI!$E$6:$E$105,MATCH(P107,DM_MA_LOI!$A$6:$A$105,0)),""))</x:f>
      </x:c>
      <x:c r="S107" s="29" t="str">
        <x:f>IF(P107="","",IFERROR(INDEX(DM_MA_LOI!$F$6:$F$105,MATCH(P107,DM_MA_LOI!$A$6:$A$105,0)),""))</x:f>
      </x:c>
      <x:c r="T107" s="21"/>
      <x:c r="U107" s="21"/>
      <x:c r="V107" s="21"/>
      <x:c r="W107" s="21"/>
      <x:c r="X107" s="21"/>
      <x:c r="Y107" s="21"/>
      <x:c r="Z107" s="21"/>
      <x:c r="AA107" s="29" t="str">
        <x:f>IF(A107="","",IF(OR(B107="",C107="",D107="",H107="",K107="",L107=""),"Thiếu dữ liệu",IF(M107&lt;&gt;N107+O107,"Sai cân đối SL",IF(AND(O107&gt;0,P107=""),"Thiếu mã lỗi","Hợp lệ"))))</x:f>
      </x:c>
    </x:row>
    <x:row r="108">
      <x:c r="A108" s="21"/>
      <x:c r="B108" s="43"/>
      <x:c r="C108" s="21"/>
      <x:c r="D108" s="21"/>
      <x:c r="E108" s="21"/>
      <x:c r="F108" s="21"/>
      <x:c r="G108" s="29" t="str">
        <x:f>IF(OR(C108="",D108=""),"",C108&amp;"|"&amp;D108&amp;"|"&amp;IF(E108="","00",E108)&amp;"|"&amp;IF(F108="","01",F108))</x:f>
      </x:c>
      <x:c r="H108" s="21"/>
      <x:c r="I108" s="29" t="str">
        <x:f>IF(OR(G108="",H108=""),"",G108&amp;"|"&amp;TEXT(H108,"000"))</x:f>
      </x:c>
      <x:c r="J108" s="21"/>
      <x:c r="K108" s="21"/>
      <x:c r="L108" s="21"/>
      <x:c r="M108" s="23"/>
      <x:c r="N108" s="23"/>
      <x:c r="O108" s="23"/>
      <x:c r="P108" s="21"/>
      <x:c r="Q108" s="29" t="str">
        <x:f>IF(P108="","",IFERROR(INDEX(DM_MA_LOI!$B$6:$B$105,MATCH(P108,DM_MA_LOI!$A$6:$A$105,0)),""))</x:f>
      </x:c>
      <x:c r="R108" s="29" t="str">
        <x:f>IF(P108="","",IFERROR(INDEX(DM_MA_LOI!$E$6:$E$105,MATCH(P108,DM_MA_LOI!$A$6:$A$105,0)),""))</x:f>
      </x:c>
      <x:c r="S108" s="29" t="str">
        <x:f>IF(P108="","",IFERROR(INDEX(DM_MA_LOI!$F$6:$F$105,MATCH(P108,DM_MA_LOI!$A$6:$A$105,0)),""))</x:f>
      </x:c>
      <x:c r="T108" s="21"/>
      <x:c r="U108" s="21"/>
      <x:c r="V108" s="21"/>
      <x:c r="W108" s="21"/>
      <x:c r="X108" s="21"/>
      <x:c r="Y108" s="21"/>
      <x:c r="Z108" s="21"/>
      <x:c r="AA108" s="29" t="str">
        <x:f>IF(A108="","",IF(OR(B108="",C108="",D108="",H108="",K108="",L108=""),"Thiếu dữ liệu",IF(M108&lt;&gt;N108+O108,"Sai cân đối SL",IF(AND(O108&gt;0,P108=""),"Thiếu mã lỗi","Hợp lệ"))))</x:f>
      </x:c>
    </x:row>
    <x:row r="109">
      <x:c r="A109" s="21"/>
      <x:c r="B109" s="43"/>
      <x:c r="C109" s="21"/>
      <x:c r="D109" s="21"/>
      <x:c r="E109" s="21"/>
      <x:c r="F109" s="21"/>
      <x:c r="G109" s="29" t="str">
        <x:f>IF(OR(C109="",D109=""),"",C109&amp;"|"&amp;D109&amp;"|"&amp;IF(E109="","00",E109)&amp;"|"&amp;IF(F109="","01",F109))</x:f>
      </x:c>
      <x:c r="H109" s="21"/>
      <x:c r="I109" s="29" t="str">
        <x:f>IF(OR(G109="",H109=""),"",G109&amp;"|"&amp;TEXT(H109,"000"))</x:f>
      </x:c>
      <x:c r="J109" s="21"/>
      <x:c r="K109" s="21"/>
      <x:c r="L109" s="21"/>
      <x:c r="M109" s="23"/>
      <x:c r="N109" s="23"/>
      <x:c r="O109" s="23"/>
      <x:c r="P109" s="21"/>
      <x:c r="Q109" s="29" t="str">
        <x:f>IF(P109="","",IFERROR(INDEX(DM_MA_LOI!$B$6:$B$105,MATCH(P109,DM_MA_LOI!$A$6:$A$105,0)),""))</x:f>
      </x:c>
      <x:c r="R109" s="29" t="str">
        <x:f>IF(P109="","",IFERROR(INDEX(DM_MA_LOI!$E$6:$E$105,MATCH(P109,DM_MA_LOI!$A$6:$A$105,0)),""))</x:f>
      </x:c>
      <x:c r="S109" s="29" t="str">
        <x:f>IF(P109="","",IFERROR(INDEX(DM_MA_LOI!$F$6:$F$105,MATCH(P109,DM_MA_LOI!$A$6:$A$105,0)),""))</x:f>
      </x:c>
      <x:c r="T109" s="21"/>
      <x:c r="U109" s="21"/>
      <x:c r="V109" s="21"/>
      <x:c r="W109" s="21"/>
      <x:c r="X109" s="21"/>
      <x:c r="Y109" s="21"/>
      <x:c r="Z109" s="21"/>
      <x:c r="AA109" s="29" t="str">
        <x:f>IF(A109="","",IF(OR(B109="",C109="",D109="",H109="",K109="",L109=""),"Thiếu dữ liệu",IF(M109&lt;&gt;N109+O109,"Sai cân đối SL",IF(AND(O109&gt;0,P109=""),"Thiếu mã lỗi","Hợp lệ"))))</x:f>
      </x:c>
    </x:row>
    <x:row r="110">
      <x:c r="A110" s="21"/>
      <x:c r="B110" s="43"/>
      <x:c r="C110" s="21"/>
      <x:c r="D110" s="21"/>
      <x:c r="E110" s="21"/>
      <x:c r="F110" s="21"/>
      <x:c r="G110" s="29" t="str">
        <x:f>IF(OR(C110="",D110=""),"",C110&amp;"|"&amp;D110&amp;"|"&amp;IF(E110="","00",E110)&amp;"|"&amp;IF(F110="","01",F110))</x:f>
      </x:c>
      <x:c r="H110" s="21"/>
      <x:c r="I110" s="29" t="str">
        <x:f>IF(OR(G110="",H110=""),"",G110&amp;"|"&amp;TEXT(H110,"000"))</x:f>
      </x:c>
      <x:c r="J110" s="21"/>
      <x:c r="K110" s="21"/>
      <x:c r="L110" s="21"/>
      <x:c r="M110" s="23"/>
      <x:c r="N110" s="23"/>
      <x:c r="O110" s="23"/>
      <x:c r="P110" s="21"/>
      <x:c r="Q110" s="29" t="str">
        <x:f>IF(P110="","",IFERROR(INDEX(DM_MA_LOI!$B$6:$B$105,MATCH(P110,DM_MA_LOI!$A$6:$A$105,0)),""))</x:f>
      </x:c>
      <x:c r="R110" s="29" t="str">
        <x:f>IF(P110="","",IFERROR(INDEX(DM_MA_LOI!$E$6:$E$105,MATCH(P110,DM_MA_LOI!$A$6:$A$105,0)),""))</x:f>
      </x:c>
      <x:c r="S110" s="29" t="str">
        <x:f>IF(P110="","",IFERROR(INDEX(DM_MA_LOI!$F$6:$F$105,MATCH(P110,DM_MA_LOI!$A$6:$A$105,0)),""))</x:f>
      </x:c>
      <x:c r="T110" s="21"/>
      <x:c r="U110" s="21"/>
      <x:c r="V110" s="21"/>
      <x:c r="W110" s="21"/>
      <x:c r="X110" s="21"/>
      <x:c r="Y110" s="21"/>
      <x:c r="Z110" s="21"/>
      <x:c r="AA110" s="29" t="str">
        <x:f>IF(A110="","",IF(OR(B110="",C110="",D110="",H110="",K110="",L110=""),"Thiếu dữ liệu",IF(M110&lt;&gt;N110+O110,"Sai cân đối SL",IF(AND(O110&gt;0,P110=""),"Thiếu mã lỗi","Hợp lệ"))))</x:f>
      </x:c>
    </x:row>
    <x:row r="111">
      <x:c r="A111" s="21"/>
      <x:c r="B111" s="43"/>
      <x:c r="C111" s="21"/>
      <x:c r="D111" s="21"/>
      <x:c r="E111" s="21"/>
      <x:c r="F111" s="21"/>
      <x:c r="G111" s="29" t="str">
        <x:f>IF(OR(C111="",D111=""),"",C111&amp;"|"&amp;D111&amp;"|"&amp;IF(E111="","00",E111)&amp;"|"&amp;IF(F111="","01",F111))</x:f>
      </x:c>
      <x:c r="H111" s="21"/>
      <x:c r="I111" s="29" t="str">
        <x:f>IF(OR(G111="",H111=""),"",G111&amp;"|"&amp;TEXT(H111,"000"))</x:f>
      </x:c>
      <x:c r="J111" s="21"/>
      <x:c r="K111" s="21"/>
      <x:c r="L111" s="21"/>
      <x:c r="M111" s="23"/>
      <x:c r="N111" s="23"/>
      <x:c r="O111" s="23"/>
      <x:c r="P111" s="21"/>
      <x:c r="Q111" s="29" t="str">
        <x:f>IF(P111="","",IFERROR(INDEX(DM_MA_LOI!$B$6:$B$105,MATCH(P111,DM_MA_LOI!$A$6:$A$105,0)),""))</x:f>
      </x:c>
      <x:c r="R111" s="29" t="str">
        <x:f>IF(P111="","",IFERROR(INDEX(DM_MA_LOI!$E$6:$E$105,MATCH(P111,DM_MA_LOI!$A$6:$A$105,0)),""))</x:f>
      </x:c>
      <x:c r="S111" s="29" t="str">
        <x:f>IF(P111="","",IFERROR(INDEX(DM_MA_LOI!$F$6:$F$105,MATCH(P111,DM_MA_LOI!$A$6:$A$105,0)),""))</x:f>
      </x:c>
      <x:c r="T111" s="21"/>
      <x:c r="U111" s="21"/>
      <x:c r="V111" s="21"/>
      <x:c r="W111" s="21"/>
      <x:c r="X111" s="21"/>
      <x:c r="Y111" s="21"/>
      <x:c r="Z111" s="21"/>
      <x:c r="AA111" s="29" t="str">
        <x:f>IF(A111="","",IF(OR(B111="",C111="",D111="",H111="",K111="",L111=""),"Thiếu dữ liệu",IF(M111&lt;&gt;N111+O111,"Sai cân đối SL",IF(AND(O111&gt;0,P111=""),"Thiếu mã lỗi","Hợp lệ"))))</x:f>
      </x:c>
    </x:row>
    <x:row r="112">
      <x:c r="A112" s="21"/>
      <x:c r="B112" s="43"/>
      <x:c r="C112" s="21"/>
      <x:c r="D112" s="21"/>
      <x:c r="E112" s="21"/>
      <x:c r="F112" s="21"/>
      <x:c r="G112" s="29" t="str">
        <x:f>IF(OR(C112="",D112=""),"",C112&amp;"|"&amp;D112&amp;"|"&amp;IF(E112="","00",E112)&amp;"|"&amp;IF(F112="","01",F112))</x:f>
      </x:c>
      <x:c r="H112" s="21"/>
      <x:c r="I112" s="29" t="str">
        <x:f>IF(OR(G112="",H112=""),"",G112&amp;"|"&amp;TEXT(H112,"000"))</x:f>
      </x:c>
      <x:c r="J112" s="21"/>
      <x:c r="K112" s="21"/>
      <x:c r="L112" s="21"/>
      <x:c r="M112" s="23"/>
      <x:c r="N112" s="23"/>
      <x:c r="O112" s="23"/>
      <x:c r="P112" s="21"/>
      <x:c r="Q112" s="29" t="str">
        <x:f>IF(P112="","",IFERROR(INDEX(DM_MA_LOI!$B$6:$B$105,MATCH(P112,DM_MA_LOI!$A$6:$A$105,0)),""))</x:f>
      </x:c>
      <x:c r="R112" s="29" t="str">
        <x:f>IF(P112="","",IFERROR(INDEX(DM_MA_LOI!$E$6:$E$105,MATCH(P112,DM_MA_LOI!$A$6:$A$105,0)),""))</x:f>
      </x:c>
      <x:c r="S112" s="29" t="str">
        <x:f>IF(P112="","",IFERROR(INDEX(DM_MA_LOI!$F$6:$F$105,MATCH(P112,DM_MA_LOI!$A$6:$A$105,0)),""))</x:f>
      </x:c>
      <x:c r="T112" s="21"/>
      <x:c r="U112" s="21"/>
      <x:c r="V112" s="21"/>
      <x:c r="W112" s="21"/>
      <x:c r="X112" s="21"/>
      <x:c r="Y112" s="21"/>
      <x:c r="Z112" s="21"/>
      <x:c r="AA112" s="29" t="str">
        <x:f>IF(A112="","",IF(OR(B112="",C112="",D112="",H112="",K112="",L112=""),"Thiếu dữ liệu",IF(M112&lt;&gt;N112+O112,"Sai cân đối SL",IF(AND(O112&gt;0,P112=""),"Thiếu mã lỗi","Hợp lệ"))))</x:f>
      </x:c>
    </x:row>
    <x:row r="113">
      <x:c r="A113" s="21"/>
      <x:c r="B113" s="43"/>
      <x:c r="C113" s="21"/>
      <x:c r="D113" s="21"/>
      <x:c r="E113" s="21"/>
      <x:c r="F113" s="21"/>
      <x:c r="G113" s="29" t="str">
        <x:f>IF(OR(C113="",D113=""),"",C113&amp;"|"&amp;D113&amp;"|"&amp;IF(E113="","00",E113)&amp;"|"&amp;IF(F113="","01",F113))</x:f>
      </x:c>
      <x:c r="H113" s="21"/>
      <x:c r="I113" s="29" t="str">
        <x:f>IF(OR(G113="",H113=""),"",G113&amp;"|"&amp;TEXT(H113,"000"))</x:f>
      </x:c>
      <x:c r="J113" s="21"/>
      <x:c r="K113" s="21"/>
      <x:c r="L113" s="21"/>
      <x:c r="M113" s="23"/>
      <x:c r="N113" s="23"/>
      <x:c r="O113" s="23"/>
      <x:c r="P113" s="21"/>
      <x:c r="Q113" s="29" t="str">
        <x:f>IF(P113="","",IFERROR(INDEX(DM_MA_LOI!$B$6:$B$105,MATCH(P113,DM_MA_LOI!$A$6:$A$105,0)),""))</x:f>
      </x:c>
      <x:c r="R113" s="29" t="str">
        <x:f>IF(P113="","",IFERROR(INDEX(DM_MA_LOI!$E$6:$E$105,MATCH(P113,DM_MA_LOI!$A$6:$A$105,0)),""))</x:f>
      </x:c>
      <x:c r="S113" s="29" t="str">
        <x:f>IF(P113="","",IFERROR(INDEX(DM_MA_LOI!$F$6:$F$105,MATCH(P113,DM_MA_LOI!$A$6:$A$105,0)),""))</x:f>
      </x:c>
      <x:c r="T113" s="21"/>
      <x:c r="U113" s="21"/>
      <x:c r="V113" s="21"/>
      <x:c r="W113" s="21"/>
      <x:c r="X113" s="21"/>
      <x:c r="Y113" s="21"/>
      <x:c r="Z113" s="21"/>
      <x:c r="AA113" s="29" t="str">
        <x:f>IF(A113="","",IF(OR(B113="",C113="",D113="",H113="",K113="",L113=""),"Thiếu dữ liệu",IF(M113&lt;&gt;N113+O113,"Sai cân đối SL",IF(AND(O113&gt;0,P113=""),"Thiếu mã lỗi","Hợp lệ"))))</x:f>
      </x:c>
    </x:row>
    <x:row r="114">
      <x:c r="A114" s="21"/>
      <x:c r="B114" s="43"/>
      <x:c r="C114" s="21"/>
      <x:c r="D114" s="21"/>
      <x:c r="E114" s="21"/>
      <x:c r="F114" s="21"/>
      <x:c r="G114" s="29" t="str">
        <x:f>IF(OR(C114="",D114=""),"",C114&amp;"|"&amp;D114&amp;"|"&amp;IF(E114="","00",E114)&amp;"|"&amp;IF(F114="","01",F114))</x:f>
      </x:c>
      <x:c r="H114" s="21"/>
      <x:c r="I114" s="29" t="str">
        <x:f>IF(OR(G114="",H114=""),"",G114&amp;"|"&amp;TEXT(H114,"000"))</x:f>
      </x:c>
      <x:c r="J114" s="21"/>
      <x:c r="K114" s="21"/>
      <x:c r="L114" s="21"/>
      <x:c r="M114" s="23"/>
      <x:c r="N114" s="23"/>
      <x:c r="O114" s="23"/>
      <x:c r="P114" s="21"/>
      <x:c r="Q114" s="29" t="str">
        <x:f>IF(P114="","",IFERROR(INDEX(DM_MA_LOI!$B$6:$B$105,MATCH(P114,DM_MA_LOI!$A$6:$A$105,0)),""))</x:f>
      </x:c>
      <x:c r="R114" s="29" t="str">
        <x:f>IF(P114="","",IFERROR(INDEX(DM_MA_LOI!$E$6:$E$105,MATCH(P114,DM_MA_LOI!$A$6:$A$105,0)),""))</x:f>
      </x:c>
      <x:c r="S114" s="29" t="str">
        <x:f>IF(P114="","",IFERROR(INDEX(DM_MA_LOI!$F$6:$F$105,MATCH(P114,DM_MA_LOI!$A$6:$A$105,0)),""))</x:f>
      </x:c>
      <x:c r="T114" s="21"/>
      <x:c r="U114" s="21"/>
      <x:c r="V114" s="21"/>
      <x:c r="W114" s="21"/>
      <x:c r="X114" s="21"/>
      <x:c r="Y114" s="21"/>
      <x:c r="Z114" s="21"/>
      <x:c r="AA114" s="29" t="str">
        <x:f>IF(A114="","",IF(OR(B114="",C114="",D114="",H114="",K114="",L114=""),"Thiếu dữ liệu",IF(M114&lt;&gt;N114+O114,"Sai cân đối SL",IF(AND(O114&gt;0,P114=""),"Thiếu mã lỗi","Hợp lệ"))))</x:f>
      </x:c>
    </x:row>
    <x:row r="115">
      <x:c r="A115" s="21"/>
      <x:c r="B115" s="43"/>
      <x:c r="C115" s="21"/>
      <x:c r="D115" s="21"/>
      <x:c r="E115" s="21"/>
      <x:c r="F115" s="21"/>
      <x:c r="G115" s="29" t="str">
        <x:f>IF(OR(C115="",D115=""),"",C115&amp;"|"&amp;D115&amp;"|"&amp;IF(E115="","00",E115)&amp;"|"&amp;IF(F115="","01",F115))</x:f>
      </x:c>
      <x:c r="H115" s="21"/>
      <x:c r="I115" s="29" t="str">
        <x:f>IF(OR(G115="",H115=""),"",G115&amp;"|"&amp;TEXT(H115,"000"))</x:f>
      </x:c>
      <x:c r="J115" s="21"/>
      <x:c r="K115" s="21"/>
      <x:c r="L115" s="21"/>
      <x:c r="M115" s="23"/>
      <x:c r="N115" s="23"/>
      <x:c r="O115" s="23"/>
      <x:c r="P115" s="21"/>
      <x:c r="Q115" s="29" t="str">
        <x:f>IF(P115="","",IFERROR(INDEX(DM_MA_LOI!$B$6:$B$105,MATCH(P115,DM_MA_LOI!$A$6:$A$105,0)),""))</x:f>
      </x:c>
      <x:c r="R115" s="29" t="str">
        <x:f>IF(P115="","",IFERROR(INDEX(DM_MA_LOI!$E$6:$E$105,MATCH(P115,DM_MA_LOI!$A$6:$A$105,0)),""))</x:f>
      </x:c>
      <x:c r="S115" s="29" t="str">
        <x:f>IF(P115="","",IFERROR(INDEX(DM_MA_LOI!$F$6:$F$105,MATCH(P115,DM_MA_LOI!$A$6:$A$105,0)),""))</x:f>
      </x:c>
      <x:c r="T115" s="21"/>
      <x:c r="U115" s="21"/>
      <x:c r="V115" s="21"/>
      <x:c r="W115" s="21"/>
      <x:c r="X115" s="21"/>
      <x:c r="Y115" s="21"/>
      <x:c r="Z115" s="21"/>
      <x:c r="AA115" s="29" t="str">
        <x:f>IF(A115="","",IF(OR(B115="",C115="",D115="",H115="",K115="",L115=""),"Thiếu dữ liệu",IF(M115&lt;&gt;N115+O115,"Sai cân đối SL",IF(AND(O115&gt;0,P115=""),"Thiếu mã lỗi","Hợp lệ"))))</x:f>
      </x:c>
    </x:row>
    <x:row r="116">
      <x:c r="A116" s="21"/>
      <x:c r="B116" s="43"/>
      <x:c r="C116" s="21"/>
      <x:c r="D116" s="21"/>
      <x:c r="E116" s="21"/>
      <x:c r="F116" s="21"/>
      <x:c r="G116" s="29" t="str">
        <x:f>IF(OR(C116="",D116=""),"",C116&amp;"|"&amp;D116&amp;"|"&amp;IF(E116="","00",E116)&amp;"|"&amp;IF(F116="","01",F116))</x:f>
      </x:c>
      <x:c r="H116" s="21"/>
      <x:c r="I116" s="29" t="str">
        <x:f>IF(OR(G116="",H116=""),"",G116&amp;"|"&amp;TEXT(H116,"000"))</x:f>
      </x:c>
      <x:c r="J116" s="21"/>
      <x:c r="K116" s="21"/>
      <x:c r="L116" s="21"/>
      <x:c r="M116" s="23"/>
      <x:c r="N116" s="23"/>
      <x:c r="O116" s="23"/>
      <x:c r="P116" s="21"/>
      <x:c r="Q116" s="29" t="str">
        <x:f>IF(P116="","",IFERROR(INDEX(DM_MA_LOI!$B$6:$B$105,MATCH(P116,DM_MA_LOI!$A$6:$A$105,0)),""))</x:f>
      </x:c>
      <x:c r="R116" s="29" t="str">
        <x:f>IF(P116="","",IFERROR(INDEX(DM_MA_LOI!$E$6:$E$105,MATCH(P116,DM_MA_LOI!$A$6:$A$105,0)),""))</x:f>
      </x:c>
      <x:c r="S116" s="29" t="str">
        <x:f>IF(P116="","",IFERROR(INDEX(DM_MA_LOI!$F$6:$F$105,MATCH(P116,DM_MA_LOI!$A$6:$A$105,0)),""))</x:f>
      </x:c>
      <x:c r="T116" s="21"/>
      <x:c r="U116" s="21"/>
      <x:c r="V116" s="21"/>
      <x:c r="W116" s="21"/>
      <x:c r="X116" s="21"/>
      <x:c r="Y116" s="21"/>
      <x:c r="Z116" s="21"/>
      <x:c r="AA116" s="29" t="str">
        <x:f>IF(A116="","",IF(OR(B116="",C116="",D116="",H116="",K116="",L116=""),"Thiếu dữ liệu",IF(M116&lt;&gt;N116+O116,"Sai cân đối SL",IF(AND(O116&gt;0,P116=""),"Thiếu mã lỗi","Hợp lệ"))))</x:f>
      </x:c>
    </x:row>
    <x:row r="117">
      <x:c r="A117" s="21"/>
      <x:c r="B117" s="43"/>
      <x:c r="C117" s="21"/>
      <x:c r="D117" s="21"/>
      <x:c r="E117" s="21"/>
      <x:c r="F117" s="21"/>
      <x:c r="G117" s="29" t="str">
        <x:f>IF(OR(C117="",D117=""),"",C117&amp;"|"&amp;D117&amp;"|"&amp;IF(E117="","00",E117)&amp;"|"&amp;IF(F117="","01",F117))</x:f>
      </x:c>
      <x:c r="H117" s="21"/>
      <x:c r="I117" s="29" t="str">
        <x:f>IF(OR(G117="",H117=""),"",G117&amp;"|"&amp;TEXT(H117,"000"))</x:f>
      </x:c>
      <x:c r="J117" s="21"/>
      <x:c r="K117" s="21"/>
      <x:c r="L117" s="21"/>
      <x:c r="M117" s="23"/>
      <x:c r="N117" s="23"/>
      <x:c r="O117" s="23"/>
      <x:c r="P117" s="21"/>
      <x:c r="Q117" s="29" t="str">
        <x:f>IF(P117="","",IFERROR(INDEX(DM_MA_LOI!$B$6:$B$105,MATCH(P117,DM_MA_LOI!$A$6:$A$105,0)),""))</x:f>
      </x:c>
      <x:c r="R117" s="29" t="str">
        <x:f>IF(P117="","",IFERROR(INDEX(DM_MA_LOI!$E$6:$E$105,MATCH(P117,DM_MA_LOI!$A$6:$A$105,0)),""))</x:f>
      </x:c>
      <x:c r="S117" s="29" t="str">
        <x:f>IF(P117="","",IFERROR(INDEX(DM_MA_LOI!$F$6:$F$105,MATCH(P117,DM_MA_LOI!$A$6:$A$105,0)),""))</x:f>
      </x:c>
      <x:c r="T117" s="21"/>
      <x:c r="U117" s="21"/>
      <x:c r="V117" s="21"/>
      <x:c r="W117" s="21"/>
      <x:c r="X117" s="21"/>
      <x:c r="Y117" s="21"/>
      <x:c r="Z117" s="21"/>
      <x:c r="AA117" s="29" t="str">
        <x:f>IF(A117="","",IF(OR(B117="",C117="",D117="",H117="",K117="",L117=""),"Thiếu dữ liệu",IF(M117&lt;&gt;N117+O117,"Sai cân đối SL",IF(AND(O117&gt;0,P117=""),"Thiếu mã lỗi","Hợp lệ"))))</x:f>
      </x:c>
    </x:row>
    <x:row r="118">
      <x:c r="A118" s="21"/>
      <x:c r="B118" s="43"/>
      <x:c r="C118" s="21"/>
      <x:c r="D118" s="21"/>
      <x:c r="E118" s="21"/>
      <x:c r="F118" s="21"/>
      <x:c r="G118" s="29" t="str">
        <x:f>IF(OR(C118="",D118=""),"",C118&amp;"|"&amp;D118&amp;"|"&amp;IF(E118="","00",E118)&amp;"|"&amp;IF(F118="","01",F118))</x:f>
      </x:c>
      <x:c r="H118" s="21"/>
      <x:c r="I118" s="29" t="str">
        <x:f>IF(OR(G118="",H118=""),"",G118&amp;"|"&amp;TEXT(H118,"000"))</x:f>
      </x:c>
      <x:c r="J118" s="21"/>
      <x:c r="K118" s="21"/>
      <x:c r="L118" s="21"/>
      <x:c r="M118" s="23"/>
      <x:c r="N118" s="23"/>
      <x:c r="O118" s="23"/>
      <x:c r="P118" s="21"/>
      <x:c r="Q118" s="29" t="str">
        <x:f>IF(P118="","",IFERROR(INDEX(DM_MA_LOI!$B$6:$B$105,MATCH(P118,DM_MA_LOI!$A$6:$A$105,0)),""))</x:f>
      </x:c>
      <x:c r="R118" s="29" t="str">
        <x:f>IF(P118="","",IFERROR(INDEX(DM_MA_LOI!$E$6:$E$105,MATCH(P118,DM_MA_LOI!$A$6:$A$105,0)),""))</x:f>
      </x:c>
      <x:c r="S118" s="29" t="str">
        <x:f>IF(P118="","",IFERROR(INDEX(DM_MA_LOI!$F$6:$F$105,MATCH(P118,DM_MA_LOI!$A$6:$A$105,0)),""))</x:f>
      </x:c>
      <x:c r="T118" s="21"/>
      <x:c r="U118" s="21"/>
      <x:c r="V118" s="21"/>
      <x:c r="W118" s="21"/>
      <x:c r="X118" s="21"/>
      <x:c r="Y118" s="21"/>
      <x:c r="Z118" s="21"/>
      <x:c r="AA118" s="29" t="str">
        <x:f>IF(A118="","",IF(OR(B118="",C118="",D118="",H118="",K118="",L118=""),"Thiếu dữ liệu",IF(M118&lt;&gt;N118+O118,"Sai cân đối SL",IF(AND(O118&gt;0,P118=""),"Thiếu mã lỗi","Hợp lệ"))))</x:f>
      </x:c>
    </x:row>
    <x:row r="119">
      <x:c r="A119" s="21"/>
      <x:c r="B119" s="43"/>
      <x:c r="C119" s="21"/>
      <x:c r="D119" s="21"/>
      <x:c r="E119" s="21"/>
      <x:c r="F119" s="21"/>
      <x:c r="G119" s="29" t="str">
        <x:f>IF(OR(C119="",D119=""),"",C119&amp;"|"&amp;D119&amp;"|"&amp;IF(E119="","00",E119)&amp;"|"&amp;IF(F119="","01",F119))</x:f>
      </x:c>
      <x:c r="H119" s="21"/>
      <x:c r="I119" s="29" t="str">
        <x:f>IF(OR(G119="",H119=""),"",G119&amp;"|"&amp;TEXT(H119,"000"))</x:f>
      </x:c>
      <x:c r="J119" s="21"/>
      <x:c r="K119" s="21"/>
      <x:c r="L119" s="21"/>
      <x:c r="M119" s="23"/>
      <x:c r="N119" s="23"/>
      <x:c r="O119" s="23"/>
      <x:c r="P119" s="21"/>
      <x:c r="Q119" s="29" t="str">
        <x:f>IF(P119="","",IFERROR(INDEX(DM_MA_LOI!$B$6:$B$105,MATCH(P119,DM_MA_LOI!$A$6:$A$105,0)),""))</x:f>
      </x:c>
      <x:c r="R119" s="29" t="str">
        <x:f>IF(P119="","",IFERROR(INDEX(DM_MA_LOI!$E$6:$E$105,MATCH(P119,DM_MA_LOI!$A$6:$A$105,0)),""))</x:f>
      </x:c>
      <x:c r="S119" s="29" t="str">
        <x:f>IF(P119="","",IFERROR(INDEX(DM_MA_LOI!$F$6:$F$105,MATCH(P119,DM_MA_LOI!$A$6:$A$105,0)),""))</x:f>
      </x:c>
      <x:c r="T119" s="21"/>
      <x:c r="U119" s="21"/>
      <x:c r="V119" s="21"/>
      <x:c r="W119" s="21"/>
      <x:c r="X119" s="21"/>
      <x:c r="Y119" s="21"/>
      <x:c r="Z119" s="21"/>
      <x:c r="AA119" s="29" t="str">
        <x:f>IF(A119="","",IF(OR(B119="",C119="",D119="",H119="",K119="",L119=""),"Thiếu dữ liệu",IF(M119&lt;&gt;N119+O119,"Sai cân đối SL",IF(AND(O119&gt;0,P119=""),"Thiếu mã lỗi","Hợp lệ"))))</x:f>
      </x:c>
    </x:row>
    <x:row r="120">
      <x:c r="A120" s="21"/>
      <x:c r="B120" s="43"/>
      <x:c r="C120" s="21"/>
      <x:c r="D120" s="21"/>
      <x:c r="E120" s="21"/>
      <x:c r="F120" s="21"/>
      <x:c r="G120" s="29" t="str">
        <x:f>IF(OR(C120="",D120=""),"",C120&amp;"|"&amp;D120&amp;"|"&amp;IF(E120="","00",E120)&amp;"|"&amp;IF(F120="","01",F120))</x:f>
      </x:c>
      <x:c r="H120" s="21"/>
      <x:c r="I120" s="29" t="str">
        <x:f>IF(OR(G120="",H120=""),"",G120&amp;"|"&amp;TEXT(H120,"000"))</x:f>
      </x:c>
      <x:c r="J120" s="21"/>
      <x:c r="K120" s="21"/>
      <x:c r="L120" s="21"/>
      <x:c r="M120" s="23"/>
      <x:c r="N120" s="23"/>
      <x:c r="O120" s="23"/>
      <x:c r="P120" s="21"/>
      <x:c r="Q120" s="29" t="str">
        <x:f>IF(P120="","",IFERROR(INDEX(DM_MA_LOI!$B$6:$B$105,MATCH(P120,DM_MA_LOI!$A$6:$A$105,0)),""))</x:f>
      </x:c>
      <x:c r="R120" s="29" t="str">
        <x:f>IF(P120="","",IFERROR(INDEX(DM_MA_LOI!$E$6:$E$105,MATCH(P120,DM_MA_LOI!$A$6:$A$105,0)),""))</x:f>
      </x:c>
      <x:c r="S120" s="29" t="str">
        <x:f>IF(P120="","",IFERROR(INDEX(DM_MA_LOI!$F$6:$F$105,MATCH(P120,DM_MA_LOI!$A$6:$A$105,0)),""))</x:f>
      </x:c>
      <x:c r="T120" s="21"/>
      <x:c r="U120" s="21"/>
      <x:c r="V120" s="21"/>
      <x:c r="W120" s="21"/>
      <x:c r="X120" s="21"/>
      <x:c r="Y120" s="21"/>
      <x:c r="Z120" s="21"/>
      <x:c r="AA120" s="29" t="str">
        <x:f>IF(A120="","",IF(OR(B120="",C120="",D120="",H120="",K120="",L120=""),"Thiếu dữ liệu",IF(M120&lt;&gt;N120+O120,"Sai cân đối SL",IF(AND(O120&gt;0,P120=""),"Thiếu mã lỗi","Hợp lệ"))))</x:f>
      </x:c>
    </x:row>
    <x:row r="121">
      <x:c r="A121" s="21"/>
      <x:c r="B121" s="43"/>
      <x:c r="C121" s="21"/>
      <x:c r="D121" s="21"/>
      <x:c r="E121" s="21"/>
      <x:c r="F121" s="21"/>
      <x:c r="G121" s="29" t="str">
        <x:f>IF(OR(C121="",D121=""),"",C121&amp;"|"&amp;D121&amp;"|"&amp;IF(E121="","00",E121)&amp;"|"&amp;IF(F121="","01",F121))</x:f>
      </x:c>
      <x:c r="H121" s="21"/>
      <x:c r="I121" s="29" t="str">
        <x:f>IF(OR(G121="",H121=""),"",G121&amp;"|"&amp;TEXT(H121,"000"))</x:f>
      </x:c>
      <x:c r="J121" s="21"/>
      <x:c r="K121" s="21"/>
      <x:c r="L121" s="21"/>
      <x:c r="M121" s="23"/>
      <x:c r="N121" s="23"/>
      <x:c r="O121" s="23"/>
      <x:c r="P121" s="21"/>
      <x:c r="Q121" s="29" t="str">
        <x:f>IF(P121="","",IFERROR(INDEX(DM_MA_LOI!$B$6:$B$105,MATCH(P121,DM_MA_LOI!$A$6:$A$105,0)),""))</x:f>
      </x:c>
      <x:c r="R121" s="29" t="str">
        <x:f>IF(P121="","",IFERROR(INDEX(DM_MA_LOI!$E$6:$E$105,MATCH(P121,DM_MA_LOI!$A$6:$A$105,0)),""))</x:f>
      </x:c>
      <x:c r="S121" s="29" t="str">
        <x:f>IF(P121="","",IFERROR(INDEX(DM_MA_LOI!$F$6:$F$105,MATCH(P121,DM_MA_LOI!$A$6:$A$105,0)),""))</x:f>
      </x:c>
      <x:c r="T121" s="21"/>
      <x:c r="U121" s="21"/>
      <x:c r="V121" s="21"/>
      <x:c r="W121" s="21"/>
      <x:c r="X121" s="21"/>
      <x:c r="Y121" s="21"/>
      <x:c r="Z121" s="21"/>
      <x:c r="AA121" s="29" t="str">
        <x:f>IF(A121="","",IF(OR(B121="",C121="",D121="",H121="",K121="",L121=""),"Thiếu dữ liệu",IF(M121&lt;&gt;N121+O121,"Sai cân đối SL",IF(AND(O121&gt;0,P121=""),"Thiếu mã lỗi","Hợp lệ"))))</x:f>
      </x:c>
    </x:row>
    <x:row r="122">
      <x:c r="A122" s="21"/>
      <x:c r="B122" s="43"/>
      <x:c r="C122" s="21"/>
      <x:c r="D122" s="21"/>
      <x:c r="E122" s="21"/>
      <x:c r="F122" s="21"/>
      <x:c r="G122" s="29" t="str">
        <x:f>IF(OR(C122="",D122=""),"",C122&amp;"|"&amp;D122&amp;"|"&amp;IF(E122="","00",E122)&amp;"|"&amp;IF(F122="","01",F122))</x:f>
      </x:c>
      <x:c r="H122" s="21"/>
      <x:c r="I122" s="29" t="str">
        <x:f>IF(OR(G122="",H122=""),"",G122&amp;"|"&amp;TEXT(H122,"000"))</x:f>
      </x:c>
      <x:c r="J122" s="21"/>
      <x:c r="K122" s="21"/>
      <x:c r="L122" s="21"/>
      <x:c r="M122" s="23"/>
      <x:c r="N122" s="23"/>
      <x:c r="O122" s="23"/>
      <x:c r="P122" s="21"/>
      <x:c r="Q122" s="29" t="str">
        <x:f>IF(P122="","",IFERROR(INDEX(DM_MA_LOI!$B$6:$B$105,MATCH(P122,DM_MA_LOI!$A$6:$A$105,0)),""))</x:f>
      </x:c>
      <x:c r="R122" s="29" t="str">
        <x:f>IF(P122="","",IFERROR(INDEX(DM_MA_LOI!$E$6:$E$105,MATCH(P122,DM_MA_LOI!$A$6:$A$105,0)),""))</x:f>
      </x:c>
      <x:c r="S122" s="29" t="str">
        <x:f>IF(P122="","",IFERROR(INDEX(DM_MA_LOI!$F$6:$F$105,MATCH(P122,DM_MA_LOI!$A$6:$A$105,0)),""))</x:f>
      </x:c>
      <x:c r="T122" s="21"/>
      <x:c r="U122" s="21"/>
      <x:c r="V122" s="21"/>
      <x:c r="W122" s="21"/>
      <x:c r="X122" s="21"/>
      <x:c r="Y122" s="21"/>
      <x:c r="Z122" s="21"/>
      <x:c r="AA122" s="29" t="str">
        <x:f>IF(A122="","",IF(OR(B122="",C122="",D122="",H122="",K122="",L122=""),"Thiếu dữ liệu",IF(M122&lt;&gt;N122+O122,"Sai cân đối SL",IF(AND(O122&gt;0,P122=""),"Thiếu mã lỗi","Hợp lệ"))))</x:f>
      </x:c>
    </x:row>
    <x:row r="123">
      <x:c r="A123" s="21"/>
      <x:c r="B123" s="43"/>
      <x:c r="C123" s="21"/>
      <x:c r="D123" s="21"/>
      <x:c r="E123" s="21"/>
      <x:c r="F123" s="21"/>
      <x:c r="G123" s="29" t="str">
        <x:f>IF(OR(C123="",D123=""),"",C123&amp;"|"&amp;D123&amp;"|"&amp;IF(E123="","00",E123)&amp;"|"&amp;IF(F123="","01",F123))</x:f>
      </x:c>
      <x:c r="H123" s="21"/>
      <x:c r="I123" s="29" t="str">
        <x:f>IF(OR(G123="",H123=""),"",G123&amp;"|"&amp;TEXT(H123,"000"))</x:f>
      </x:c>
      <x:c r="J123" s="21"/>
      <x:c r="K123" s="21"/>
      <x:c r="L123" s="21"/>
      <x:c r="M123" s="23"/>
      <x:c r="N123" s="23"/>
      <x:c r="O123" s="23"/>
      <x:c r="P123" s="21"/>
      <x:c r="Q123" s="29" t="str">
        <x:f>IF(P123="","",IFERROR(INDEX(DM_MA_LOI!$B$6:$B$105,MATCH(P123,DM_MA_LOI!$A$6:$A$105,0)),""))</x:f>
      </x:c>
      <x:c r="R123" s="29" t="str">
        <x:f>IF(P123="","",IFERROR(INDEX(DM_MA_LOI!$E$6:$E$105,MATCH(P123,DM_MA_LOI!$A$6:$A$105,0)),""))</x:f>
      </x:c>
      <x:c r="S123" s="29" t="str">
        <x:f>IF(P123="","",IFERROR(INDEX(DM_MA_LOI!$F$6:$F$105,MATCH(P123,DM_MA_LOI!$A$6:$A$105,0)),""))</x:f>
      </x:c>
      <x:c r="T123" s="21"/>
      <x:c r="U123" s="21"/>
      <x:c r="V123" s="21"/>
      <x:c r="W123" s="21"/>
      <x:c r="X123" s="21"/>
      <x:c r="Y123" s="21"/>
      <x:c r="Z123" s="21"/>
      <x:c r="AA123" s="29" t="str">
        <x:f>IF(A123="","",IF(OR(B123="",C123="",D123="",H123="",K123="",L123=""),"Thiếu dữ liệu",IF(M123&lt;&gt;N123+O123,"Sai cân đối SL",IF(AND(O123&gt;0,P123=""),"Thiếu mã lỗi","Hợp lệ"))))</x:f>
      </x:c>
    </x:row>
    <x:row r="124">
      <x:c r="A124" s="21"/>
      <x:c r="B124" s="43"/>
      <x:c r="C124" s="21"/>
      <x:c r="D124" s="21"/>
      <x:c r="E124" s="21"/>
      <x:c r="F124" s="21"/>
      <x:c r="G124" s="29" t="str">
        <x:f>IF(OR(C124="",D124=""),"",C124&amp;"|"&amp;D124&amp;"|"&amp;IF(E124="","00",E124)&amp;"|"&amp;IF(F124="","01",F124))</x:f>
      </x:c>
      <x:c r="H124" s="21"/>
      <x:c r="I124" s="29" t="str">
        <x:f>IF(OR(G124="",H124=""),"",G124&amp;"|"&amp;TEXT(H124,"000"))</x:f>
      </x:c>
      <x:c r="J124" s="21"/>
      <x:c r="K124" s="21"/>
      <x:c r="L124" s="21"/>
      <x:c r="M124" s="23"/>
      <x:c r="N124" s="23"/>
      <x:c r="O124" s="23"/>
      <x:c r="P124" s="21"/>
      <x:c r="Q124" s="29" t="str">
        <x:f>IF(P124="","",IFERROR(INDEX(DM_MA_LOI!$B$6:$B$105,MATCH(P124,DM_MA_LOI!$A$6:$A$105,0)),""))</x:f>
      </x:c>
      <x:c r="R124" s="29" t="str">
        <x:f>IF(P124="","",IFERROR(INDEX(DM_MA_LOI!$E$6:$E$105,MATCH(P124,DM_MA_LOI!$A$6:$A$105,0)),""))</x:f>
      </x:c>
      <x:c r="S124" s="29" t="str">
        <x:f>IF(P124="","",IFERROR(INDEX(DM_MA_LOI!$F$6:$F$105,MATCH(P124,DM_MA_LOI!$A$6:$A$105,0)),""))</x:f>
      </x:c>
      <x:c r="T124" s="21"/>
      <x:c r="U124" s="21"/>
      <x:c r="V124" s="21"/>
      <x:c r="W124" s="21"/>
      <x:c r="X124" s="21"/>
      <x:c r="Y124" s="21"/>
      <x:c r="Z124" s="21"/>
      <x:c r="AA124" s="29" t="str">
        <x:f>IF(A124="","",IF(OR(B124="",C124="",D124="",H124="",K124="",L124=""),"Thiếu dữ liệu",IF(M124&lt;&gt;N124+O124,"Sai cân đối SL",IF(AND(O124&gt;0,P124=""),"Thiếu mã lỗi","Hợp lệ"))))</x:f>
      </x:c>
    </x:row>
    <x:row r="125">
      <x:c r="A125" s="21"/>
      <x:c r="B125" s="43"/>
      <x:c r="C125" s="21"/>
      <x:c r="D125" s="21"/>
      <x:c r="E125" s="21"/>
      <x:c r="F125" s="21"/>
      <x:c r="G125" s="29" t="str">
        <x:f>IF(OR(C125="",D125=""),"",C125&amp;"|"&amp;D125&amp;"|"&amp;IF(E125="","00",E125)&amp;"|"&amp;IF(F125="","01",F125))</x:f>
      </x:c>
      <x:c r="H125" s="21"/>
      <x:c r="I125" s="29" t="str">
        <x:f>IF(OR(G125="",H125=""),"",G125&amp;"|"&amp;TEXT(H125,"000"))</x:f>
      </x:c>
      <x:c r="J125" s="21"/>
      <x:c r="K125" s="21"/>
      <x:c r="L125" s="21"/>
      <x:c r="M125" s="23"/>
      <x:c r="N125" s="23"/>
      <x:c r="O125" s="23"/>
      <x:c r="P125" s="21"/>
      <x:c r="Q125" s="29" t="str">
        <x:f>IF(P125="","",IFERROR(INDEX(DM_MA_LOI!$B$6:$B$105,MATCH(P125,DM_MA_LOI!$A$6:$A$105,0)),""))</x:f>
      </x:c>
      <x:c r="R125" s="29" t="str">
        <x:f>IF(P125="","",IFERROR(INDEX(DM_MA_LOI!$E$6:$E$105,MATCH(P125,DM_MA_LOI!$A$6:$A$105,0)),""))</x:f>
      </x:c>
      <x:c r="S125" s="29" t="str">
        <x:f>IF(P125="","",IFERROR(INDEX(DM_MA_LOI!$F$6:$F$105,MATCH(P125,DM_MA_LOI!$A$6:$A$105,0)),""))</x:f>
      </x:c>
      <x:c r="T125" s="21"/>
      <x:c r="U125" s="21"/>
      <x:c r="V125" s="21"/>
      <x:c r="W125" s="21"/>
      <x:c r="X125" s="21"/>
      <x:c r="Y125" s="21"/>
      <x:c r="Z125" s="21"/>
      <x:c r="AA125" s="29" t="str">
        <x:f>IF(A125="","",IF(OR(B125="",C125="",D125="",H125="",K125="",L125=""),"Thiếu dữ liệu",IF(M125&lt;&gt;N125+O125,"Sai cân đối SL",IF(AND(O125&gt;0,P125=""),"Thiếu mã lỗi","Hợp lệ"))))</x:f>
      </x:c>
    </x:row>
    <x:row r="126">
      <x:c r="A126" s="21"/>
      <x:c r="B126" s="43"/>
      <x:c r="C126" s="21"/>
      <x:c r="D126" s="21"/>
      <x:c r="E126" s="21"/>
      <x:c r="F126" s="21"/>
      <x:c r="G126" s="29" t="str">
        <x:f>IF(OR(C126="",D126=""),"",C126&amp;"|"&amp;D126&amp;"|"&amp;IF(E126="","00",E126)&amp;"|"&amp;IF(F126="","01",F126))</x:f>
      </x:c>
      <x:c r="H126" s="21"/>
      <x:c r="I126" s="29" t="str">
        <x:f>IF(OR(G126="",H126=""),"",G126&amp;"|"&amp;TEXT(H126,"000"))</x:f>
      </x:c>
      <x:c r="J126" s="21"/>
      <x:c r="K126" s="21"/>
      <x:c r="L126" s="21"/>
      <x:c r="M126" s="23"/>
      <x:c r="N126" s="23"/>
      <x:c r="O126" s="23"/>
      <x:c r="P126" s="21"/>
      <x:c r="Q126" s="29" t="str">
        <x:f>IF(P126="","",IFERROR(INDEX(DM_MA_LOI!$B$6:$B$105,MATCH(P126,DM_MA_LOI!$A$6:$A$105,0)),""))</x:f>
      </x:c>
      <x:c r="R126" s="29" t="str">
        <x:f>IF(P126="","",IFERROR(INDEX(DM_MA_LOI!$E$6:$E$105,MATCH(P126,DM_MA_LOI!$A$6:$A$105,0)),""))</x:f>
      </x:c>
      <x:c r="S126" s="29" t="str">
        <x:f>IF(P126="","",IFERROR(INDEX(DM_MA_LOI!$F$6:$F$105,MATCH(P126,DM_MA_LOI!$A$6:$A$105,0)),""))</x:f>
      </x:c>
      <x:c r="T126" s="21"/>
      <x:c r="U126" s="21"/>
      <x:c r="V126" s="21"/>
      <x:c r="W126" s="21"/>
      <x:c r="X126" s="21"/>
      <x:c r="Y126" s="21"/>
      <x:c r="Z126" s="21"/>
      <x:c r="AA126" s="29" t="str">
        <x:f>IF(A126="","",IF(OR(B126="",C126="",D126="",H126="",K126="",L126=""),"Thiếu dữ liệu",IF(M126&lt;&gt;N126+O126,"Sai cân đối SL",IF(AND(O126&gt;0,P126=""),"Thiếu mã lỗi","Hợp lệ"))))</x:f>
      </x:c>
    </x:row>
    <x:row r="127">
      <x:c r="A127" s="21"/>
      <x:c r="B127" s="43"/>
      <x:c r="C127" s="21"/>
      <x:c r="D127" s="21"/>
      <x:c r="E127" s="21"/>
      <x:c r="F127" s="21"/>
      <x:c r="G127" s="29" t="str">
        <x:f>IF(OR(C127="",D127=""),"",C127&amp;"|"&amp;D127&amp;"|"&amp;IF(E127="","00",E127)&amp;"|"&amp;IF(F127="","01",F127))</x:f>
      </x:c>
      <x:c r="H127" s="21"/>
      <x:c r="I127" s="29" t="str">
        <x:f>IF(OR(G127="",H127=""),"",G127&amp;"|"&amp;TEXT(H127,"000"))</x:f>
      </x:c>
      <x:c r="J127" s="21"/>
      <x:c r="K127" s="21"/>
      <x:c r="L127" s="21"/>
      <x:c r="M127" s="23"/>
      <x:c r="N127" s="23"/>
      <x:c r="O127" s="23"/>
      <x:c r="P127" s="21"/>
      <x:c r="Q127" s="29" t="str">
        <x:f>IF(P127="","",IFERROR(INDEX(DM_MA_LOI!$B$6:$B$105,MATCH(P127,DM_MA_LOI!$A$6:$A$105,0)),""))</x:f>
      </x:c>
      <x:c r="R127" s="29" t="str">
        <x:f>IF(P127="","",IFERROR(INDEX(DM_MA_LOI!$E$6:$E$105,MATCH(P127,DM_MA_LOI!$A$6:$A$105,0)),""))</x:f>
      </x:c>
      <x:c r="S127" s="29" t="str">
        <x:f>IF(P127="","",IFERROR(INDEX(DM_MA_LOI!$F$6:$F$105,MATCH(P127,DM_MA_LOI!$A$6:$A$105,0)),""))</x:f>
      </x:c>
      <x:c r="T127" s="21"/>
      <x:c r="U127" s="21"/>
      <x:c r="V127" s="21"/>
      <x:c r="W127" s="21"/>
      <x:c r="X127" s="21"/>
      <x:c r="Y127" s="21"/>
      <x:c r="Z127" s="21"/>
      <x:c r="AA127" s="29" t="str">
        <x:f>IF(A127="","",IF(OR(B127="",C127="",D127="",H127="",K127="",L127=""),"Thiếu dữ liệu",IF(M127&lt;&gt;N127+O127,"Sai cân đối SL",IF(AND(O127&gt;0,P127=""),"Thiếu mã lỗi","Hợp lệ"))))</x:f>
      </x:c>
    </x:row>
    <x:row r="128">
      <x:c r="A128" s="21"/>
      <x:c r="B128" s="43"/>
      <x:c r="C128" s="21"/>
      <x:c r="D128" s="21"/>
      <x:c r="E128" s="21"/>
      <x:c r="F128" s="21"/>
      <x:c r="G128" s="29" t="str">
        <x:f>IF(OR(C128="",D128=""),"",C128&amp;"|"&amp;D128&amp;"|"&amp;IF(E128="","00",E128)&amp;"|"&amp;IF(F128="","01",F128))</x:f>
      </x:c>
      <x:c r="H128" s="21"/>
      <x:c r="I128" s="29" t="str">
        <x:f>IF(OR(G128="",H128=""),"",G128&amp;"|"&amp;TEXT(H128,"000"))</x:f>
      </x:c>
      <x:c r="J128" s="21"/>
      <x:c r="K128" s="21"/>
      <x:c r="L128" s="21"/>
      <x:c r="M128" s="23"/>
      <x:c r="N128" s="23"/>
      <x:c r="O128" s="23"/>
      <x:c r="P128" s="21"/>
      <x:c r="Q128" s="29" t="str">
        <x:f>IF(P128="","",IFERROR(INDEX(DM_MA_LOI!$B$6:$B$105,MATCH(P128,DM_MA_LOI!$A$6:$A$105,0)),""))</x:f>
      </x:c>
      <x:c r="R128" s="29" t="str">
        <x:f>IF(P128="","",IFERROR(INDEX(DM_MA_LOI!$E$6:$E$105,MATCH(P128,DM_MA_LOI!$A$6:$A$105,0)),""))</x:f>
      </x:c>
      <x:c r="S128" s="29" t="str">
        <x:f>IF(P128="","",IFERROR(INDEX(DM_MA_LOI!$F$6:$F$105,MATCH(P128,DM_MA_LOI!$A$6:$A$105,0)),""))</x:f>
      </x:c>
      <x:c r="T128" s="21"/>
      <x:c r="U128" s="21"/>
      <x:c r="V128" s="21"/>
      <x:c r="W128" s="21"/>
      <x:c r="X128" s="21"/>
      <x:c r="Y128" s="21"/>
      <x:c r="Z128" s="21"/>
      <x:c r="AA128" s="29" t="str">
        <x:f>IF(A128="","",IF(OR(B128="",C128="",D128="",H128="",K128="",L128=""),"Thiếu dữ liệu",IF(M128&lt;&gt;N128+O128,"Sai cân đối SL",IF(AND(O128&gt;0,P128=""),"Thiếu mã lỗi","Hợp lệ"))))</x:f>
      </x:c>
    </x:row>
    <x:row r="129">
      <x:c r="A129" s="21"/>
      <x:c r="B129" s="43"/>
      <x:c r="C129" s="21"/>
      <x:c r="D129" s="21"/>
      <x:c r="E129" s="21"/>
      <x:c r="F129" s="21"/>
      <x:c r="G129" s="29" t="str">
        <x:f>IF(OR(C129="",D129=""),"",C129&amp;"|"&amp;D129&amp;"|"&amp;IF(E129="","00",E129)&amp;"|"&amp;IF(F129="","01",F129))</x:f>
      </x:c>
      <x:c r="H129" s="21"/>
      <x:c r="I129" s="29" t="str">
        <x:f>IF(OR(G129="",H129=""),"",G129&amp;"|"&amp;TEXT(H129,"000"))</x:f>
      </x:c>
      <x:c r="J129" s="21"/>
      <x:c r="K129" s="21"/>
      <x:c r="L129" s="21"/>
      <x:c r="M129" s="23"/>
      <x:c r="N129" s="23"/>
      <x:c r="O129" s="23"/>
      <x:c r="P129" s="21"/>
      <x:c r="Q129" s="29" t="str">
        <x:f>IF(P129="","",IFERROR(INDEX(DM_MA_LOI!$B$6:$B$105,MATCH(P129,DM_MA_LOI!$A$6:$A$105,0)),""))</x:f>
      </x:c>
      <x:c r="R129" s="29" t="str">
        <x:f>IF(P129="","",IFERROR(INDEX(DM_MA_LOI!$E$6:$E$105,MATCH(P129,DM_MA_LOI!$A$6:$A$105,0)),""))</x:f>
      </x:c>
      <x:c r="S129" s="29" t="str">
        <x:f>IF(P129="","",IFERROR(INDEX(DM_MA_LOI!$F$6:$F$105,MATCH(P129,DM_MA_LOI!$A$6:$A$105,0)),""))</x:f>
      </x:c>
      <x:c r="T129" s="21"/>
      <x:c r="U129" s="21"/>
      <x:c r="V129" s="21"/>
      <x:c r="W129" s="21"/>
      <x:c r="X129" s="21"/>
      <x:c r="Y129" s="21"/>
      <x:c r="Z129" s="21"/>
      <x:c r="AA129" s="29" t="str">
        <x:f>IF(A129="","",IF(OR(B129="",C129="",D129="",H129="",K129="",L129=""),"Thiếu dữ liệu",IF(M129&lt;&gt;N129+O129,"Sai cân đối SL",IF(AND(O129&gt;0,P129=""),"Thiếu mã lỗi","Hợp lệ"))))</x:f>
      </x:c>
    </x:row>
    <x:row r="130">
      <x:c r="A130" s="21"/>
      <x:c r="B130" s="43"/>
      <x:c r="C130" s="21"/>
      <x:c r="D130" s="21"/>
      <x:c r="E130" s="21"/>
      <x:c r="F130" s="21"/>
      <x:c r="G130" s="29" t="str">
        <x:f>IF(OR(C130="",D130=""),"",C130&amp;"|"&amp;D130&amp;"|"&amp;IF(E130="","00",E130)&amp;"|"&amp;IF(F130="","01",F130))</x:f>
      </x:c>
      <x:c r="H130" s="21"/>
      <x:c r="I130" s="29" t="str">
        <x:f>IF(OR(G130="",H130=""),"",G130&amp;"|"&amp;TEXT(H130,"000"))</x:f>
      </x:c>
      <x:c r="J130" s="21"/>
      <x:c r="K130" s="21"/>
      <x:c r="L130" s="21"/>
      <x:c r="M130" s="23"/>
      <x:c r="N130" s="23"/>
      <x:c r="O130" s="23"/>
      <x:c r="P130" s="21"/>
      <x:c r="Q130" s="29" t="str">
        <x:f>IF(P130="","",IFERROR(INDEX(DM_MA_LOI!$B$6:$B$105,MATCH(P130,DM_MA_LOI!$A$6:$A$105,0)),""))</x:f>
      </x:c>
      <x:c r="R130" s="29" t="str">
        <x:f>IF(P130="","",IFERROR(INDEX(DM_MA_LOI!$E$6:$E$105,MATCH(P130,DM_MA_LOI!$A$6:$A$105,0)),""))</x:f>
      </x:c>
      <x:c r="S130" s="29" t="str">
        <x:f>IF(P130="","",IFERROR(INDEX(DM_MA_LOI!$F$6:$F$105,MATCH(P130,DM_MA_LOI!$A$6:$A$105,0)),""))</x:f>
      </x:c>
      <x:c r="T130" s="21"/>
      <x:c r="U130" s="21"/>
      <x:c r="V130" s="21"/>
      <x:c r="W130" s="21"/>
      <x:c r="X130" s="21"/>
      <x:c r="Y130" s="21"/>
      <x:c r="Z130" s="21"/>
      <x:c r="AA130" s="29" t="str">
        <x:f>IF(A130="","",IF(OR(B130="",C130="",D130="",H130="",K130="",L130=""),"Thiếu dữ liệu",IF(M130&lt;&gt;N130+O130,"Sai cân đối SL",IF(AND(O130&gt;0,P130=""),"Thiếu mã lỗi","Hợp lệ"))))</x:f>
      </x:c>
    </x:row>
    <x:row r="131">
      <x:c r="A131" s="21"/>
      <x:c r="B131" s="43"/>
      <x:c r="C131" s="21"/>
      <x:c r="D131" s="21"/>
      <x:c r="E131" s="21"/>
      <x:c r="F131" s="21"/>
      <x:c r="G131" s="29" t="str">
        <x:f>IF(OR(C131="",D131=""),"",C131&amp;"|"&amp;D131&amp;"|"&amp;IF(E131="","00",E131)&amp;"|"&amp;IF(F131="","01",F131))</x:f>
      </x:c>
      <x:c r="H131" s="21"/>
      <x:c r="I131" s="29" t="str">
        <x:f>IF(OR(G131="",H131=""),"",G131&amp;"|"&amp;TEXT(H131,"000"))</x:f>
      </x:c>
      <x:c r="J131" s="21"/>
      <x:c r="K131" s="21"/>
      <x:c r="L131" s="21"/>
      <x:c r="M131" s="23"/>
      <x:c r="N131" s="23"/>
      <x:c r="O131" s="23"/>
      <x:c r="P131" s="21"/>
      <x:c r="Q131" s="29" t="str">
        <x:f>IF(P131="","",IFERROR(INDEX(DM_MA_LOI!$B$6:$B$105,MATCH(P131,DM_MA_LOI!$A$6:$A$105,0)),""))</x:f>
      </x:c>
      <x:c r="R131" s="29" t="str">
        <x:f>IF(P131="","",IFERROR(INDEX(DM_MA_LOI!$E$6:$E$105,MATCH(P131,DM_MA_LOI!$A$6:$A$105,0)),""))</x:f>
      </x:c>
      <x:c r="S131" s="29" t="str">
        <x:f>IF(P131="","",IFERROR(INDEX(DM_MA_LOI!$F$6:$F$105,MATCH(P131,DM_MA_LOI!$A$6:$A$105,0)),""))</x:f>
      </x:c>
      <x:c r="T131" s="21"/>
      <x:c r="U131" s="21"/>
      <x:c r="V131" s="21"/>
      <x:c r="W131" s="21"/>
      <x:c r="X131" s="21"/>
      <x:c r="Y131" s="21"/>
      <x:c r="Z131" s="21"/>
      <x:c r="AA131" s="29" t="str">
        <x:f>IF(A131="","",IF(OR(B131="",C131="",D131="",H131="",K131="",L131=""),"Thiếu dữ liệu",IF(M131&lt;&gt;N131+O131,"Sai cân đối SL",IF(AND(O131&gt;0,P131=""),"Thiếu mã lỗi","Hợp lệ"))))</x:f>
      </x:c>
    </x:row>
    <x:row r="132">
      <x:c r="A132" s="21"/>
      <x:c r="B132" s="43"/>
      <x:c r="C132" s="21"/>
      <x:c r="D132" s="21"/>
      <x:c r="E132" s="21"/>
      <x:c r="F132" s="21"/>
      <x:c r="G132" s="29" t="str">
        <x:f>IF(OR(C132="",D132=""),"",C132&amp;"|"&amp;D132&amp;"|"&amp;IF(E132="","00",E132)&amp;"|"&amp;IF(F132="","01",F132))</x:f>
      </x:c>
      <x:c r="H132" s="21"/>
      <x:c r="I132" s="29" t="str">
        <x:f>IF(OR(G132="",H132=""),"",G132&amp;"|"&amp;TEXT(H132,"000"))</x:f>
      </x:c>
      <x:c r="J132" s="21"/>
      <x:c r="K132" s="21"/>
      <x:c r="L132" s="21"/>
      <x:c r="M132" s="23"/>
      <x:c r="N132" s="23"/>
      <x:c r="O132" s="23"/>
      <x:c r="P132" s="21"/>
      <x:c r="Q132" s="29" t="str">
        <x:f>IF(P132="","",IFERROR(INDEX(DM_MA_LOI!$B$6:$B$105,MATCH(P132,DM_MA_LOI!$A$6:$A$105,0)),""))</x:f>
      </x:c>
      <x:c r="R132" s="29" t="str">
        <x:f>IF(P132="","",IFERROR(INDEX(DM_MA_LOI!$E$6:$E$105,MATCH(P132,DM_MA_LOI!$A$6:$A$105,0)),""))</x:f>
      </x:c>
      <x:c r="S132" s="29" t="str">
        <x:f>IF(P132="","",IFERROR(INDEX(DM_MA_LOI!$F$6:$F$105,MATCH(P132,DM_MA_LOI!$A$6:$A$105,0)),""))</x:f>
      </x:c>
      <x:c r="T132" s="21"/>
      <x:c r="U132" s="21"/>
      <x:c r="V132" s="21"/>
      <x:c r="W132" s="21"/>
      <x:c r="X132" s="21"/>
      <x:c r="Y132" s="21"/>
      <x:c r="Z132" s="21"/>
      <x:c r="AA132" s="29" t="str">
        <x:f>IF(A132="","",IF(OR(B132="",C132="",D132="",H132="",K132="",L132=""),"Thiếu dữ liệu",IF(M132&lt;&gt;N132+O132,"Sai cân đối SL",IF(AND(O132&gt;0,P132=""),"Thiếu mã lỗi","Hợp lệ"))))</x:f>
      </x:c>
    </x:row>
    <x:row r="133">
      <x:c r="A133" s="21"/>
      <x:c r="B133" s="43"/>
      <x:c r="C133" s="21"/>
      <x:c r="D133" s="21"/>
      <x:c r="E133" s="21"/>
      <x:c r="F133" s="21"/>
      <x:c r="G133" s="29" t="str">
        <x:f>IF(OR(C133="",D133=""),"",C133&amp;"|"&amp;D133&amp;"|"&amp;IF(E133="","00",E133)&amp;"|"&amp;IF(F133="","01",F133))</x:f>
      </x:c>
      <x:c r="H133" s="21"/>
      <x:c r="I133" s="29" t="str">
        <x:f>IF(OR(G133="",H133=""),"",G133&amp;"|"&amp;TEXT(H133,"000"))</x:f>
      </x:c>
      <x:c r="J133" s="21"/>
      <x:c r="K133" s="21"/>
      <x:c r="L133" s="21"/>
      <x:c r="M133" s="23"/>
      <x:c r="N133" s="23"/>
      <x:c r="O133" s="23"/>
      <x:c r="P133" s="21"/>
      <x:c r="Q133" s="29" t="str">
        <x:f>IF(P133="","",IFERROR(INDEX(DM_MA_LOI!$B$6:$B$105,MATCH(P133,DM_MA_LOI!$A$6:$A$105,0)),""))</x:f>
      </x:c>
      <x:c r="R133" s="29" t="str">
        <x:f>IF(P133="","",IFERROR(INDEX(DM_MA_LOI!$E$6:$E$105,MATCH(P133,DM_MA_LOI!$A$6:$A$105,0)),""))</x:f>
      </x:c>
      <x:c r="S133" s="29" t="str">
        <x:f>IF(P133="","",IFERROR(INDEX(DM_MA_LOI!$F$6:$F$105,MATCH(P133,DM_MA_LOI!$A$6:$A$105,0)),""))</x:f>
      </x:c>
      <x:c r="T133" s="21"/>
      <x:c r="U133" s="21"/>
      <x:c r="V133" s="21"/>
      <x:c r="W133" s="21"/>
      <x:c r="X133" s="21"/>
      <x:c r="Y133" s="21"/>
      <x:c r="Z133" s="21"/>
      <x:c r="AA133" s="29" t="str">
        <x:f>IF(A133="","",IF(OR(B133="",C133="",D133="",H133="",K133="",L133=""),"Thiếu dữ liệu",IF(M133&lt;&gt;N133+O133,"Sai cân đối SL",IF(AND(O133&gt;0,P133=""),"Thiếu mã lỗi","Hợp lệ"))))</x:f>
      </x:c>
    </x:row>
    <x:row r="134">
      <x:c r="A134" s="21"/>
      <x:c r="B134" s="43"/>
      <x:c r="C134" s="21"/>
      <x:c r="D134" s="21"/>
      <x:c r="E134" s="21"/>
      <x:c r="F134" s="21"/>
      <x:c r="G134" s="29" t="str">
        <x:f>IF(OR(C134="",D134=""),"",C134&amp;"|"&amp;D134&amp;"|"&amp;IF(E134="","00",E134)&amp;"|"&amp;IF(F134="","01",F134))</x:f>
      </x:c>
      <x:c r="H134" s="21"/>
      <x:c r="I134" s="29" t="str">
        <x:f>IF(OR(G134="",H134=""),"",G134&amp;"|"&amp;TEXT(H134,"000"))</x:f>
      </x:c>
      <x:c r="J134" s="21"/>
      <x:c r="K134" s="21"/>
      <x:c r="L134" s="21"/>
      <x:c r="M134" s="23"/>
      <x:c r="N134" s="23"/>
      <x:c r="O134" s="23"/>
      <x:c r="P134" s="21"/>
      <x:c r="Q134" s="29" t="str">
        <x:f>IF(P134="","",IFERROR(INDEX(DM_MA_LOI!$B$6:$B$105,MATCH(P134,DM_MA_LOI!$A$6:$A$105,0)),""))</x:f>
      </x:c>
      <x:c r="R134" s="29" t="str">
        <x:f>IF(P134="","",IFERROR(INDEX(DM_MA_LOI!$E$6:$E$105,MATCH(P134,DM_MA_LOI!$A$6:$A$105,0)),""))</x:f>
      </x:c>
      <x:c r="S134" s="29" t="str">
        <x:f>IF(P134="","",IFERROR(INDEX(DM_MA_LOI!$F$6:$F$105,MATCH(P134,DM_MA_LOI!$A$6:$A$105,0)),""))</x:f>
      </x:c>
      <x:c r="T134" s="21"/>
      <x:c r="U134" s="21"/>
      <x:c r="V134" s="21"/>
      <x:c r="W134" s="21"/>
      <x:c r="X134" s="21"/>
      <x:c r="Y134" s="21"/>
      <x:c r="Z134" s="21"/>
      <x:c r="AA134" s="29" t="str">
        <x:f>IF(A134="","",IF(OR(B134="",C134="",D134="",H134="",K134="",L134=""),"Thiếu dữ liệu",IF(M134&lt;&gt;N134+O134,"Sai cân đối SL",IF(AND(O134&gt;0,P134=""),"Thiếu mã lỗi","Hợp lệ"))))</x:f>
      </x:c>
    </x:row>
    <x:row r="135">
      <x:c r="A135" s="21"/>
      <x:c r="B135" s="43"/>
      <x:c r="C135" s="21"/>
      <x:c r="D135" s="21"/>
      <x:c r="E135" s="21"/>
      <x:c r="F135" s="21"/>
      <x:c r="G135" s="29" t="str">
        <x:f>IF(OR(C135="",D135=""),"",C135&amp;"|"&amp;D135&amp;"|"&amp;IF(E135="","00",E135)&amp;"|"&amp;IF(F135="","01",F135))</x:f>
      </x:c>
      <x:c r="H135" s="21"/>
      <x:c r="I135" s="29" t="str">
        <x:f>IF(OR(G135="",H135=""),"",G135&amp;"|"&amp;TEXT(H135,"000"))</x:f>
      </x:c>
      <x:c r="J135" s="21"/>
      <x:c r="K135" s="21"/>
      <x:c r="L135" s="21"/>
      <x:c r="M135" s="23"/>
      <x:c r="N135" s="23"/>
      <x:c r="O135" s="23"/>
      <x:c r="P135" s="21"/>
      <x:c r="Q135" s="29" t="str">
        <x:f>IF(P135="","",IFERROR(INDEX(DM_MA_LOI!$B$6:$B$105,MATCH(P135,DM_MA_LOI!$A$6:$A$105,0)),""))</x:f>
      </x:c>
      <x:c r="R135" s="29" t="str">
        <x:f>IF(P135="","",IFERROR(INDEX(DM_MA_LOI!$E$6:$E$105,MATCH(P135,DM_MA_LOI!$A$6:$A$105,0)),""))</x:f>
      </x:c>
      <x:c r="S135" s="29" t="str">
        <x:f>IF(P135="","",IFERROR(INDEX(DM_MA_LOI!$F$6:$F$105,MATCH(P135,DM_MA_LOI!$A$6:$A$105,0)),""))</x:f>
      </x:c>
      <x:c r="T135" s="21"/>
      <x:c r="U135" s="21"/>
      <x:c r="V135" s="21"/>
      <x:c r="W135" s="21"/>
      <x:c r="X135" s="21"/>
      <x:c r="Y135" s="21"/>
      <x:c r="Z135" s="21"/>
      <x:c r="AA135" s="29" t="str">
        <x:f>IF(A135="","",IF(OR(B135="",C135="",D135="",H135="",K135="",L135=""),"Thiếu dữ liệu",IF(M135&lt;&gt;N135+O135,"Sai cân đối SL",IF(AND(O135&gt;0,P135=""),"Thiếu mã lỗi","Hợp lệ"))))</x:f>
      </x:c>
    </x:row>
    <x:row r="136">
      <x:c r="A136" s="21"/>
      <x:c r="B136" s="43"/>
      <x:c r="C136" s="21"/>
      <x:c r="D136" s="21"/>
      <x:c r="E136" s="21"/>
      <x:c r="F136" s="21"/>
      <x:c r="G136" s="29" t="str">
        <x:f>IF(OR(C136="",D136=""),"",C136&amp;"|"&amp;D136&amp;"|"&amp;IF(E136="","00",E136)&amp;"|"&amp;IF(F136="","01",F136))</x:f>
      </x:c>
      <x:c r="H136" s="21"/>
      <x:c r="I136" s="29" t="str">
        <x:f>IF(OR(G136="",H136=""),"",G136&amp;"|"&amp;TEXT(H136,"000"))</x:f>
      </x:c>
      <x:c r="J136" s="21"/>
      <x:c r="K136" s="21"/>
      <x:c r="L136" s="21"/>
      <x:c r="M136" s="23"/>
      <x:c r="N136" s="23"/>
      <x:c r="O136" s="23"/>
      <x:c r="P136" s="21"/>
      <x:c r="Q136" s="29" t="str">
        <x:f>IF(P136="","",IFERROR(INDEX(DM_MA_LOI!$B$6:$B$105,MATCH(P136,DM_MA_LOI!$A$6:$A$105,0)),""))</x:f>
      </x:c>
      <x:c r="R136" s="29" t="str">
        <x:f>IF(P136="","",IFERROR(INDEX(DM_MA_LOI!$E$6:$E$105,MATCH(P136,DM_MA_LOI!$A$6:$A$105,0)),""))</x:f>
      </x:c>
      <x:c r="S136" s="29" t="str">
        <x:f>IF(P136="","",IFERROR(INDEX(DM_MA_LOI!$F$6:$F$105,MATCH(P136,DM_MA_LOI!$A$6:$A$105,0)),""))</x:f>
      </x:c>
      <x:c r="T136" s="21"/>
      <x:c r="U136" s="21"/>
      <x:c r="V136" s="21"/>
      <x:c r="W136" s="21"/>
      <x:c r="X136" s="21"/>
      <x:c r="Y136" s="21"/>
      <x:c r="Z136" s="21"/>
      <x:c r="AA136" s="29" t="str">
        <x:f>IF(A136="","",IF(OR(B136="",C136="",D136="",H136="",K136="",L136=""),"Thiếu dữ liệu",IF(M136&lt;&gt;N136+O136,"Sai cân đối SL",IF(AND(O136&gt;0,P136=""),"Thiếu mã lỗi","Hợp lệ"))))</x:f>
      </x:c>
    </x:row>
    <x:row r="137">
      <x:c r="A137" s="21"/>
      <x:c r="B137" s="43"/>
      <x:c r="C137" s="21"/>
      <x:c r="D137" s="21"/>
      <x:c r="E137" s="21"/>
      <x:c r="F137" s="21"/>
      <x:c r="G137" s="29" t="str">
        <x:f>IF(OR(C137="",D137=""),"",C137&amp;"|"&amp;D137&amp;"|"&amp;IF(E137="","00",E137)&amp;"|"&amp;IF(F137="","01",F137))</x:f>
      </x:c>
      <x:c r="H137" s="21"/>
      <x:c r="I137" s="29" t="str">
        <x:f>IF(OR(G137="",H137=""),"",G137&amp;"|"&amp;TEXT(H137,"000"))</x:f>
      </x:c>
      <x:c r="J137" s="21"/>
      <x:c r="K137" s="21"/>
      <x:c r="L137" s="21"/>
      <x:c r="M137" s="23"/>
      <x:c r="N137" s="23"/>
      <x:c r="O137" s="23"/>
      <x:c r="P137" s="21"/>
      <x:c r="Q137" s="29" t="str">
        <x:f>IF(P137="","",IFERROR(INDEX(DM_MA_LOI!$B$6:$B$105,MATCH(P137,DM_MA_LOI!$A$6:$A$105,0)),""))</x:f>
      </x:c>
      <x:c r="R137" s="29" t="str">
        <x:f>IF(P137="","",IFERROR(INDEX(DM_MA_LOI!$E$6:$E$105,MATCH(P137,DM_MA_LOI!$A$6:$A$105,0)),""))</x:f>
      </x:c>
      <x:c r="S137" s="29" t="str">
        <x:f>IF(P137="","",IFERROR(INDEX(DM_MA_LOI!$F$6:$F$105,MATCH(P137,DM_MA_LOI!$A$6:$A$105,0)),""))</x:f>
      </x:c>
      <x:c r="T137" s="21"/>
      <x:c r="U137" s="21"/>
      <x:c r="V137" s="21"/>
      <x:c r="W137" s="21"/>
      <x:c r="X137" s="21"/>
      <x:c r="Y137" s="21"/>
      <x:c r="Z137" s="21"/>
      <x:c r="AA137" s="29" t="str">
        <x:f>IF(A137="","",IF(OR(B137="",C137="",D137="",H137="",K137="",L137=""),"Thiếu dữ liệu",IF(M137&lt;&gt;N137+O137,"Sai cân đối SL",IF(AND(O137&gt;0,P137=""),"Thiếu mã lỗi","Hợp lệ"))))</x:f>
      </x:c>
    </x:row>
    <x:row r="138">
      <x:c r="A138" s="21"/>
      <x:c r="B138" s="43"/>
      <x:c r="C138" s="21"/>
      <x:c r="D138" s="21"/>
      <x:c r="E138" s="21"/>
      <x:c r="F138" s="21"/>
      <x:c r="G138" s="29" t="str">
        <x:f>IF(OR(C138="",D138=""),"",C138&amp;"|"&amp;D138&amp;"|"&amp;IF(E138="","00",E138)&amp;"|"&amp;IF(F138="","01",F138))</x:f>
      </x:c>
      <x:c r="H138" s="21"/>
      <x:c r="I138" s="29" t="str">
        <x:f>IF(OR(G138="",H138=""),"",G138&amp;"|"&amp;TEXT(H138,"000"))</x:f>
      </x:c>
      <x:c r="J138" s="21"/>
      <x:c r="K138" s="21"/>
      <x:c r="L138" s="21"/>
      <x:c r="M138" s="23"/>
      <x:c r="N138" s="23"/>
      <x:c r="O138" s="23"/>
      <x:c r="P138" s="21"/>
      <x:c r="Q138" s="29" t="str">
        <x:f>IF(P138="","",IFERROR(INDEX(DM_MA_LOI!$B$6:$B$105,MATCH(P138,DM_MA_LOI!$A$6:$A$105,0)),""))</x:f>
      </x:c>
      <x:c r="R138" s="29" t="str">
        <x:f>IF(P138="","",IFERROR(INDEX(DM_MA_LOI!$E$6:$E$105,MATCH(P138,DM_MA_LOI!$A$6:$A$105,0)),""))</x:f>
      </x:c>
      <x:c r="S138" s="29" t="str">
        <x:f>IF(P138="","",IFERROR(INDEX(DM_MA_LOI!$F$6:$F$105,MATCH(P138,DM_MA_LOI!$A$6:$A$105,0)),""))</x:f>
      </x:c>
      <x:c r="T138" s="21"/>
      <x:c r="U138" s="21"/>
      <x:c r="V138" s="21"/>
      <x:c r="W138" s="21"/>
      <x:c r="X138" s="21"/>
      <x:c r="Y138" s="21"/>
      <x:c r="Z138" s="21"/>
      <x:c r="AA138" s="29" t="str">
        <x:f>IF(A138="","",IF(OR(B138="",C138="",D138="",H138="",K138="",L138=""),"Thiếu dữ liệu",IF(M138&lt;&gt;N138+O138,"Sai cân đối SL",IF(AND(O138&gt;0,P138=""),"Thiếu mã lỗi","Hợp lệ"))))</x:f>
      </x:c>
    </x:row>
    <x:row r="139">
      <x:c r="A139" s="21"/>
      <x:c r="B139" s="43"/>
      <x:c r="C139" s="21"/>
      <x:c r="D139" s="21"/>
      <x:c r="E139" s="21"/>
      <x:c r="F139" s="21"/>
      <x:c r="G139" s="29" t="str">
        <x:f>IF(OR(C139="",D139=""),"",C139&amp;"|"&amp;D139&amp;"|"&amp;IF(E139="","00",E139)&amp;"|"&amp;IF(F139="","01",F139))</x:f>
      </x:c>
      <x:c r="H139" s="21"/>
      <x:c r="I139" s="29" t="str">
        <x:f>IF(OR(G139="",H139=""),"",G139&amp;"|"&amp;TEXT(H139,"000"))</x:f>
      </x:c>
      <x:c r="J139" s="21"/>
      <x:c r="K139" s="21"/>
      <x:c r="L139" s="21"/>
      <x:c r="M139" s="23"/>
      <x:c r="N139" s="23"/>
      <x:c r="O139" s="23"/>
      <x:c r="P139" s="21"/>
      <x:c r="Q139" s="29" t="str">
        <x:f>IF(P139="","",IFERROR(INDEX(DM_MA_LOI!$B$6:$B$105,MATCH(P139,DM_MA_LOI!$A$6:$A$105,0)),""))</x:f>
      </x:c>
      <x:c r="R139" s="29" t="str">
        <x:f>IF(P139="","",IFERROR(INDEX(DM_MA_LOI!$E$6:$E$105,MATCH(P139,DM_MA_LOI!$A$6:$A$105,0)),""))</x:f>
      </x:c>
      <x:c r="S139" s="29" t="str">
        <x:f>IF(P139="","",IFERROR(INDEX(DM_MA_LOI!$F$6:$F$105,MATCH(P139,DM_MA_LOI!$A$6:$A$105,0)),""))</x:f>
      </x:c>
      <x:c r="T139" s="21"/>
      <x:c r="U139" s="21"/>
      <x:c r="V139" s="21"/>
      <x:c r="W139" s="21"/>
      <x:c r="X139" s="21"/>
      <x:c r="Y139" s="21"/>
      <x:c r="Z139" s="21"/>
      <x:c r="AA139" s="29" t="str">
        <x:f>IF(A139="","",IF(OR(B139="",C139="",D139="",H139="",K139="",L139=""),"Thiếu dữ liệu",IF(M139&lt;&gt;N139+O139,"Sai cân đối SL",IF(AND(O139&gt;0,P139=""),"Thiếu mã lỗi","Hợp lệ"))))</x:f>
      </x:c>
    </x:row>
    <x:row r="140">
      <x:c r="A140" s="21"/>
      <x:c r="B140" s="43"/>
      <x:c r="C140" s="21"/>
      <x:c r="D140" s="21"/>
      <x:c r="E140" s="21"/>
      <x:c r="F140" s="21"/>
      <x:c r="G140" s="29" t="str">
        <x:f>IF(OR(C140="",D140=""),"",C140&amp;"|"&amp;D140&amp;"|"&amp;IF(E140="","00",E140)&amp;"|"&amp;IF(F140="","01",F140))</x:f>
      </x:c>
      <x:c r="H140" s="21"/>
      <x:c r="I140" s="29" t="str">
        <x:f>IF(OR(G140="",H140=""),"",G140&amp;"|"&amp;TEXT(H140,"000"))</x:f>
      </x:c>
      <x:c r="J140" s="21"/>
      <x:c r="K140" s="21"/>
      <x:c r="L140" s="21"/>
      <x:c r="M140" s="23"/>
      <x:c r="N140" s="23"/>
      <x:c r="O140" s="23"/>
      <x:c r="P140" s="21"/>
      <x:c r="Q140" s="29" t="str">
        <x:f>IF(P140="","",IFERROR(INDEX(DM_MA_LOI!$B$6:$B$105,MATCH(P140,DM_MA_LOI!$A$6:$A$105,0)),""))</x:f>
      </x:c>
      <x:c r="R140" s="29" t="str">
        <x:f>IF(P140="","",IFERROR(INDEX(DM_MA_LOI!$E$6:$E$105,MATCH(P140,DM_MA_LOI!$A$6:$A$105,0)),""))</x:f>
      </x:c>
      <x:c r="S140" s="29" t="str">
        <x:f>IF(P140="","",IFERROR(INDEX(DM_MA_LOI!$F$6:$F$105,MATCH(P140,DM_MA_LOI!$A$6:$A$105,0)),""))</x:f>
      </x:c>
      <x:c r="T140" s="21"/>
      <x:c r="U140" s="21"/>
      <x:c r="V140" s="21"/>
      <x:c r="W140" s="21"/>
      <x:c r="X140" s="21"/>
      <x:c r="Y140" s="21"/>
      <x:c r="Z140" s="21"/>
      <x:c r="AA140" s="29" t="str">
        <x:f>IF(A140="","",IF(OR(B140="",C140="",D140="",H140="",K140="",L140=""),"Thiếu dữ liệu",IF(M140&lt;&gt;N140+O140,"Sai cân đối SL",IF(AND(O140&gt;0,P140=""),"Thiếu mã lỗi","Hợp lệ"))))</x:f>
      </x:c>
    </x:row>
    <x:row r="141">
      <x:c r="A141" s="21"/>
      <x:c r="B141" s="43"/>
      <x:c r="C141" s="21"/>
      <x:c r="D141" s="21"/>
      <x:c r="E141" s="21"/>
      <x:c r="F141" s="21"/>
      <x:c r="G141" s="29" t="str">
        <x:f>IF(OR(C141="",D141=""),"",C141&amp;"|"&amp;D141&amp;"|"&amp;IF(E141="","00",E141)&amp;"|"&amp;IF(F141="","01",F141))</x:f>
      </x:c>
      <x:c r="H141" s="21"/>
      <x:c r="I141" s="29" t="str">
        <x:f>IF(OR(G141="",H141=""),"",G141&amp;"|"&amp;TEXT(H141,"000"))</x:f>
      </x:c>
      <x:c r="J141" s="21"/>
      <x:c r="K141" s="21"/>
      <x:c r="L141" s="21"/>
      <x:c r="M141" s="23"/>
      <x:c r="N141" s="23"/>
      <x:c r="O141" s="23"/>
      <x:c r="P141" s="21"/>
      <x:c r="Q141" s="29" t="str">
        <x:f>IF(P141="","",IFERROR(INDEX(DM_MA_LOI!$B$6:$B$105,MATCH(P141,DM_MA_LOI!$A$6:$A$105,0)),""))</x:f>
      </x:c>
      <x:c r="R141" s="29" t="str">
        <x:f>IF(P141="","",IFERROR(INDEX(DM_MA_LOI!$E$6:$E$105,MATCH(P141,DM_MA_LOI!$A$6:$A$105,0)),""))</x:f>
      </x:c>
      <x:c r="S141" s="29" t="str">
        <x:f>IF(P141="","",IFERROR(INDEX(DM_MA_LOI!$F$6:$F$105,MATCH(P141,DM_MA_LOI!$A$6:$A$105,0)),""))</x:f>
      </x:c>
      <x:c r="T141" s="21"/>
      <x:c r="U141" s="21"/>
      <x:c r="V141" s="21"/>
      <x:c r="W141" s="21"/>
      <x:c r="X141" s="21"/>
      <x:c r="Y141" s="21"/>
      <x:c r="Z141" s="21"/>
      <x:c r="AA141" s="29" t="str">
        <x:f>IF(A141="","",IF(OR(B141="",C141="",D141="",H141="",K141="",L141=""),"Thiếu dữ liệu",IF(M141&lt;&gt;N141+O141,"Sai cân đối SL",IF(AND(O141&gt;0,P141=""),"Thiếu mã lỗi","Hợp lệ"))))</x:f>
      </x:c>
    </x:row>
    <x:row r="142">
      <x:c r="A142" s="21"/>
      <x:c r="B142" s="43"/>
      <x:c r="C142" s="21"/>
      <x:c r="D142" s="21"/>
      <x:c r="E142" s="21"/>
      <x:c r="F142" s="21"/>
      <x:c r="G142" s="29" t="str">
        <x:f>IF(OR(C142="",D142=""),"",C142&amp;"|"&amp;D142&amp;"|"&amp;IF(E142="","00",E142)&amp;"|"&amp;IF(F142="","01",F142))</x:f>
      </x:c>
      <x:c r="H142" s="21"/>
      <x:c r="I142" s="29" t="str">
        <x:f>IF(OR(G142="",H142=""),"",G142&amp;"|"&amp;TEXT(H142,"000"))</x:f>
      </x:c>
      <x:c r="J142" s="21"/>
      <x:c r="K142" s="21"/>
      <x:c r="L142" s="21"/>
      <x:c r="M142" s="23"/>
      <x:c r="N142" s="23"/>
      <x:c r="O142" s="23"/>
      <x:c r="P142" s="21"/>
      <x:c r="Q142" s="29" t="str">
        <x:f>IF(P142="","",IFERROR(INDEX(DM_MA_LOI!$B$6:$B$105,MATCH(P142,DM_MA_LOI!$A$6:$A$105,0)),""))</x:f>
      </x:c>
      <x:c r="R142" s="29" t="str">
        <x:f>IF(P142="","",IFERROR(INDEX(DM_MA_LOI!$E$6:$E$105,MATCH(P142,DM_MA_LOI!$A$6:$A$105,0)),""))</x:f>
      </x:c>
      <x:c r="S142" s="29" t="str">
        <x:f>IF(P142="","",IFERROR(INDEX(DM_MA_LOI!$F$6:$F$105,MATCH(P142,DM_MA_LOI!$A$6:$A$105,0)),""))</x:f>
      </x:c>
      <x:c r="T142" s="21"/>
      <x:c r="U142" s="21"/>
      <x:c r="V142" s="21"/>
      <x:c r="W142" s="21"/>
      <x:c r="X142" s="21"/>
      <x:c r="Y142" s="21"/>
      <x:c r="Z142" s="21"/>
      <x:c r="AA142" s="29" t="str">
        <x:f>IF(A142="","",IF(OR(B142="",C142="",D142="",H142="",K142="",L142=""),"Thiếu dữ liệu",IF(M142&lt;&gt;N142+O142,"Sai cân đối SL",IF(AND(O142&gt;0,P142=""),"Thiếu mã lỗi","Hợp lệ"))))</x:f>
      </x:c>
    </x:row>
    <x:row r="143">
      <x:c r="A143" s="21"/>
      <x:c r="B143" s="43"/>
      <x:c r="C143" s="21"/>
      <x:c r="D143" s="21"/>
      <x:c r="E143" s="21"/>
      <x:c r="F143" s="21"/>
      <x:c r="G143" s="29" t="str">
        <x:f>IF(OR(C143="",D143=""),"",C143&amp;"|"&amp;D143&amp;"|"&amp;IF(E143="","00",E143)&amp;"|"&amp;IF(F143="","01",F143))</x:f>
      </x:c>
      <x:c r="H143" s="21"/>
      <x:c r="I143" s="29" t="str">
        <x:f>IF(OR(G143="",H143=""),"",G143&amp;"|"&amp;TEXT(H143,"000"))</x:f>
      </x:c>
      <x:c r="J143" s="21"/>
      <x:c r="K143" s="21"/>
      <x:c r="L143" s="21"/>
      <x:c r="M143" s="23"/>
      <x:c r="N143" s="23"/>
      <x:c r="O143" s="23"/>
      <x:c r="P143" s="21"/>
      <x:c r="Q143" s="29" t="str">
        <x:f>IF(P143="","",IFERROR(INDEX(DM_MA_LOI!$B$6:$B$105,MATCH(P143,DM_MA_LOI!$A$6:$A$105,0)),""))</x:f>
      </x:c>
      <x:c r="R143" s="29" t="str">
        <x:f>IF(P143="","",IFERROR(INDEX(DM_MA_LOI!$E$6:$E$105,MATCH(P143,DM_MA_LOI!$A$6:$A$105,0)),""))</x:f>
      </x:c>
      <x:c r="S143" s="29" t="str">
        <x:f>IF(P143="","",IFERROR(INDEX(DM_MA_LOI!$F$6:$F$105,MATCH(P143,DM_MA_LOI!$A$6:$A$105,0)),""))</x:f>
      </x:c>
      <x:c r="T143" s="21"/>
      <x:c r="U143" s="21"/>
      <x:c r="V143" s="21"/>
      <x:c r="W143" s="21"/>
      <x:c r="X143" s="21"/>
      <x:c r="Y143" s="21"/>
      <x:c r="Z143" s="21"/>
      <x:c r="AA143" s="29" t="str">
        <x:f>IF(A143="","",IF(OR(B143="",C143="",D143="",H143="",K143="",L143=""),"Thiếu dữ liệu",IF(M143&lt;&gt;N143+O143,"Sai cân đối SL",IF(AND(O143&gt;0,P143=""),"Thiếu mã lỗi","Hợp lệ"))))</x:f>
      </x:c>
    </x:row>
    <x:row r="144">
      <x:c r="A144" s="21"/>
      <x:c r="B144" s="43"/>
      <x:c r="C144" s="21"/>
      <x:c r="D144" s="21"/>
      <x:c r="E144" s="21"/>
      <x:c r="F144" s="21"/>
      <x:c r="G144" s="29" t="str">
        <x:f>IF(OR(C144="",D144=""),"",C144&amp;"|"&amp;D144&amp;"|"&amp;IF(E144="","00",E144)&amp;"|"&amp;IF(F144="","01",F144))</x:f>
      </x:c>
      <x:c r="H144" s="21"/>
      <x:c r="I144" s="29" t="str">
        <x:f>IF(OR(G144="",H144=""),"",G144&amp;"|"&amp;TEXT(H144,"000"))</x:f>
      </x:c>
      <x:c r="J144" s="21"/>
      <x:c r="K144" s="21"/>
      <x:c r="L144" s="21"/>
      <x:c r="M144" s="23"/>
      <x:c r="N144" s="23"/>
      <x:c r="O144" s="23"/>
      <x:c r="P144" s="21"/>
      <x:c r="Q144" s="29" t="str">
        <x:f>IF(P144="","",IFERROR(INDEX(DM_MA_LOI!$B$6:$B$105,MATCH(P144,DM_MA_LOI!$A$6:$A$105,0)),""))</x:f>
      </x:c>
      <x:c r="R144" s="29" t="str">
        <x:f>IF(P144="","",IFERROR(INDEX(DM_MA_LOI!$E$6:$E$105,MATCH(P144,DM_MA_LOI!$A$6:$A$105,0)),""))</x:f>
      </x:c>
      <x:c r="S144" s="29" t="str">
        <x:f>IF(P144="","",IFERROR(INDEX(DM_MA_LOI!$F$6:$F$105,MATCH(P144,DM_MA_LOI!$A$6:$A$105,0)),""))</x:f>
      </x:c>
      <x:c r="T144" s="21"/>
      <x:c r="U144" s="21"/>
      <x:c r="V144" s="21"/>
      <x:c r="W144" s="21"/>
      <x:c r="X144" s="21"/>
      <x:c r="Y144" s="21"/>
      <x:c r="Z144" s="21"/>
      <x:c r="AA144" s="29" t="str">
        <x:f>IF(A144="","",IF(OR(B144="",C144="",D144="",H144="",K144="",L144=""),"Thiếu dữ liệu",IF(M144&lt;&gt;N144+O144,"Sai cân đối SL",IF(AND(O144&gt;0,P144=""),"Thiếu mã lỗi","Hợp lệ"))))</x:f>
      </x:c>
    </x:row>
    <x:row r="145">
      <x:c r="A145" s="21"/>
      <x:c r="B145" s="43"/>
      <x:c r="C145" s="21"/>
      <x:c r="D145" s="21"/>
      <x:c r="E145" s="21"/>
      <x:c r="F145" s="21"/>
      <x:c r="G145" s="29" t="str">
        <x:f>IF(OR(C145="",D145=""),"",C145&amp;"|"&amp;D145&amp;"|"&amp;IF(E145="","00",E145)&amp;"|"&amp;IF(F145="","01",F145))</x:f>
      </x:c>
      <x:c r="H145" s="21"/>
      <x:c r="I145" s="29" t="str">
        <x:f>IF(OR(G145="",H145=""),"",G145&amp;"|"&amp;TEXT(H145,"000"))</x:f>
      </x:c>
      <x:c r="J145" s="21"/>
      <x:c r="K145" s="21"/>
      <x:c r="L145" s="21"/>
      <x:c r="M145" s="23"/>
      <x:c r="N145" s="23"/>
      <x:c r="O145" s="23"/>
      <x:c r="P145" s="21"/>
      <x:c r="Q145" s="29" t="str">
        <x:f>IF(P145="","",IFERROR(INDEX(DM_MA_LOI!$B$6:$B$105,MATCH(P145,DM_MA_LOI!$A$6:$A$105,0)),""))</x:f>
      </x:c>
      <x:c r="R145" s="29" t="str">
        <x:f>IF(P145="","",IFERROR(INDEX(DM_MA_LOI!$E$6:$E$105,MATCH(P145,DM_MA_LOI!$A$6:$A$105,0)),""))</x:f>
      </x:c>
      <x:c r="S145" s="29" t="str">
        <x:f>IF(P145="","",IFERROR(INDEX(DM_MA_LOI!$F$6:$F$105,MATCH(P145,DM_MA_LOI!$A$6:$A$105,0)),""))</x:f>
      </x:c>
      <x:c r="T145" s="21"/>
      <x:c r="U145" s="21"/>
      <x:c r="V145" s="21"/>
      <x:c r="W145" s="21"/>
      <x:c r="X145" s="21"/>
      <x:c r="Y145" s="21"/>
      <x:c r="Z145" s="21"/>
      <x:c r="AA145" s="29" t="str">
        <x:f>IF(A145="","",IF(OR(B145="",C145="",D145="",H145="",K145="",L145=""),"Thiếu dữ liệu",IF(M145&lt;&gt;N145+O145,"Sai cân đối SL",IF(AND(O145&gt;0,P145=""),"Thiếu mã lỗi","Hợp lệ"))))</x:f>
      </x:c>
    </x:row>
    <x:row r="146">
      <x:c r="A146" s="21"/>
      <x:c r="B146" s="43"/>
      <x:c r="C146" s="21"/>
      <x:c r="D146" s="21"/>
      <x:c r="E146" s="21"/>
      <x:c r="F146" s="21"/>
      <x:c r="G146" s="29" t="str">
        <x:f>IF(OR(C146="",D146=""),"",C146&amp;"|"&amp;D146&amp;"|"&amp;IF(E146="","00",E146)&amp;"|"&amp;IF(F146="","01",F146))</x:f>
      </x:c>
      <x:c r="H146" s="21"/>
      <x:c r="I146" s="29" t="str">
        <x:f>IF(OR(G146="",H146=""),"",G146&amp;"|"&amp;TEXT(H146,"000"))</x:f>
      </x:c>
      <x:c r="J146" s="21"/>
      <x:c r="K146" s="21"/>
      <x:c r="L146" s="21"/>
      <x:c r="M146" s="23"/>
      <x:c r="N146" s="23"/>
      <x:c r="O146" s="23"/>
      <x:c r="P146" s="21"/>
      <x:c r="Q146" s="29" t="str">
        <x:f>IF(P146="","",IFERROR(INDEX(DM_MA_LOI!$B$6:$B$105,MATCH(P146,DM_MA_LOI!$A$6:$A$105,0)),""))</x:f>
      </x:c>
      <x:c r="R146" s="29" t="str">
        <x:f>IF(P146="","",IFERROR(INDEX(DM_MA_LOI!$E$6:$E$105,MATCH(P146,DM_MA_LOI!$A$6:$A$105,0)),""))</x:f>
      </x:c>
      <x:c r="S146" s="29" t="str">
        <x:f>IF(P146="","",IFERROR(INDEX(DM_MA_LOI!$F$6:$F$105,MATCH(P146,DM_MA_LOI!$A$6:$A$105,0)),""))</x:f>
      </x:c>
      <x:c r="T146" s="21"/>
      <x:c r="U146" s="21"/>
      <x:c r="V146" s="21"/>
      <x:c r="W146" s="21"/>
      <x:c r="X146" s="21"/>
      <x:c r="Y146" s="21"/>
      <x:c r="Z146" s="21"/>
      <x:c r="AA146" s="29" t="str">
        <x:f>IF(A146="","",IF(OR(B146="",C146="",D146="",H146="",K146="",L146=""),"Thiếu dữ liệu",IF(M146&lt;&gt;N146+O146,"Sai cân đối SL",IF(AND(O146&gt;0,P146=""),"Thiếu mã lỗi","Hợp lệ"))))</x:f>
      </x:c>
    </x:row>
    <x:row r="147">
      <x:c r="A147" s="21"/>
      <x:c r="B147" s="43"/>
      <x:c r="C147" s="21"/>
      <x:c r="D147" s="21"/>
      <x:c r="E147" s="21"/>
      <x:c r="F147" s="21"/>
      <x:c r="G147" s="29" t="str">
        <x:f>IF(OR(C147="",D147=""),"",C147&amp;"|"&amp;D147&amp;"|"&amp;IF(E147="","00",E147)&amp;"|"&amp;IF(F147="","01",F147))</x:f>
      </x:c>
      <x:c r="H147" s="21"/>
      <x:c r="I147" s="29" t="str">
        <x:f>IF(OR(G147="",H147=""),"",G147&amp;"|"&amp;TEXT(H147,"000"))</x:f>
      </x:c>
      <x:c r="J147" s="21"/>
      <x:c r="K147" s="21"/>
      <x:c r="L147" s="21"/>
      <x:c r="M147" s="23"/>
      <x:c r="N147" s="23"/>
      <x:c r="O147" s="23"/>
      <x:c r="P147" s="21"/>
      <x:c r="Q147" s="29" t="str">
        <x:f>IF(P147="","",IFERROR(INDEX(DM_MA_LOI!$B$6:$B$105,MATCH(P147,DM_MA_LOI!$A$6:$A$105,0)),""))</x:f>
      </x:c>
      <x:c r="R147" s="29" t="str">
        <x:f>IF(P147="","",IFERROR(INDEX(DM_MA_LOI!$E$6:$E$105,MATCH(P147,DM_MA_LOI!$A$6:$A$105,0)),""))</x:f>
      </x:c>
      <x:c r="S147" s="29" t="str">
        <x:f>IF(P147="","",IFERROR(INDEX(DM_MA_LOI!$F$6:$F$105,MATCH(P147,DM_MA_LOI!$A$6:$A$105,0)),""))</x:f>
      </x:c>
      <x:c r="T147" s="21"/>
      <x:c r="U147" s="21"/>
      <x:c r="V147" s="21"/>
      <x:c r="W147" s="21"/>
      <x:c r="X147" s="21"/>
      <x:c r="Y147" s="21"/>
      <x:c r="Z147" s="21"/>
      <x:c r="AA147" s="29" t="str">
        <x:f>IF(A147="","",IF(OR(B147="",C147="",D147="",H147="",K147="",L147=""),"Thiếu dữ liệu",IF(M147&lt;&gt;N147+O147,"Sai cân đối SL",IF(AND(O147&gt;0,P147=""),"Thiếu mã lỗi","Hợp lệ"))))</x:f>
      </x:c>
    </x:row>
    <x:row r="148">
      <x:c r="A148" s="21"/>
      <x:c r="B148" s="43"/>
      <x:c r="C148" s="21"/>
      <x:c r="D148" s="21"/>
      <x:c r="E148" s="21"/>
      <x:c r="F148" s="21"/>
      <x:c r="G148" s="29" t="str">
        <x:f>IF(OR(C148="",D148=""),"",C148&amp;"|"&amp;D148&amp;"|"&amp;IF(E148="","00",E148)&amp;"|"&amp;IF(F148="","01",F148))</x:f>
      </x:c>
      <x:c r="H148" s="21"/>
      <x:c r="I148" s="29" t="str">
        <x:f>IF(OR(G148="",H148=""),"",G148&amp;"|"&amp;TEXT(H148,"000"))</x:f>
      </x:c>
      <x:c r="J148" s="21"/>
      <x:c r="K148" s="21"/>
      <x:c r="L148" s="21"/>
      <x:c r="M148" s="23"/>
      <x:c r="N148" s="23"/>
      <x:c r="O148" s="23"/>
      <x:c r="P148" s="21"/>
      <x:c r="Q148" s="29" t="str">
        <x:f>IF(P148="","",IFERROR(INDEX(DM_MA_LOI!$B$6:$B$105,MATCH(P148,DM_MA_LOI!$A$6:$A$105,0)),""))</x:f>
      </x:c>
      <x:c r="R148" s="29" t="str">
        <x:f>IF(P148="","",IFERROR(INDEX(DM_MA_LOI!$E$6:$E$105,MATCH(P148,DM_MA_LOI!$A$6:$A$105,0)),""))</x:f>
      </x:c>
      <x:c r="S148" s="29" t="str">
        <x:f>IF(P148="","",IFERROR(INDEX(DM_MA_LOI!$F$6:$F$105,MATCH(P148,DM_MA_LOI!$A$6:$A$105,0)),""))</x:f>
      </x:c>
      <x:c r="T148" s="21"/>
      <x:c r="U148" s="21"/>
      <x:c r="V148" s="21"/>
      <x:c r="W148" s="21"/>
      <x:c r="X148" s="21"/>
      <x:c r="Y148" s="21"/>
      <x:c r="Z148" s="21"/>
      <x:c r="AA148" s="29" t="str">
        <x:f>IF(A148="","",IF(OR(B148="",C148="",D148="",H148="",K148="",L148=""),"Thiếu dữ liệu",IF(M148&lt;&gt;N148+O148,"Sai cân đối SL",IF(AND(O148&gt;0,P148=""),"Thiếu mã lỗi","Hợp lệ"))))</x:f>
      </x:c>
    </x:row>
    <x:row r="149">
      <x:c r="A149" s="21"/>
      <x:c r="B149" s="43"/>
      <x:c r="C149" s="21"/>
      <x:c r="D149" s="21"/>
      <x:c r="E149" s="21"/>
      <x:c r="F149" s="21"/>
      <x:c r="G149" s="29" t="str">
        <x:f>IF(OR(C149="",D149=""),"",C149&amp;"|"&amp;D149&amp;"|"&amp;IF(E149="","00",E149)&amp;"|"&amp;IF(F149="","01",F149))</x:f>
      </x:c>
      <x:c r="H149" s="21"/>
      <x:c r="I149" s="29" t="str">
        <x:f>IF(OR(G149="",H149=""),"",G149&amp;"|"&amp;TEXT(H149,"000"))</x:f>
      </x:c>
      <x:c r="J149" s="21"/>
      <x:c r="K149" s="21"/>
      <x:c r="L149" s="21"/>
      <x:c r="M149" s="23"/>
      <x:c r="N149" s="23"/>
      <x:c r="O149" s="23"/>
      <x:c r="P149" s="21"/>
      <x:c r="Q149" s="29" t="str">
        <x:f>IF(P149="","",IFERROR(INDEX(DM_MA_LOI!$B$6:$B$105,MATCH(P149,DM_MA_LOI!$A$6:$A$105,0)),""))</x:f>
      </x:c>
      <x:c r="R149" s="29" t="str">
        <x:f>IF(P149="","",IFERROR(INDEX(DM_MA_LOI!$E$6:$E$105,MATCH(P149,DM_MA_LOI!$A$6:$A$105,0)),""))</x:f>
      </x:c>
      <x:c r="S149" s="29" t="str">
        <x:f>IF(P149="","",IFERROR(INDEX(DM_MA_LOI!$F$6:$F$105,MATCH(P149,DM_MA_LOI!$A$6:$A$105,0)),""))</x:f>
      </x:c>
      <x:c r="T149" s="21"/>
      <x:c r="U149" s="21"/>
      <x:c r="V149" s="21"/>
      <x:c r="W149" s="21"/>
      <x:c r="X149" s="21"/>
      <x:c r="Y149" s="21"/>
      <x:c r="Z149" s="21"/>
      <x:c r="AA149" s="29" t="str">
        <x:f>IF(A149="","",IF(OR(B149="",C149="",D149="",H149="",K149="",L149=""),"Thiếu dữ liệu",IF(M149&lt;&gt;N149+O149,"Sai cân đối SL",IF(AND(O149&gt;0,P149=""),"Thiếu mã lỗi","Hợp lệ"))))</x:f>
      </x:c>
    </x:row>
    <x:row r="150">
      <x:c r="A150" s="21"/>
      <x:c r="B150" s="43"/>
      <x:c r="C150" s="21"/>
      <x:c r="D150" s="21"/>
      <x:c r="E150" s="21"/>
      <x:c r="F150" s="21"/>
      <x:c r="G150" s="29" t="str">
        <x:f>IF(OR(C150="",D150=""),"",C150&amp;"|"&amp;D150&amp;"|"&amp;IF(E150="","00",E150)&amp;"|"&amp;IF(F150="","01",F150))</x:f>
      </x:c>
      <x:c r="H150" s="21"/>
      <x:c r="I150" s="29" t="str">
        <x:f>IF(OR(G150="",H150=""),"",G150&amp;"|"&amp;TEXT(H150,"000"))</x:f>
      </x:c>
      <x:c r="J150" s="21"/>
      <x:c r="K150" s="21"/>
      <x:c r="L150" s="21"/>
      <x:c r="M150" s="23"/>
      <x:c r="N150" s="23"/>
      <x:c r="O150" s="23"/>
      <x:c r="P150" s="21"/>
      <x:c r="Q150" s="29" t="str">
        <x:f>IF(P150="","",IFERROR(INDEX(DM_MA_LOI!$B$6:$B$105,MATCH(P150,DM_MA_LOI!$A$6:$A$105,0)),""))</x:f>
      </x:c>
      <x:c r="R150" s="29" t="str">
        <x:f>IF(P150="","",IFERROR(INDEX(DM_MA_LOI!$E$6:$E$105,MATCH(P150,DM_MA_LOI!$A$6:$A$105,0)),""))</x:f>
      </x:c>
      <x:c r="S150" s="29" t="str">
        <x:f>IF(P150="","",IFERROR(INDEX(DM_MA_LOI!$F$6:$F$105,MATCH(P150,DM_MA_LOI!$A$6:$A$105,0)),""))</x:f>
      </x:c>
      <x:c r="T150" s="21"/>
      <x:c r="U150" s="21"/>
      <x:c r="V150" s="21"/>
      <x:c r="W150" s="21"/>
      <x:c r="X150" s="21"/>
      <x:c r="Y150" s="21"/>
      <x:c r="Z150" s="21"/>
      <x:c r="AA150" s="29" t="str">
        <x:f>IF(A150="","",IF(OR(B150="",C150="",D150="",H150="",K150="",L150=""),"Thiếu dữ liệu",IF(M150&lt;&gt;N150+O150,"Sai cân đối SL",IF(AND(O150&gt;0,P150=""),"Thiếu mã lỗi","Hợp lệ"))))</x:f>
      </x:c>
    </x:row>
    <x:row r="151">
      <x:c r="A151" s="21"/>
      <x:c r="B151" s="43"/>
      <x:c r="C151" s="21"/>
      <x:c r="D151" s="21"/>
      <x:c r="E151" s="21"/>
      <x:c r="F151" s="21"/>
      <x:c r="G151" s="29" t="str">
        <x:f>IF(OR(C151="",D151=""),"",C151&amp;"|"&amp;D151&amp;"|"&amp;IF(E151="","00",E151)&amp;"|"&amp;IF(F151="","01",F151))</x:f>
      </x:c>
      <x:c r="H151" s="21"/>
      <x:c r="I151" s="29" t="str">
        <x:f>IF(OR(G151="",H151=""),"",G151&amp;"|"&amp;TEXT(H151,"000"))</x:f>
      </x:c>
      <x:c r="J151" s="21"/>
      <x:c r="K151" s="21"/>
      <x:c r="L151" s="21"/>
      <x:c r="M151" s="23"/>
      <x:c r="N151" s="23"/>
      <x:c r="O151" s="23"/>
      <x:c r="P151" s="21"/>
      <x:c r="Q151" s="29" t="str">
        <x:f>IF(P151="","",IFERROR(INDEX(DM_MA_LOI!$B$6:$B$105,MATCH(P151,DM_MA_LOI!$A$6:$A$105,0)),""))</x:f>
      </x:c>
      <x:c r="R151" s="29" t="str">
        <x:f>IF(P151="","",IFERROR(INDEX(DM_MA_LOI!$E$6:$E$105,MATCH(P151,DM_MA_LOI!$A$6:$A$105,0)),""))</x:f>
      </x:c>
      <x:c r="S151" s="29" t="str">
        <x:f>IF(P151="","",IFERROR(INDEX(DM_MA_LOI!$F$6:$F$105,MATCH(P151,DM_MA_LOI!$A$6:$A$105,0)),""))</x:f>
      </x:c>
      <x:c r="T151" s="21"/>
      <x:c r="U151" s="21"/>
      <x:c r="V151" s="21"/>
      <x:c r="W151" s="21"/>
      <x:c r="X151" s="21"/>
      <x:c r="Y151" s="21"/>
      <x:c r="Z151" s="21"/>
      <x:c r="AA151" s="29" t="str">
        <x:f>IF(A151="","",IF(OR(B151="",C151="",D151="",H151="",K151="",L151=""),"Thiếu dữ liệu",IF(M151&lt;&gt;N151+O151,"Sai cân đối SL",IF(AND(O151&gt;0,P151=""),"Thiếu mã lỗi","Hợp lệ"))))</x:f>
      </x:c>
    </x:row>
    <x:row r="152">
      <x:c r="A152" s="21"/>
      <x:c r="B152" s="43"/>
      <x:c r="C152" s="21"/>
      <x:c r="D152" s="21"/>
      <x:c r="E152" s="21"/>
      <x:c r="F152" s="21"/>
      <x:c r="G152" s="29" t="str">
        <x:f>IF(OR(C152="",D152=""),"",C152&amp;"|"&amp;D152&amp;"|"&amp;IF(E152="","00",E152)&amp;"|"&amp;IF(F152="","01",F152))</x:f>
      </x:c>
      <x:c r="H152" s="21"/>
      <x:c r="I152" s="29" t="str">
        <x:f>IF(OR(G152="",H152=""),"",G152&amp;"|"&amp;TEXT(H152,"000"))</x:f>
      </x:c>
      <x:c r="J152" s="21"/>
      <x:c r="K152" s="21"/>
      <x:c r="L152" s="21"/>
      <x:c r="M152" s="23"/>
      <x:c r="N152" s="23"/>
      <x:c r="O152" s="23"/>
      <x:c r="P152" s="21"/>
      <x:c r="Q152" s="29" t="str">
        <x:f>IF(P152="","",IFERROR(INDEX(DM_MA_LOI!$B$6:$B$105,MATCH(P152,DM_MA_LOI!$A$6:$A$105,0)),""))</x:f>
      </x:c>
      <x:c r="R152" s="29" t="str">
        <x:f>IF(P152="","",IFERROR(INDEX(DM_MA_LOI!$E$6:$E$105,MATCH(P152,DM_MA_LOI!$A$6:$A$105,0)),""))</x:f>
      </x:c>
      <x:c r="S152" s="29" t="str">
        <x:f>IF(P152="","",IFERROR(INDEX(DM_MA_LOI!$F$6:$F$105,MATCH(P152,DM_MA_LOI!$A$6:$A$105,0)),""))</x:f>
      </x:c>
      <x:c r="T152" s="21"/>
      <x:c r="U152" s="21"/>
      <x:c r="V152" s="21"/>
      <x:c r="W152" s="21"/>
      <x:c r="X152" s="21"/>
      <x:c r="Y152" s="21"/>
      <x:c r="Z152" s="21"/>
      <x:c r="AA152" s="29" t="str">
        <x:f>IF(A152="","",IF(OR(B152="",C152="",D152="",H152="",K152="",L152=""),"Thiếu dữ liệu",IF(M152&lt;&gt;N152+O152,"Sai cân đối SL",IF(AND(O152&gt;0,P152=""),"Thiếu mã lỗi","Hợp lệ"))))</x:f>
      </x:c>
    </x:row>
    <x:row r="153">
      <x:c r="A153" s="21"/>
      <x:c r="B153" s="43"/>
      <x:c r="C153" s="21"/>
      <x:c r="D153" s="21"/>
      <x:c r="E153" s="21"/>
      <x:c r="F153" s="21"/>
      <x:c r="G153" s="29" t="str">
        <x:f>IF(OR(C153="",D153=""),"",C153&amp;"|"&amp;D153&amp;"|"&amp;IF(E153="","00",E153)&amp;"|"&amp;IF(F153="","01",F153))</x:f>
      </x:c>
      <x:c r="H153" s="21"/>
      <x:c r="I153" s="29" t="str">
        <x:f>IF(OR(G153="",H153=""),"",G153&amp;"|"&amp;TEXT(H153,"000"))</x:f>
      </x:c>
      <x:c r="J153" s="21"/>
      <x:c r="K153" s="21"/>
      <x:c r="L153" s="21"/>
      <x:c r="M153" s="23"/>
      <x:c r="N153" s="23"/>
      <x:c r="O153" s="23"/>
      <x:c r="P153" s="21"/>
      <x:c r="Q153" s="29" t="str">
        <x:f>IF(P153="","",IFERROR(INDEX(DM_MA_LOI!$B$6:$B$105,MATCH(P153,DM_MA_LOI!$A$6:$A$105,0)),""))</x:f>
      </x:c>
      <x:c r="R153" s="29" t="str">
        <x:f>IF(P153="","",IFERROR(INDEX(DM_MA_LOI!$E$6:$E$105,MATCH(P153,DM_MA_LOI!$A$6:$A$105,0)),""))</x:f>
      </x:c>
      <x:c r="S153" s="29" t="str">
        <x:f>IF(P153="","",IFERROR(INDEX(DM_MA_LOI!$F$6:$F$105,MATCH(P153,DM_MA_LOI!$A$6:$A$105,0)),""))</x:f>
      </x:c>
      <x:c r="T153" s="21"/>
      <x:c r="U153" s="21"/>
      <x:c r="V153" s="21"/>
      <x:c r="W153" s="21"/>
      <x:c r="X153" s="21"/>
      <x:c r="Y153" s="21"/>
      <x:c r="Z153" s="21"/>
      <x:c r="AA153" s="29" t="str">
        <x:f>IF(A153="","",IF(OR(B153="",C153="",D153="",H153="",K153="",L153=""),"Thiếu dữ liệu",IF(M153&lt;&gt;N153+O153,"Sai cân đối SL",IF(AND(O153&gt;0,P153=""),"Thiếu mã lỗi","Hợp lệ"))))</x:f>
      </x:c>
    </x:row>
    <x:row r="154">
      <x:c r="A154" s="21"/>
      <x:c r="B154" s="43"/>
      <x:c r="C154" s="21"/>
      <x:c r="D154" s="21"/>
      <x:c r="E154" s="21"/>
      <x:c r="F154" s="21"/>
      <x:c r="G154" s="29" t="str">
        <x:f>IF(OR(C154="",D154=""),"",C154&amp;"|"&amp;D154&amp;"|"&amp;IF(E154="","00",E154)&amp;"|"&amp;IF(F154="","01",F154))</x:f>
      </x:c>
      <x:c r="H154" s="21"/>
      <x:c r="I154" s="29" t="str">
        <x:f>IF(OR(G154="",H154=""),"",G154&amp;"|"&amp;TEXT(H154,"000"))</x:f>
      </x:c>
      <x:c r="J154" s="21"/>
      <x:c r="K154" s="21"/>
      <x:c r="L154" s="21"/>
      <x:c r="M154" s="23"/>
      <x:c r="N154" s="23"/>
      <x:c r="O154" s="23"/>
      <x:c r="P154" s="21"/>
      <x:c r="Q154" s="29" t="str">
        <x:f>IF(P154="","",IFERROR(INDEX(DM_MA_LOI!$B$6:$B$105,MATCH(P154,DM_MA_LOI!$A$6:$A$105,0)),""))</x:f>
      </x:c>
      <x:c r="R154" s="29" t="str">
        <x:f>IF(P154="","",IFERROR(INDEX(DM_MA_LOI!$E$6:$E$105,MATCH(P154,DM_MA_LOI!$A$6:$A$105,0)),""))</x:f>
      </x:c>
      <x:c r="S154" s="29" t="str">
        <x:f>IF(P154="","",IFERROR(INDEX(DM_MA_LOI!$F$6:$F$105,MATCH(P154,DM_MA_LOI!$A$6:$A$105,0)),""))</x:f>
      </x:c>
      <x:c r="T154" s="21"/>
      <x:c r="U154" s="21"/>
      <x:c r="V154" s="21"/>
      <x:c r="W154" s="21"/>
      <x:c r="X154" s="21"/>
      <x:c r="Y154" s="21"/>
      <x:c r="Z154" s="21"/>
      <x:c r="AA154" s="29" t="str">
        <x:f>IF(A154="","",IF(OR(B154="",C154="",D154="",H154="",K154="",L154=""),"Thiếu dữ liệu",IF(M154&lt;&gt;N154+O154,"Sai cân đối SL",IF(AND(O154&gt;0,P154=""),"Thiếu mã lỗi","Hợp lệ"))))</x:f>
      </x:c>
    </x:row>
    <x:row r="155">
      <x:c r="A155" s="21"/>
      <x:c r="B155" s="43"/>
      <x:c r="C155" s="21"/>
      <x:c r="D155" s="21"/>
      <x:c r="E155" s="21"/>
      <x:c r="F155" s="21"/>
      <x:c r="G155" s="29" t="str">
        <x:f>IF(OR(C155="",D155=""),"",C155&amp;"|"&amp;D155&amp;"|"&amp;IF(E155="","00",E155)&amp;"|"&amp;IF(F155="","01",F155))</x:f>
      </x:c>
      <x:c r="H155" s="21"/>
      <x:c r="I155" s="29" t="str">
        <x:f>IF(OR(G155="",H155=""),"",G155&amp;"|"&amp;TEXT(H155,"000"))</x:f>
      </x:c>
      <x:c r="J155" s="21"/>
      <x:c r="K155" s="21"/>
      <x:c r="L155" s="21"/>
      <x:c r="M155" s="23"/>
      <x:c r="N155" s="23"/>
      <x:c r="O155" s="23"/>
      <x:c r="P155" s="21"/>
      <x:c r="Q155" s="29" t="str">
        <x:f>IF(P155="","",IFERROR(INDEX(DM_MA_LOI!$B$6:$B$105,MATCH(P155,DM_MA_LOI!$A$6:$A$105,0)),""))</x:f>
      </x:c>
      <x:c r="R155" s="29" t="str">
        <x:f>IF(P155="","",IFERROR(INDEX(DM_MA_LOI!$E$6:$E$105,MATCH(P155,DM_MA_LOI!$A$6:$A$105,0)),""))</x:f>
      </x:c>
      <x:c r="S155" s="29" t="str">
        <x:f>IF(P155="","",IFERROR(INDEX(DM_MA_LOI!$F$6:$F$105,MATCH(P155,DM_MA_LOI!$A$6:$A$105,0)),""))</x:f>
      </x:c>
      <x:c r="T155" s="21"/>
      <x:c r="U155" s="21"/>
      <x:c r="V155" s="21"/>
      <x:c r="W155" s="21"/>
      <x:c r="X155" s="21"/>
      <x:c r="Y155" s="21"/>
      <x:c r="Z155" s="21"/>
      <x:c r="AA155" s="29" t="str">
        <x:f>IF(A155="","",IF(OR(B155="",C155="",D155="",H155="",K155="",L155=""),"Thiếu dữ liệu",IF(M155&lt;&gt;N155+O155,"Sai cân đối SL",IF(AND(O155&gt;0,P155=""),"Thiếu mã lỗi","Hợp lệ"))))</x:f>
      </x:c>
    </x:row>
    <x:row r="156">
      <x:c r="A156" s="21"/>
      <x:c r="B156" s="43"/>
      <x:c r="C156" s="21"/>
      <x:c r="D156" s="21"/>
      <x:c r="E156" s="21"/>
      <x:c r="F156" s="21"/>
      <x:c r="G156" s="29" t="str">
        <x:f>IF(OR(C156="",D156=""),"",C156&amp;"|"&amp;D156&amp;"|"&amp;IF(E156="","00",E156)&amp;"|"&amp;IF(F156="","01",F156))</x:f>
      </x:c>
      <x:c r="H156" s="21"/>
      <x:c r="I156" s="29" t="str">
        <x:f>IF(OR(G156="",H156=""),"",G156&amp;"|"&amp;TEXT(H156,"000"))</x:f>
      </x:c>
      <x:c r="J156" s="21"/>
      <x:c r="K156" s="21"/>
      <x:c r="L156" s="21"/>
      <x:c r="M156" s="23"/>
      <x:c r="N156" s="23"/>
      <x:c r="O156" s="23"/>
      <x:c r="P156" s="21"/>
      <x:c r="Q156" s="29" t="str">
        <x:f>IF(P156="","",IFERROR(INDEX(DM_MA_LOI!$B$6:$B$105,MATCH(P156,DM_MA_LOI!$A$6:$A$105,0)),""))</x:f>
      </x:c>
      <x:c r="R156" s="29" t="str">
        <x:f>IF(P156="","",IFERROR(INDEX(DM_MA_LOI!$E$6:$E$105,MATCH(P156,DM_MA_LOI!$A$6:$A$105,0)),""))</x:f>
      </x:c>
      <x:c r="S156" s="29" t="str">
        <x:f>IF(P156="","",IFERROR(INDEX(DM_MA_LOI!$F$6:$F$105,MATCH(P156,DM_MA_LOI!$A$6:$A$105,0)),""))</x:f>
      </x:c>
      <x:c r="T156" s="21"/>
      <x:c r="U156" s="21"/>
      <x:c r="V156" s="21"/>
      <x:c r="W156" s="21"/>
      <x:c r="X156" s="21"/>
      <x:c r="Y156" s="21"/>
      <x:c r="Z156" s="21"/>
      <x:c r="AA156" s="29" t="str">
        <x:f>IF(A156="","",IF(OR(B156="",C156="",D156="",H156="",K156="",L156=""),"Thiếu dữ liệu",IF(M156&lt;&gt;N156+O156,"Sai cân đối SL",IF(AND(O156&gt;0,P156=""),"Thiếu mã lỗi","Hợp lệ"))))</x:f>
      </x:c>
    </x:row>
    <x:row r="157">
      <x:c r="A157" s="21"/>
      <x:c r="B157" s="43"/>
      <x:c r="C157" s="21"/>
      <x:c r="D157" s="21"/>
      <x:c r="E157" s="21"/>
      <x:c r="F157" s="21"/>
      <x:c r="G157" s="29" t="str">
        <x:f>IF(OR(C157="",D157=""),"",C157&amp;"|"&amp;D157&amp;"|"&amp;IF(E157="","00",E157)&amp;"|"&amp;IF(F157="","01",F157))</x:f>
      </x:c>
      <x:c r="H157" s="21"/>
      <x:c r="I157" s="29" t="str">
        <x:f>IF(OR(G157="",H157=""),"",G157&amp;"|"&amp;TEXT(H157,"000"))</x:f>
      </x:c>
      <x:c r="J157" s="21"/>
      <x:c r="K157" s="21"/>
      <x:c r="L157" s="21"/>
      <x:c r="M157" s="23"/>
      <x:c r="N157" s="23"/>
      <x:c r="O157" s="23"/>
      <x:c r="P157" s="21"/>
      <x:c r="Q157" s="29" t="str">
        <x:f>IF(P157="","",IFERROR(INDEX(DM_MA_LOI!$B$6:$B$105,MATCH(P157,DM_MA_LOI!$A$6:$A$105,0)),""))</x:f>
      </x:c>
      <x:c r="R157" s="29" t="str">
        <x:f>IF(P157="","",IFERROR(INDEX(DM_MA_LOI!$E$6:$E$105,MATCH(P157,DM_MA_LOI!$A$6:$A$105,0)),""))</x:f>
      </x:c>
      <x:c r="S157" s="29" t="str">
        <x:f>IF(P157="","",IFERROR(INDEX(DM_MA_LOI!$F$6:$F$105,MATCH(P157,DM_MA_LOI!$A$6:$A$105,0)),""))</x:f>
      </x:c>
      <x:c r="T157" s="21"/>
      <x:c r="U157" s="21"/>
      <x:c r="V157" s="21"/>
      <x:c r="W157" s="21"/>
      <x:c r="X157" s="21"/>
      <x:c r="Y157" s="21"/>
      <x:c r="Z157" s="21"/>
      <x:c r="AA157" s="29" t="str">
        <x:f>IF(A157="","",IF(OR(B157="",C157="",D157="",H157="",K157="",L157=""),"Thiếu dữ liệu",IF(M157&lt;&gt;N157+O157,"Sai cân đối SL",IF(AND(O157&gt;0,P157=""),"Thiếu mã lỗi","Hợp lệ"))))</x:f>
      </x:c>
    </x:row>
    <x:row r="158">
      <x:c r="A158" s="21"/>
      <x:c r="B158" s="43"/>
      <x:c r="C158" s="21"/>
      <x:c r="D158" s="21"/>
      <x:c r="E158" s="21"/>
      <x:c r="F158" s="21"/>
      <x:c r="G158" s="29" t="str">
        <x:f>IF(OR(C158="",D158=""),"",C158&amp;"|"&amp;D158&amp;"|"&amp;IF(E158="","00",E158)&amp;"|"&amp;IF(F158="","01",F158))</x:f>
      </x:c>
      <x:c r="H158" s="21"/>
      <x:c r="I158" s="29" t="str">
        <x:f>IF(OR(G158="",H158=""),"",G158&amp;"|"&amp;TEXT(H158,"000"))</x:f>
      </x:c>
      <x:c r="J158" s="21"/>
      <x:c r="K158" s="21"/>
      <x:c r="L158" s="21"/>
      <x:c r="M158" s="23"/>
      <x:c r="N158" s="23"/>
      <x:c r="O158" s="23"/>
      <x:c r="P158" s="21"/>
      <x:c r="Q158" s="29" t="str">
        <x:f>IF(P158="","",IFERROR(INDEX(DM_MA_LOI!$B$6:$B$105,MATCH(P158,DM_MA_LOI!$A$6:$A$105,0)),""))</x:f>
      </x:c>
      <x:c r="R158" s="29" t="str">
        <x:f>IF(P158="","",IFERROR(INDEX(DM_MA_LOI!$E$6:$E$105,MATCH(P158,DM_MA_LOI!$A$6:$A$105,0)),""))</x:f>
      </x:c>
      <x:c r="S158" s="29" t="str">
        <x:f>IF(P158="","",IFERROR(INDEX(DM_MA_LOI!$F$6:$F$105,MATCH(P158,DM_MA_LOI!$A$6:$A$105,0)),""))</x:f>
      </x:c>
      <x:c r="T158" s="21"/>
      <x:c r="U158" s="21"/>
      <x:c r="V158" s="21"/>
      <x:c r="W158" s="21"/>
      <x:c r="X158" s="21"/>
      <x:c r="Y158" s="21"/>
      <x:c r="Z158" s="21"/>
      <x:c r="AA158" s="29" t="str">
        <x:f>IF(A158="","",IF(OR(B158="",C158="",D158="",H158="",K158="",L158=""),"Thiếu dữ liệu",IF(M158&lt;&gt;N158+O158,"Sai cân đối SL",IF(AND(O158&gt;0,P158=""),"Thiếu mã lỗi","Hợp lệ"))))</x:f>
      </x:c>
    </x:row>
    <x:row r="159">
      <x:c r="A159" s="21"/>
      <x:c r="B159" s="43"/>
      <x:c r="C159" s="21"/>
      <x:c r="D159" s="21"/>
      <x:c r="E159" s="21"/>
      <x:c r="F159" s="21"/>
      <x:c r="G159" s="29" t="str">
        <x:f>IF(OR(C159="",D159=""),"",C159&amp;"|"&amp;D159&amp;"|"&amp;IF(E159="","00",E159)&amp;"|"&amp;IF(F159="","01",F159))</x:f>
      </x:c>
      <x:c r="H159" s="21"/>
      <x:c r="I159" s="29" t="str">
        <x:f>IF(OR(G159="",H159=""),"",G159&amp;"|"&amp;TEXT(H159,"000"))</x:f>
      </x:c>
      <x:c r="J159" s="21"/>
      <x:c r="K159" s="21"/>
      <x:c r="L159" s="21"/>
      <x:c r="M159" s="23"/>
      <x:c r="N159" s="23"/>
      <x:c r="O159" s="23"/>
      <x:c r="P159" s="21"/>
      <x:c r="Q159" s="29" t="str">
        <x:f>IF(P159="","",IFERROR(INDEX(DM_MA_LOI!$B$6:$B$105,MATCH(P159,DM_MA_LOI!$A$6:$A$105,0)),""))</x:f>
      </x:c>
      <x:c r="R159" s="29" t="str">
        <x:f>IF(P159="","",IFERROR(INDEX(DM_MA_LOI!$E$6:$E$105,MATCH(P159,DM_MA_LOI!$A$6:$A$105,0)),""))</x:f>
      </x:c>
      <x:c r="S159" s="29" t="str">
        <x:f>IF(P159="","",IFERROR(INDEX(DM_MA_LOI!$F$6:$F$105,MATCH(P159,DM_MA_LOI!$A$6:$A$105,0)),""))</x:f>
      </x:c>
      <x:c r="T159" s="21"/>
      <x:c r="U159" s="21"/>
      <x:c r="V159" s="21"/>
      <x:c r="W159" s="21"/>
      <x:c r="X159" s="21"/>
      <x:c r="Y159" s="21"/>
      <x:c r="Z159" s="21"/>
      <x:c r="AA159" s="29" t="str">
        <x:f>IF(A159="","",IF(OR(B159="",C159="",D159="",H159="",K159="",L159=""),"Thiếu dữ liệu",IF(M159&lt;&gt;N159+O159,"Sai cân đối SL",IF(AND(O159&gt;0,P159=""),"Thiếu mã lỗi","Hợp lệ"))))</x:f>
      </x:c>
    </x:row>
    <x:row r="160">
      <x:c r="A160" s="21"/>
      <x:c r="B160" s="43"/>
      <x:c r="C160" s="21"/>
      <x:c r="D160" s="21"/>
      <x:c r="E160" s="21"/>
      <x:c r="F160" s="21"/>
      <x:c r="G160" s="29" t="str">
        <x:f>IF(OR(C160="",D160=""),"",C160&amp;"|"&amp;D160&amp;"|"&amp;IF(E160="","00",E160)&amp;"|"&amp;IF(F160="","01",F160))</x:f>
      </x:c>
      <x:c r="H160" s="21"/>
      <x:c r="I160" s="29" t="str">
        <x:f>IF(OR(G160="",H160=""),"",G160&amp;"|"&amp;TEXT(H160,"000"))</x:f>
      </x:c>
      <x:c r="J160" s="21"/>
      <x:c r="K160" s="21"/>
      <x:c r="L160" s="21"/>
      <x:c r="M160" s="23"/>
      <x:c r="N160" s="23"/>
      <x:c r="O160" s="23"/>
      <x:c r="P160" s="21"/>
      <x:c r="Q160" s="29" t="str">
        <x:f>IF(P160="","",IFERROR(INDEX(DM_MA_LOI!$B$6:$B$105,MATCH(P160,DM_MA_LOI!$A$6:$A$105,0)),""))</x:f>
      </x:c>
      <x:c r="R160" s="29" t="str">
        <x:f>IF(P160="","",IFERROR(INDEX(DM_MA_LOI!$E$6:$E$105,MATCH(P160,DM_MA_LOI!$A$6:$A$105,0)),""))</x:f>
      </x:c>
      <x:c r="S160" s="29" t="str">
        <x:f>IF(P160="","",IFERROR(INDEX(DM_MA_LOI!$F$6:$F$105,MATCH(P160,DM_MA_LOI!$A$6:$A$105,0)),""))</x:f>
      </x:c>
      <x:c r="T160" s="21"/>
      <x:c r="U160" s="21"/>
      <x:c r="V160" s="21"/>
      <x:c r="W160" s="21"/>
      <x:c r="X160" s="21"/>
      <x:c r="Y160" s="21"/>
      <x:c r="Z160" s="21"/>
      <x:c r="AA160" s="29" t="str">
        <x:f>IF(A160="","",IF(OR(B160="",C160="",D160="",H160="",K160="",L160=""),"Thiếu dữ liệu",IF(M160&lt;&gt;N160+O160,"Sai cân đối SL",IF(AND(O160&gt;0,P160=""),"Thiếu mã lỗi","Hợp lệ"))))</x:f>
      </x:c>
    </x:row>
    <x:row r="161">
      <x:c r="A161" s="21"/>
      <x:c r="B161" s="43"/>
      <x:c r="C161" s="21"/>
      <x:c r="D161" s="21"/>
      <x:c r="E161" s="21"/>
      <x:c r="F161" s="21"/>
      <x:c r="G161" s="29" t="str">
        <x:f>IF(OR(C161="",D161=""),"",C161&amp;"|"&amp;D161&amp;"|"&amp;IF(E161="","00",E161)&amp;"|"&amp;IF(F161="","01",F161))</x:f>
      </x:c>
      <x:c r="H161" s="21"/>
      <x:c r="I161" s="29" t="str">
        <x:f>IF(OR(G161="",H161=""),"",G161&amp;"|"&amp;TEXT(H161,"000"))</x:f>
      </x:c>
      <x:c r="J161" s="21"/>
      <x:c r="K161" s="21"/>
      <x:c r="L161" s="21"/>
      <x:c r="M161" s="23"/>
      <x:c r="N161" s="23"/>
      <x:c r="O161" s="23"/>
      <x:c r="P161" s="21"/>
      <x:c r="Q161" s="29" t="str">
        <x:f>IF(P161="","",IFERROR(INDEX(DM_MA_LOI!$B$6:$B$105,MATCH(P161,DM_MA_LOI!$A$6:$A$105,0)),""))</x:f>
      </x:c>
      <x:c r="R161" s="29" t="str">
        <x:f>IF(P161="","",IFERROR(INDEX(DM_MA_LOI!$E$6:$E$105,MATCH(P161,DM_MA_LOI!$A$6:$A$105,0)),""))</x:f>
      </x:c>
      <x:c r="S161" s="29" t="str">
        <x:f>IF(P161="","",IFERROR(INDEX(DM_MA_LOI!$F$6:$F$105,MATCH(P161,DM_MA_LOI!$A$6:$A$105,0)),""))</x:f>
      </x:c>
      <x:c r="T161" s="21"/>
      <x:c r="U161" s="21"/>
      <x:c r="V161" s="21"/>
      <x:c r="W161" s="21"/>
      <x:c r="X161" s="21"/>
      <x:c r="Y161" s="21"/>
      <x:c r="Z161" s="21"/>
      <x:c r="AA161" s="29" t="str">
        <x:f>IF(A161="","",IF(OR(B161="",C161="",D161="",H161="",K161="",L161=""),"Thiếu dữ liệu",IF(M161&lt;&gt;N161+O161,"Sai cân đối SL",IF(AND(O161&gt;0,P161=""),"Thiếu mã lỗi","Hợp lệ"))))</x:f>
      </x:c>
    </x:row>
    <x:row r="162">
      <x:c r="A162" s="21"/>
      <x:c r="B162" s="43"/>
      <x:c r="C162" s="21"/>
      <x:c r="D162" s="21"/>
      <x:c r="E162" s="21"/>
      <x:c r="F162" s="21"/>
      <x:c r="G162" s="29" t="str">
        <x:f>IF(OR(C162="",D162=""),"",C162&amp;"|"&amp;D162&amp;"|"&amp;IF(E162="","00",E162)&amp;"|"&amp;IF(F162="","01",F162))</x:f>
      </x:c>
      <x:c r="H162" s="21"/>
      <x:c r="I162" s="29" t="str">
        <x:f>IF(OR(G162="",H162=""),"",G162&amp;"|"&amp;TEXT(H162,"000"))</x:f>
      </x:c>
      <x:c r="J162" s="21"/>
      <x:c r="K162" s="21"/>
      <x:c r="L162" s="21"/>
      <x:c r="M162" s="23"/>
      <x:c r="N162" s="23"/>
      <x:c r="O162" s="23"/>
      <x:c r="P162" s="21"/>
      <x:c r="Q162" s="29" t="str">
        <x:f>IF(P162="","",IFERROR(INDEX(DM_MA_LOI!$B$6:$B$105,MATCH(P162,DM_MA_LOI!$A$6:$A$105,0)),""))</x:f>
      </x:c>
      <x:c r="R162" s="29" t="str">
        <x:f>IF(P162="","",IFERROR(INDEX(DM_MA_LOI!$E$6:$E$105,MATCH(P162,DM_MA_LOI!$A$6:$A$105,0)),""))</x:f>
      </x:c>
      <x:c r="S162" s="29" t="str">
        <x:f>IF(P162="","",IFERROR(INDEX(DM_MA_LOI!$F$6:$F$105,MATCH(P162,DM_MA_LOI!$A$6:$A$105,0)),""))</x:f>
      </x:c>
      <x:c r="T162" s="21"/>
      <x:c r="U162" s="21"/>
      <x:c r="V162" s="21"/>
      <x:c r="W162" s="21"/>
      <x:c r="X162" s="21"/>
      <x:c r="Y162" s="21"/>
      <x:c r="Z162" s="21"/>
      <x:c r="AA162" s="29" t="str">
        <x:f>IF(A162="","",IF(OR(B162="",C162="",D162="",H162="",K162="",L162=""),"Thiếu dữ liệu",IF(M162&lt;&gt;N162+O162,"Sai cân đối SL",IF(AND(O162&gt;0,P162=""),"Thiếu mã lỗi","Hợp lệ"))))</x:f>
      </x:c>
    </x:row>
    <x:row r="163">
      <x:c r="A163" s="21"/>
      <x:c r="B163" s="43"/>
      <x:c r="C163" s="21"/>
      <x:c r="D163" s="21"/>
      <x:c r="E163" s="21"/>
      <x:c r="F163" s="21"/>
      <x:c r="G163" s="29" t="str">
        <x:f>IF(OR(C163="",D163=""),"",C163&amp;"|"&amp;D163&amp;"|"&amp;IF(E163="","00",E163)&amp;"|"&amp;IF(F163="","01",F163))</x:f>
      </x:c>
      <x:c r="H163" s="21"/>
      <x:c r="I163" s="29" t="str">
        <x:f>IF(OR(G163="",H163=""),"",G163&amp;"|"&amp;TEXT(H163,"000"))</x:f>
      </x:c>
      <x:c r="J163" s="21"/>
      <x:c r="K163" s="21"/>
      <x:c r="L163" s="21"/>
      <x:c r="M163" s="23"/>
      <x:c r="N163" s="23"/>
      <x:c r="O163" s="23"/>
      <x:c r="P163" s="21"/>
      <x:c r="Q163" s="29" t="str">
        <x:f>IF(P163="","",IFERROR(INDEX(DM_MA_LOI!$B$6:$B$105,MATCH(P163,DM_MA_LOI!$A$6:$A$105,0)),""))</x:f>
      </x:c>
      <x:c r="R163" s="29" t="str">
        <x:f>IF(P163="","",IFERROR(INDEX(DM_MA_LOI!$E$6:$E$105,MATCH(P163,DM_MA_LOI!$A$6:$A$105,0)),""))</x:f>
      </x:c>
      <x:c r="S163" s="29" t="str">
        <x:f>IF(P163="","",IFERROR(INDEX(DM_MA_LOI!$F$6:$F$105,MATCH(P163,DM_MA_LOI!$A$6:$A$105,0)),""))</x:f>
      </x:c>
      <x:c r="T163" s="21"/>
      <x:c r="U163" s="21"/>
      <x:c r="V163" s="21"/>
      <x:c r="W163" s="21"/>
      <x:c r="X163" s="21"/>
      <x:c r="Y163" s="21"/>
      <x:c r="Z163" s="21"/>
      <x:c r="AA163" s="29" t="str">
        <x:f>IF(A163="","",IF(OR(B163="",C163="",D163="",H163="",K163="",L163=""),"Thiếu dữ liệu",IF(M163&lt;&gt;N163+O163,"Sai cân đối SL",IF(AND(O163&gt;0,P163=""),"Thiếu mã lỗi","Hợp lệ"))))</x:f>
      </x:c>
    </x:row>
    <x:row r="164">
      <x:c r="A164" s="21"/>
      <x:c r="B164" s="43"/>
      <x:c r="C164" s="21"/>
      <x:c r="D164" s="21"/>
      <x:c r="E164" s="21"/>
      <x:c r="F164" s="21"/>
      <x:c r="G164" s="29" t="str">
        <x:f>IF(OR(C164="",D164=""),"",C164&amp;"|"&amp;D164&amp;"|"&amp;IF(E164="","00",E164)&amp;"|"&amp;IF(F164="","01",F164))</x:f>
      </x:c>
      <x:c r="H164" s="21"/>
      <x:c r="I164" s="29" t="str">
        <x:f>IF(OR(G164="",H164=""),"",G164&amp;"|"&amp;TEXT(H164,"000"))</x:f>
      </x:c>
      <x:c r="J164" s="21"/>
      <x:c r="K164" s="21"/>
      <x:c r="L164" s="21"/>
      <x:c r="M164" s="23"/>
      <x:c r="N164" s="23"/>
      <x:c r="O164" s="23"/>
      <x:c r="P164" s="21"/>
      <x:c r="Q164" s="29" t="str">
        <x:f>IF(P164="","",IFERROR(INDEX(DM_MA_LOI!$B$6:$B$105,MATCH(P164,DM_MA_LOI!$A$6:$A$105,0)),""))</x:f>
      </x:c>
      <x:c r="R164" s="29" t="str">
        <x:f>IF(P164="","",IFERROR(INDEX(DM_MA_LOI!$E$6:$E$105,MATCH(P164,DM_MA_LOI!$A$6:$A$105,0)),""))</x:f>
      </x:c>
      <x:c r="S164" s="29" t="str">
        <x:f>IF(P164="","",IFERROR(INDEX(DM_MA_LOI!$F$6:$F$105,MATCH(P164,DM_MA_LOI!$A$6:$A$105,0)),""))</x:f>
      </x:c>
      <x:c r="T164" s="21"/>
      <x:c r="U164" s="21"/>
      <x:c r="V164" s="21"/>
      <x:c r="W164" s="21"/>
      <x:c r="X164" s="21"/>
      <x:c r="Y164" s="21"/>
      <x:c r="Z164" s="21"/>
      <x:c r="AA164" s="29" t="str">
        <x:f>IF(A164="","",IF(OR(B164="",C164="",D164="",H164="",K164="",L164=""),"Thiếu dữ liệu",IF(M164&lt;&gt;N164+O164,"Sai cân đối SL",IF(AND(O164&gt;0,P164=""),"Thiếu mã lỗi","Hợp lệ"))))</x:f>
      </x:c>
    </x:row>
    <x:row r="165">
      <x:c r="A165" s="21"/>
      <x:c r="B165" s="43"/>
      <x:c r="C165" s="21"/>
      <x:c r="D165" s="21"/>
      <x:c r="E165" s="21"/>
      <x:c r="F165" s="21"/>
      <x:c r="G165" s="29" t="str">
        <x:f>IF(OR(C165="",D165=""),"",C165&amp;"|"&amp;D165&amp;"|"&amp;IF(E165="","00",E165)&amp;"|"&amp;IF(F165="","01",F165))</x:f>
      </x:c>
      <x:c r="H165" s="21"/>
      <x:c r="I165" s="29" t="str">
        <x:f>IF(OR(G165="",H165=""),"",G165&amp;"|"&amp;TEXT(H165,"000"))</x:f>
      </x:c>
      <x:c r="J165" s="21"/>
      <x:c r="K165" s="21"/>
      <x:c r="L165" s="21"/>
      <x:c r="M165" s="23"/>
      <x:c r="N165" s="23"/>
      <x:c r="O165" s="23"/>
      <x:c r="P165" s="21"/>
      <x:c r="Q165" s="29" t="str">
        <x:f>IF(P165="","",IFERROR(INDEX(DM_MA_LOI!$B$6:$B$105,MATCH(P165,DM_MA_LOI!$A$6:$A$105,0)),""))</x:f>
      </x:c>
      <x:c r="R165" s="29" t="str">
        <x:f>IF(P165="","",IFERROR(INDEX(DM_MA_LOI!$E$6:$E$105,MATCH(P165,DM_MA_LOI!$A$6:$A$105,0)),""))</x:f>
      </x:c>
      <x:c r="S165" s="29" t="str">
        <x:f>IF(P165="","",IFERROR(INDEX(DM_MA_LOI!$F$6:$F$105,MATCH(P165,DM_MA_LOI!$A$6:$A$105,0)),""))</x:f>
      </x:c>
      <x:c r="T165" s="21"/>
      <x:c r="U165" s="21"/>
      <x:c r="V165" s="21"/>
      <x:c r="W165" s="21"/>
      <x:c r="X165" s="21"/>
      <x:c r="Y165" s="21"/>
      <x:c r="Z165" s="21"/>
      <x:c r="AA165" s="29" t="str">
        <x:f>IF(A165="","",IF(OR(B165="",C165="",D165="",H165="",K165="",L165=""),"Thiếu dữ liệu",IF(M165&lt;&gt;N165+O165,"Sai cân đối SL",IF(AND(O165&gt;0,P165=""),"Thiếu mã lỗi","Hợp lệ"))))</x:f>
      </x:c>
    </x:row>
    <x:row r="166">
      <x:c r="A166" s="21"/>
      <x:c r="B166" s="43"/>
      <x:c r="C166" s="21"/>
      <x:c r="D166" s="21"/>
      <x:c r="E166" s="21"/>
      <x:c r="F166" s="21"/>
      <x:c r="G166" s="29" t="str">
        <x:f>IF(OR(C166="",D166=""),"",C166&amp;"|"&amp;D166&amp;"|"&amp;IF(E166="","00",E166)&amp;"|"&amp;IF(F166="","01",F166))</x:f>
      </x:c>
      <x:c r="H166" s="21"/>
      <x:c r="I166" s="29" t="str">
        <x:f>IF(OR(G166="",H166=""),"",G166&amp;"|"&amp;TEXT(H166,"000"))</x:f>
      </x:c>
      <x:c r="J166" s="21"/>
      <x:c r="K166" s="21"/>
      <x:c r="L166" s="21"/>
      <x:c r="M166" s="23"/>
      <x:c r="N166" s="23"/>
      <x:c r="O166" s="23"/>
      <x:c r="P166" s="21"/>
      <x:c r="Q166" s="29" t="str">
        <x:f>IF(P166="","",IFERROR(INDEX(DM_MA_LOI!$B$6:$B$105,MATCH(P166,DM_MA_LOI!$A$6:$A$105,0)),""))</x:f>
      </x:c>
      <x:c r="R166" s="29" t="str">
        <x:f>IF(P166="","",IFERROR(INDEX(DM_MA_LOI!$E$6:$E$105,MATCH(P166,DM_MA_LOI!$A$6:$A$105,0)),""))</x:f>
      </x:c>
      <x:c r="S166" s="29" t="str">
        <x:f>IF(P166="","",IFERROR(INDEX(DM_MA_LOI!$F$6:$F$105,MATCH(P166,DM_MA_LOI!$A$6:$A$105,0)),""))</x:f>
      </x:c>
      <x:c r="T166" s="21"/>
      <x:c r="U166" s="21"/>
      <x:c r="V166" s="21"/>
      <x:c r="W166" s="21"/>
      <x:c r="X166" s="21"/>
      <x:c r="Y166" s="21"/>
      <x:c r="Z166" s="21"/>
      <x:c r="AA166" s="29" t="str">
        <x:f>IF(A166="","",IF(OR(B166="",C166="",D166="",H166="",K166="",L166=""),"Thiếu dữ liệu",IF(M166&lt;&gt;N166+O166,"Sai cân đối SL",IF(AND(O166&gt;0,P166=""),"Thiếu mã lỗi","Hợp lệ"))))</x:f>
      </x:c>
    </x:row>
    <x:row r="167">
      <x:c r="A167" s="21"/>
      <x:c r="B167" s="43"/>
      <x:c r="C167" s="21"/>
      <x:c r="D167" s="21"/>
      <x:c r="E167" s="21"/>
      <x:c r="F167" s="21"/>
      <x:c r="G167" s="29" t="str">
        <x:f>IF(OR(C167="",D167=""),"",C167&amp;"|"&amp;D167&amp;"|"&amp;IF(E167="","00",E167)&amp;"|"&amp;IF(F167="","01",F167))</x:f>
      </x:c>
      <x:c r="H167" s="21"/>
      <x:c r="I167" s="29" t="str">
        <x:f>IF(OR(G167="",H167=""),"",G167&amp;"|"&amp;TEXT(H167,"000"))</x:f>
      </x:c>
      <x:c r="J167" s="21"/>
      <x:c r="K167" s="21"/>
      <x:c r="L167" s="21"/>
      <x:c r="M167" s="23"/>
      <x:c r="N167" s="23"/>
      <x:c r="O167" s="23"/>
      <x:c r="P167" s="21"/>
      <x:c r="Q167" s="29" t="str">
        <x:f>IF(P167="","",IFERROR(INDEX(DM_MA_LOI!$B$6:$B$105,MATCH(P167,DM_MA_LOI!$A$6:$A$105,0)),""))</x:f>
      </x:c>
      <x:c r="R167" s="29" t="str">
        <x:f>IF(P167="","",IFERROR(INDEX(DM_MA_LOI!$E$6:$E$105,MATCH(P167,DM_MA_LOI!$A$6:$A$105,0)),""))</x:f>
      </x:c>
      <x:c r="S167" s="29" t="str">
        <x:f>IF(P167="","",IFERROR(INDEX(DM_MA_LOI!$F$6:$F$105,MATCH(P167,DM_MA_LOI!$A$6:$A$105,0)),""))</x:f>
      </x:c>
      <x:c r="T167" s="21"/>
      <x:c r="U167" s="21"/>
      <x:c r="V167" s="21"/>
      <x:c r="W167" s="21"/>
      <x:c r="X167" s="21"/>
      <x:c r="Y167" s="21"/>
      <x:c r="Z167" s="21"/>
      <x:c r="AA167" s="29" t="str">
        <x:f>IF(A167="","",IF(OR(B167="",C167="",D167="",H167="",K167="",L167=""),"Thiếu dữ liệu",IF(M167&lt;&gt;N167+O167,"Sai cân đối SL",IF(AND(O167&gt;0,P167=""),"Thiếu mã lỗi","Hợp lệ"))))</x:f>
      </x:c>
    </x:row>
    <x:row r="168">
      <x:c r="A168" s="21"/>
      <x:c r="B168" s="43"/>
      <x:c r="C168" s="21"/>
      <x:c r="D168" s="21"/>
      <x:c r="E168" s="21"/>
      <x:c r="F168" s="21"/>
      <x:c r="G168" s="29" t="str">
        <x:f>IF(OR(C168="",D168=""),"",C168&amp;"|"&amp;D168&amp;"|"&amp;IF(E168="","00",E168)&amp;"|"&amp;IF(F168="","01",F168))</x:f>
      </x:c>
      <x:c r="H168" s="21"/>
      <x:c r="I168" s="29" t="str">
        <x:f>IF(OR(G168="",H168=""),"",G168&amp;"|"&amp;TEXT(H168,"000"))</x:f>
      </x:c>
      <x:c r="J168" s="21"/>
      <x:c r="K168" s="21"/>
      <x:c r="L168" s="21"/>
      <x:c r="M168" s="23"/>
      <x:c r="N168" s="23"/>
      <x:c r="O168" s="23"/>
      <x:c r="P168" s="21"/>
      <x:c r="Q168" s="29" t="str">
        <x:f>IF(P168="","",IFERROR(INDEX(DM_MA_LOI!$B$6:$B$105,MATCH(P168,DM_MA_LOI!$A$6:$A$105,0)),""))</x:f>
      </x:c>
      <x:c r="R168" s="29" t="str">
        <x:f>IF(P168="","",IFERROR(INDEX(DM_MA_LOI!$E$6:$E$105,MATCH(P168,DM_MA_LOI!$A$6:$A$105,0)),""))</x:f>
      </x:c>
      <x:c r="S168" s="29" t="str">
        <x:f>IF(P168="","",IFERROR(INDEX(DM_MA_LOI!$F$6:$F$105,MATCH(P168,DM_MA_LOI!$A$6:$A$105,0)),""))</x:f>
      </x:c>
      <x:c r="T168" s="21"/>
      <x:c r="U168" s="21"/>
      <x:c r="V168" s="21"/>
      <x:c r="W168" s="21"/>
      <x:c r="X168" s="21"/>
      <x:c r="Y168" s="21"/>
      <x:c r="Z168" s="21"/>
      <x:c r="AA168" s="29" t="str">
        <x:f>IF(A168="","",IF(OR(B168="",C168="",D168="",H168="",K168="",L168=""),"Thiếu dữ liệu",IF(M168&lt;&gt;N168+O168,"Sai cân đối SL",IF(AND(O168&gt;0,P168=""),"Thiếu mã lỗi","Hợp lệ"))))</x:f>
      </x:c>
    </x:row>
    <x:row r="169">
      <x:c r="A169" s="21"/>
      <x:c r="B169" s="43"/>
      <x:c r="C169" s="21"/>
      <x:c r="D169" s="21"/>
      <x:c r="E169" s="21"/>
      <x:c r="F169" s="21"/>
      <x:c r="G169" s="29" t="str">
        <x:f>IF(OR(C169="",D169=""),"",C169&amp;"|"&amp;D169&amp;"|"&amp;IF(E169="","00",E169)&amp;"|"&amp;IF(F169="","01",F169))</x:f>
      </x:c>
      <x:c r="H169" s="21"/>
      <x:c r="I169" s="29" t="str">
        <x:f>IF(OR(G169="",H169=""),"",G169&amp;"|"&amp;TEXT(H169,"000"))</x:f>
      </x:c>
      <x:c r="J169" s="21"/>
      <x:c r="K169" s="21"/>
      <x:c r="L169" s="21"/>
      <x:c r="M169" s="23"/>
      <x:c r="N169" s="23"/>
      <x:c r="O169" s="23"/>
      <x:c r="P169" s="21"/>
      <x:c r="Q169" s="29" t="str">
        <x:f>IF(P169="","",IFERROR(INDEX(DM_MA_LOI!$B$6:$B$105,MATCH(P169,DM_MA_LOI!$A$6:$A$105,0)),""))</x:f>
      </x:c>
      <x:c r="R169" s="29" t="str">
        <x:f>IF(P169="","",IFERROR(INDEX(DM_MA_LOI!$E$6:$E$105,MATCH(P169,DM_MA_LOI!$A$6:$A$105,0)),""))</x:f>
      </x:c>
      <x:c r="S169" s="29" t="str">
        <x:f>IF(P169="","",IFERROR(INDEX(DM_MA_LOI!$F$6:$F$105,MATCH(P169,DM_MA_LOI!$A$6:$A$105,0)),""))</x:f>
      </x:c>
      <x:c r="T169" s="21"/>
      <x:c r="U169" s="21"/>
      <x:c r="V169" s="21"/>
      <x:c r="W169" s="21"/>
      <x:c r="X169" s="21"/>
      <x:c r="Y169" s="21"/>
      <x:c r="Z169" s="21"/>
      <x:c r="AA169" s="29" t="str">
        <x:f>IF(A169="","",IF(OR(B169="",C169="",D169="",H169="",K169="",L169=""),"Thiếu dữ liệu",IF(M169&lt;&gt;N169+O169,"Sai cân đối SL",IF(AND(O169&gt;0,P169=""),"Thiếu mã lỗi","Hợp lệ"))))</x:f>
      </x:c>
    </x:row>
    <x:row r="170">
      <x:c r="A170" s="21"/>
      <x:c r="B170" s="43"/>
      <x:c r="C170" s="21"/>
      <x:c r="D170" s="21"/>
      <x:c r="E170" s="21"/>
      <x:c r="F170" s="21"/>
      <x:c r="G170" s="29" t="str">
        <x:f>IF(OR(C170="",D170=""),"",C170&amp;"|"&amp;D170&amp;"|"&amp;IF(E170="","00",E170)&amp;"|"&amp;IF(F170="","01",F170))</x:f>
      </x:c>
      <x:c r="H170" s="21"/>
      <x:c r="I170" s="29" t="str">
        <x:f>IF(OR(G170="",H170=""),"",G170&amp;"|"&amp;TEXT(H170,"000"))</x:f>
      </x:c>
      <x:c r="J170" s="21"/>
      <x:c r="K170" s="21"/>
      <x:c r="L170" s="21"/>
      <x:c r="M170" s="23"/>
      <x:c r="N170" s="23"/>
      <x:c r="O170" s="23"/>
      <x:c r="P170" s="21"/>
      <x:c r="Q170" s="29" t="str">
        <x:f>IF(P170="","",IFERROR(INDEX(DM_MA_LOI!$B$6:$B$105,MATCH(P170,DM_MA_LOI!$A$6:$A$105,0)),""))</x:f>
      </x:c>
      <x:c r="R170" s="29" t="str">
        <x:f>IF(P170="","",IFERROR(INDEX(DM_MA_LOI!$E$6:$E$105,MATCH(P170,DM_MA_LOI!$A$6:$A$105,0)),""))</x:f>
      </x:c>
      <x:c r="S170" s="29" t="str">
        <x:f>IF(P170="","",IFERROR(INDEX(DM_MA_LOI!$F$6:$F$105,MATCH(P170,DM_MA_LOI!$A$6:$A$105,0)),""))</x:f>
      </x:c>
      <x:c r="T170" s="21"/>
      <x:c r="U170" s="21"/>
      <x:c r="V170" s="21"/>
      <x:c r="W170" s="21"/>
      <x:c r="X170" s="21"/>
      <x:c r="Y170" s="21"/>
      <x:c r="Z170" s="21"/>
      <x:c r="AA170" s="29" t="str">
        <x:f>IF(A170="","",IF(OR(B170="",C170="",D170="",H170="",K170="",L170=""),"Thiếu dữ liệu",IF(M170&lt;&gt;N170+O170,"Sai cân đối SL",IF(AND(O170&gt;0,P170=""),"Thiếu mã lỗi","Hợp lệ"))))</x:f>
      </x:c>
    </x:row>
    <x:row r="171">
      <x:c r="A171" s="21"/>
      <x:c r="B171" s="43"/>
      <x:c r="C171" s="21"/>
      <x:c r="D171" s="21"/>
      <x:c r="E171" s="21"/>
      <x:c r="F171" s="21"/>
      <x:c r="G171" s="29" t="str">
        <x:f>IF(OR(C171="",D171=""),"",C171&amp;"|"&amp;D171&amp;"|"&amp;IF(E171="","00",E171)&amp;"|"&amp;IF(F171="","01",F171))</x:f>
      </x:c>
      <x:c r="H171" s="21"/>
      <x:c r="I171" s="29" t="str">
        <x:f>IF(OR(G171="",H171=""),"",G171&amp;"|"&amp;TEXT(H171,"000"))</x:f>
      </x:c>
      <x:c r="J171" s="21"/>
      <x:c r="K171" s="21"/>
      <x:c r="L171" s="21"/>
      <x:c r="M171" s="23"/>
      <x:c r="N171" s="23"/>
      <x:c r="O171" s="23"/>
      <x:c r="P171" s="21"/>
      <x:c r="Q171" s="29" t="str">
        <x:f>IF(P171="","",IFERROR(INDEX(DM_MA_LOI!$B$6:$B$105,MATCH(P171,DM_MA_LOI!$A$6:$A$105,0)),""))</x:f>
      </x:c>
      <x:c r="R171" s="29" t="str">
        <x:f>IF(P171="","",IFERROR(INDEX(DM_MA_LOI!$E$6:$E$105,MATCH(P171,DM_MA_LOI!$A$6:$A$105,0)),""))</x:f>
      </x:c>
      <x:c r="S171" s="29" t="str">
        <x:f>IF(P171="","",IFERROR(INDEX(DM_MA_LOI!$F$6:$F$105,MATCH(P171,DM_MA_LOI!$A$6:$A$105,0)),""))</x:f>
      </x:c>
      <x:c r="T171" s="21"/>
      <x:c r="U171" s="21"/>
      <x:c r="V171" s="21"/>
      <x:c r="W171" s="21"/>
      <x:c r="X171" s="21"/>
      <x:c r="Y171" s="21"/>
      <x:c r="Z171" s="21"/>
      <x:c r="AA171" s="29" t="str">
        <x:f>IF(A171="","",IF(OR(B171="",C171="",D171="",H171="",K171="",L171=""),"Thiếu dữ liệu",IF(M171&lt;&gt;N171+O171,"Sai cân đối SL",IF(AND(O171&gt;0,P171=""),"Thiếu mã lỗi","Hợp lệ"))))</x:f>
      </x:c>
    </x:row>
    <x:row r="172">
      <x:c r="A172" s="21"/>
      <x:c r="B172" s="43"/>
      <x:c r="C172" s="21"/>
      <x:c r="D172" s="21"/>
      <x:c r="E172" s="21"/>
      <x:c r="F172" s="21"/>
      <x:c r="G172" s="29" t="str">
        <x:f>IF(OR(C172="",D172=""),"",C172&amp;"|"&amp;D172&amp;"|"&amp;IF(E172="","00",E172)&amp;"|"&amp;IF(F172="","01",F172))</x:f>
      </x:c>
      <x:c r="H172" s="21"/>
      <x:c r="I172" s="29" t="str">
        <x:f>IF(OR(G172="",H172=""),"",G172&amp;"|"&amp;TEXT(H172,"000"))</x:f>
      </x:c>
      <x:c r="J172" s="21"/>
      <x:c r="K172" s="21"/>
      <x:c r="L172" s="21"/>
      <x:c r="M172" s="23"/>
      <x:c r="N172" s="23"/>
      <x:c r="O172" s="23"/>
      <x:c r="P172" s="21"/>
      <x:c r="Q172" s="29" t="str">
        <x:f>IF(P172="","",IFERROR(INDEX(DM_MA_LOI!$B$6:$B$105,MATCH(P172,DM_MA_LOI!$A$6:$A$105,0)),""))</x:f>
      </x:c>
      <x:c r="R172" s="29" t="str">
        <x:f>IF(P172="","",IFERROR(INDEX(DM_MA_LOI!$E$6:$E$105,MATCH(P172,DM_MA_LOI!$A$6:$A$105,0)),""))</x:f>
      </x:c>
      <x:c r="S172" s="29" t="str">
        <x:f>IF(P172="","",IFERROR(INDEX(DM_MA_LOI!$F$6:$F$105,MATCH(P172,DM_MA_LOI!$A$6:$A$105,0)),""))</x:f>
      </x:c>
      <x:c r="T172" s="21"/>
      <x:c r="U172" s="21"/>
      <x:c r="V172" s="21"/>
      <x:c r="W172" s="21"/>
      <x:c r="X172" s="21"/>
      <x:c r="Y172" s="21"/>
      <x:c r="Z172" s="21"/>
      <x:c r="AA172" s="29" t="str">
        <x:f>IF(A172="","",IF(OR(B172="",C172="",D172="",H172="",K172="",L172=""),"Thiếu dữ liệu",IF(M172&lt;&gt;N172+O172,"Sai cân đối SL",IF(AND(O172&gt;0,P172=""),"Thiếu mã lỗi","Hợp lệ"))))</x:f>
      </x:c>
    </x:row>
    <x:row r="173">
      <x:c r="A173" s="21"/>
      <x:c r="B173" s="43"/>
      <x:c r="C173" s="21"/>
      <x:c r="D173" s="21"/>
      <x:c r="E173" s="21"/>
      <x:c r="F173" s="21"/>
      <x:c r="G173" s="29" t="str">
        <x:f>IF(OR(C173="",D173=""),"",C173&amp;"|"&amp;D173&amp;"|"&amp;IF(E173="","00",E173)&amp;"|"&amp;IF(F173="","01",F173))</x:f>
      </x:c>
      <x:c r="H173" s="21"/>
      <x:c r="I173" s="29" t="str">
        <x:f>IF(OR(G173="",H173=""),"",G173&amp;"|"&amp;TEXT(H173,"000"))</x:f>
      </x:c>
      <x:c r="J173" s="21"/>
      <x:c r="K173" s="21"/>
      <x:c r="L173" s="21"/>
      <x:c r="M173" s="23"/>
      <x:c r="N173" s="23"/>
      <x:c r="O173" s="23"/>
      <x:c r="P173" s="21"/>
      <x:c r="Q173" s="29" t="str">
        <x:f>IF(P173="","",IFERROR(INDEX(DM_MA_LOI!$B$6:$B$105,MATCH(P173,DM_MA_LOI!$A$6:$A$105,0)),""))</x:f>
      </x:c>
      <x:c r="R173" s="29" t="str">
        <x:f>IF(P173="","",IFERROR(INDEX(DM_MA_LOI!$E$6:$E$105,MATCH(P173,DM_MA_LOI!$A$6:$A$105,0)),""))</x:f>
      </x:c>
      <x:c r="S173" s="29" t="str">
        <x:f>IF(P173="","",IFERROR(INDEX(DM_MA_LOI!$F$6:$F$105,MATCH(P173,DM_MA_LOI!$A$6:$A$105,0)),""))</x:f>
      </x:c>
      <x:c r="T173" s="21"/>
      <x:c r="U173" s="21"/>
      <x:c r="V173" s="21"/>
      <x:c r="W173" s="21"/>
      <x:c r="X173" s="21"/>
      <x:c r="Y173" s="21"/>
      <x:c r="Z173" s="21"/>
      <x:c r="AA173" s="29" t="str">
        <x:f>IF(A173="","",IF(OR(B173="",C173="",D173="",H173="",K173="",L173=""),"Thiếu dữ liệu",IF(M173&lt;&gt;N173+O173,"Sai cân đối SL",IF(AND(O173&gt;0,P173=""),"Thiếu mã lỗi","Hợp lệ"))))</x:f>
      </x:c>
    </x:row>
    <x:row r="174">
      <x:c r="A174" s="21"/>
      <x:c r="B174" s="43"/>
      <x:c r="C174" s="21"/>
      <x:c r="D174" s="21"/>
      <x:c r="E174" s="21"/>
      <x:c r="F174" s="21"/>
      <x:c r="G174" s="29" t="str">
        <x:f>IF(OR(C174="",D174=""),"",C174&amp;"|"&amp;D174&amp;"|"&amp;IF(E174="","00",E174)&amp;"|"&amp;IF(F174="","01",F174))</x:f>
      </x:c>
      <x:c r="H174" s="21"/>
      <x:c r="I174" s="29" t="str">
        <x:f>IF(OR(G174="",H174=""),"",G174&amp;"|"&amp;TEXT(H174,"000"))</x:f>
      </x:c>
      <x:c r="J174" s="21"/>
      <x:c r="K174" s="21"/>
      <x:c r="L174" s="21"/>
      <x:c r="M174" s="23"/>
      <x:c r="N174" s="23"/>
      <x:c r="O174" s="23"/>
      <x:c r="P174" s="21"/>
      <x:c r="Q174" s="29" t="str">
        <x:f>IF(P174="","",IFERROR(INDEX(DM_MA_LOI!$B$6:$B$105,MATCH(P174,DM_MA_LOI!$A$6:$A$105,0)),""))</x:f>
      </x:c>
      <x:c r="R174" s="29" t="str">
        <x:f>IF(P174="","",IFERROR(INDEX(DM_MA_LOI!$E$6:$E$105,MATCH(P174,DM_MA_LOI!$A$6:$A$105,0)),""))</x:f>
      </x:c>
      <x:c r="S174" s="29" t="str">
        <x:f>IF(P174="","",IFERROR(INDEX(DM_MA_LOI!$F$6:$F$105,MATCH(P174,DM_MA_LOI!$A$6:$A$105,0)),""))</x:f>
      </x:c>
      <x:c r="T174" s="21"/>
      <x:c r="U174" s="21"/>
      <x:c r="V174" s="21"/>
      <x:c r="W174" s="21"/>
      <x:c r="X174" s="21"/>
      <x:c r="Y174" s="21"/>
      <x:c r="Z174" s="21"/>
      <x:c r="AA174" s="29" t="str">
        <x:f>IF(A174="","",IF(OR(B174="",C174="",D174="",H174="",K174="",L174=""),"Thiếu dữ liệu",IF(M174&lt;&gt;N174+O174,"Sai cân đối SL",IF(AND(O174&gt;0,P174=""),"Thiếu mã lỗi","Hợp lệ"))))</x:f>
      </x:c>
    </x:row>
    <x:row r="175">
      <x:c r="A175" s="21"/>
      <x:c r="B175" s="43"/>
      <x:c r="C175" s="21"/>
      <x:c r="D175" s="21"/>
      <x:c r="E175" s="21"/>
      <x:c r="F175" s="21"/>
      <x:c r="G175" s="29" t="str">
        <x:f>IF(OR(C175="",D175=""),"",C175&amp;"|"&amp;D175&amp;"|"&amp;IF(E175="","00",E175)&amp;"|"&amp;IF(F175="","01",F175))</x:f>
      </x:c>
      <x:c r="H175" s="21"/>
      <x:c r="I175" s="29" t="str">
        <x:f>IF(OR(G175="",H175=""),"",G175&amp;"|"&amp;TEXT(H175,"000"))</x:f>
      </x:c>
      <x:c r="J175" s="21"/>
      <x:c r="K175" s="21"/>
      <x:c r="L175" s="21"/>
      <x:c r="M175" s="23"/>
      <x:c r="N175" s="23"/>
      <x:c r="O175" s="23"/>
      <x:c r="P175" s="21"/>
      <x:c r="Q175" s="29" t="str">
        <x:f>IF(P175="","",IFERROR(INDEX(DM_MA_LOI!$B$6:$B$105,MATCH(P175,DM_MA_LOI!$A$6:$A$105,0)),""))</x:f>
      </x:c>
      <x:c r="R175" s="29" t="str">
        <x:f>IF(P175="","",IFERROR(INDEX(DM_MA_LOI!$E$6:$E$105,MATCH(P175,DM_MA_LOI!$A$6:$A$105,0)),""))</x:f>
      </x:c>
      <x:c r="S175" s="29" t="str">
        <x:f>IF(P175="","",IFERROR(INDEX(DM_MA_LOI!$F$6:$F$105,MATCH(P175,DM_MA_LOI!$A$6:$A$105,0)),""))</x:f>
      </x:c>
      <x:c r="T175" s="21"/>
      <x:c r="U175" s="21"/>
      <x:c r="V175" s="21"/>
      <x:c r="W175" s="21"/>
      <x:c r="X175" s="21"/>
      <x:c r="Y175" s="21"/>
      <x:c r="Z175" s="21"/>
      <x:c r="AA175" s="29" t="str">
        <x:f>IF(A175="","",IF(OR(B175="",C175="",D175="",H175="",K175="",L175=""),"Thiếu dữ liệu",IF(M175&lt;&gt;N175+O175,"Sai cân đối SL",IF(AND(O175&gt;0,P175=""),"Thiếu mã lỗi","Hợp lệ"))))</x:f>
      </x:c>
    </x:row>
    <x:row r="176">
      <x:c r="A176" s="21"/>
      <x:c r="B176" s="43"/>
      <x:c r="C176" s="21"/>
      <x:c r="D176" s="21"/>
      <x:c r="E176" s="21"/>
      <x:c r="F176" s="21"/>
      <x:c r="G176" s="29" t="str">
        <x:f>IF(OR(C176="",D176=""),"",C176&amp;"|"&amp;D176&amp;"|"&amp;IF(E176="","00",E176)&amp;"|"&amp;IF(F176="","01",F176))</x:f>
      </x:c>
      <x:c r="H176" s="21"/>
      <x:c r="I176" s="29" t="str">
        <x:f>IF(OR(G176="",H176=""),"",G176&amp;"|"&amp;TEXT(H176,"000"))</x:f>
      </x:c>
      <x:c r="J176" s="21"/>
      <x:c r="K176" s="21"/>
      <x:c r="L176" s="21"/>
      <x:c r="M176" s="23"/>
      <x:c r="N176" s="23"/>
      <x:c r="O176" s="23"/>
      <x:c r="P176" s="21"/>
      <x:c r="Q176" s="29" t="str">
        <x:f>IF(P176="","",IFERROR(INDEX(DM_MA_LOI!$B$6:$B$105,MATCH(P176,DM_MA_LOI!$A$6:$A$105,0)),""))</x:f>
      </x:c>
      <x:c r="R176" s="29" t="str">
        <x:f>IF(P176="","",IFERROR(INDEX(DM_MA_LOI!$E$6:$E$105,MATCH(P176,DM_MA_LOI!$A$6:$A$105,0)),""))</x:f>
      </x:c>
      <x:c r="S176" s="29" t="str">
        <x:f>IF(P176="","",IFERROR(INDEX(DM_MA_LOI!$F$6:$F$105,MATCH(P176,DM_MA_LOI!$A$6:$A$105,0)),""))</x:f>
      </x:c>
      <x:c r="T176" s="21"/>
      <x:c r="U176" s="21"/>
      <x:c r="V176" s="21"/>
      <x:c r="W176" s="21"/>
      <x:c r="X176" s="21"/>
      <x:c r="Y176" s="21"/>
      <x:c r="Z176" s="21"/>
      <x:c r="AA176" s="29" t="str">
        <x:f>IF(A176="","",IF(OR(B176="",C176="",D176="",H176="",K176="",L176=""),"Thiếu dữ liệu",IF(M176&lt;&gt;N176+O176,"Sai cân đối SL",IF(AND(O176&gt;0,P176=""),"Thiếu mã lỗi","Hợp lệ"))))</x:f>
      </x:c>
    </x:row>
    <x:row r="177">
      <x:c r="A177" s="21"/>
      <x:c r="B177" s="43"/>
      <x:c r="C177" s="21"/>
      <x:c r="D177" s="21"/>
      <x:c r="E177" s="21"/>
      <x:c r="F177" s="21"/>
      <x:c r="G177" s="29" t="str">
        <x:f>IF(OR(C177="",D177=""),"",C177&amp;"|"&amp;D177&amp;"|"&amp;IF(E177="","00",E177)&amp;"|"&amp;IF(F177="","01",F177))</x:f>
      </x:c>
      <x:c r="H177" s="21"/>
      <x:c r="I177" s="29" t="str">
        <x:f>IF(OR(G177="",H177=""),"",G177&amp;"|"&amp;TEXT(H177,"000"))</x:f>
      </x:c>
      <x:c r="J177" s="21"/>
      <x:c r="K177" s="21"/>
      <x:c r="L177" s="21"/>
      <x:c r="M177" s="23"/>
      <x:c r="N177" s="23"/>
      <x:c r="O177" s="23"/>
      <x:c r="P177" s="21"/>
      <x:c r="Q177" s="29" t="str">
        <x:f>IF(P177="","",IFERROR(INDEX(DM_MA_LOI!$B$6:$B$105,MATCH(P177,DM_MA_LOI!$A$6:$A$105,0)),""))</x:f>
      </x:c>
      <x:c r="R177" s="29" t="str">
        <x:f>IF(P177="","",IFERROR(INDEX(DM_MA_LOI!$E$6:$E$105,MATCH(P177,DM_MA_LOI!$A$6:$A$105,0)),""))</x:f>
      </x:c>
      <x:c r="S177" s="29" t="str">
        <x:f>IF(P177="","",IFERROR(INDEX(DM_MA_LOI!$F$6:$F$105,MATCH(P177,DM_MA_LOI!$A$6:$A$105,0)),""))</x:f>
      </x:c>
      <x:c r="T177" s="21"/>
      <x:c r="U177" s="21"/>
      <x:c r="V177" s="21"/>
      <x:c r="W177" s="21"/>
      <x:c r="X177" s="21"/>
      <x:c r="Y177" s="21"/>
      <x:c r="Z177" s="21"/>
      <x:c r="AA177" s="29" t="str">
        <x:f>IF(A177="","",IF(OR(B177="",C177="",D177="",H177="",K177="",L177=""),"Thiếu dữ liệu",IF(M177&lt;&gt;N177+O177,"Sai cân đối SL",IF(AND(O177&gt;0,P177=""),"Thiếu mã lỗi","Hợp lệ"))))</x:f>
      </x:c>
    </x:row>
    <x:row r="178">
      <x:c r="A178" s="21"/>
      <x:c r="B178" s="43"/>
      <x:c r="C178" s="21"/>
      <x:c r="D178" s="21"/>
      <x:c r="E178" s="21"/>
      <x:c r="F178" s="21"/>
      <x:c r="G178" s="29" t="str">
        <x:f>IF(OR(C178="",D178=""),"",C178&amp;"|"&amp;D178&amp;"|"&amp;IF(E178="","00",E178)&amp;"|"&amp;IF(F178="","01",F178))</x:f>
      </x:c>
      <x:c r="H178" s="21"/>
      <x:c r="I178" s="29" t="str">
        <x:f>IF(OR(G178="",H178=""),"",G178&amp;"|"&amp;TEXT(H178,"000"))</x:f>
      </x:c>
      <x:c r="J178" s="21"/>
      <x:c r="K178" s="21"/>
      <x:c r="L178" s="21"/>
      <x:c r="M178" s="23"/>
      <x:c r="N178" s="23"/>
      <x:c r="O178" s="23"/>
      <x:c r="P178" s="21"/>
      <x:c r="Q178" s="29" t="str">
        <x:f>IF(P178="","",IFERROR(INDEX(DM_MA_LOI!$B$6:$B$105,MATCH(P178,DM_MA_LOI!$A$6:$A$105,0)),""))</x:f>
      </x:c>
      <x:c r="R178" s="29" t="str">
        <x:f>IF(P178="","",IFERROR(INDEX(DM_MA_LOI!$E$6:$E$105,MATCH(P178,DM_MA_LOI!$A$6:$A$105,0)),""))</x:f>
      </x:c>
      <x:c r="S178" s="29" t="str">
        <x:f>IF(P178="","",IFERROR(INDEX(DM_MA_LOI!$F$6:$F$105,MATCH(P178,DM_MA_LOI!$A$6:$A$105,0)),""))</x:f>
      </x:c>
      <x:c r="T178" s="21"/>
      <x:c r="U178" s="21"/>
      <x:c r="V178" s="21"/>
      <x:c r="W178" s="21"/>
      <x:c r="X178" s="21"/>
      <x:c r="Y178" s="21"/>
      <x:c r="Z178" s="21"/>
      <x:c r="AA178" s="29" t="str">
        <x:f>IF(A178="","",IF(OR(B178="",C178="",D178="",H178="",K178="",L178=""),"Thiếu dữ liệu",IF(M178&lt;&gt;N178+O178,"Sai cân đối SL",IF(AND(O178&gt;0,P178=""),"Thiếu mã lỗi","Hợp lệ"))))</x:f>
      </x:c>
    </x:row>
    <x:row r="179">
      <x:c r="A179" s="21"/>
      <x:c r="B179" s="43"/>
      <x:c r="C179" s="21"/>
      <x:c r="D179" s="21"/>
      <x:c r="E179" s="21"/>
      <x:c r="F179" s="21"/>
      <x:c r="G179" s="29" t="str">
        <x:f>IF(OR(C179="",D179=""),"",C179&amp;"|"&amp;D179&amp;"|"&amp;IF(E179="","00",E179)&amp;"|"&amp;IF(F179="","01",F179))</x:f>
      </x:c>
      <x:c r="H179" s="21"/>
      <x:c r="I179" s="29" t="str">
        <x:f>IF(OR(G179="",H179=""),"",G179&amp;"|"&amp;TEXT(H179,"000"))</x:f>
      </x:c>
      <x:c r="J179" s="21"/>
      <x:c r="K179" s="21"/>
      <x:c r="L179" s="21"/>
      <x:c r="M179" s="23"/>
      <x:c r="N179" s="23"/>
      <x:c r="O179" s="23"/>
      <x:c r="P179" s="21"/>
      <x:c r="Q179" s="29" t="str">
        <x:f>IF(P179="","",IFERROR(INDEX(DM_MA_LOI!$B$6:$B$105,MATCH(P179,DM_MA_LOI!$A$6:$A$105,0)),""))</x:f>
      </x:c>
      <x:c r="R179" s="29" t="str">
        <x:f>IF(P179="","",IFERROR(INDEX(DM_MA_LOI!$E$6:$E$105,MATCH(P179,DM_MA_LOI!$A$6:$A$105,0)),""))</x:f>
      </x:c>
      <x:c r="S179" s="29" t="str">
        <x:f>IF(P179="","",IFERROR(INDEX(DM_MA_LOI!$F$6:$F$105,MATCH(P179,DM_MA_LOI!$A$6:$A$105,0)),""))</x:f>
      </x:c>
      <x:c r="T179" s="21"/>
      <x:c r="U179" s="21"/>
      <x:c r="V179" s="21"/>
      <x:c r="W179" s="21"/>
      <x:c r="X179" s="21"/>
      <x:c r="Y179" s="21"/>
      <x:c r="Z179" s="21"/>
      <x:c r="AA179" s="29" t="str">
        <x:f>IF(A179="","",IF(OR(B179="",C179="",D179="",H179="",K179="",L179=""),"Thiếu dữ liệu",IF(M179&lt;&gt;N179+O179,"Sai cân đối SL",IF(AND(O179&gt;0,P179=""),"Thiếu mã lỗi","Hợp lệ"))))</x:f>
      </x:c>
    </x:row>
    <x:row r="180">
      <x:c r="A180" s="21"/>
      <x:c r="B180" s="43"/>
      <x:c r="C180" s="21"/>
      <x:c r="D180" s="21"/>
      <x:c r="E180" s="21"/>
      <x:c r="F180" s="21"/>
      <x:c r="G180" s="29" t="str">
        <x:f>IF(OR(C180="",D180=""),"",C180&amp;"|"&amp;D180&amp;"|"&amp;IF(E180="","00",E180)&amp;"|"&amp;IF(F180="","01",F180))</x:f>
      </x:c>
      <x:c r="H180" s="21"/>
      <x:c r="I180" s="29" t="str">
        <x:f>IF(OR(G180="",H180=""),"",G180&amp;"|"&amp;TEXT(H180,"000"))</x:f>
      </x:c>
      <x:c r="J180" s="21"/>
      <x:c r="K180" s="21"/>
      <x:c r="L180" s="21"/>
      <x:c r="M180" s="23"/>
      <x:c r="N180" s="23"/>
      <x:c r="O180" s="23"/>
      <x:c r="P180" s="21"/>
      <x:c r="Q180" s="29" t="str">
        <x:f>IF(P180="","",IFERROR(INDEX(DM_MA_LOI!$B$6:$B$105,MATCH(P180,DM_MA_LOI!$A$6:$A$105,0)),""))</x:f>
      </x:c>
      <x:c r="R180" s="29" t="str">
        <x:f>IF(P180="","",IFERROR(INDEX(DM_MA_LOI!$E$6:$E$105,MATCH(P180,DM_MA_LOI!$A$6:$A$105,0)),""))</x:f>
      </x:c>
      <x:c r="S180" s="29" t="str">
        <x:f>IF(P180="","",IFERROR(INDEX(DM_MA_LOI!$F$6:$F$105,MATCH(P180,DM_MA_LOI!$A$6:$A$105,0)),""))</x:f>
      </x:c>
      <x:c r="T180" s="21"/>
      <x:c r="U180" s="21"/>
      <x:c r="V180" s="21"/>
      <x:c r="W180" s="21"/>
      <x:c r="X180" s="21"/>
      <x:c r="Y180" s="21"/>
      <x:c r="Z180" s="21"/>
      <x:c r="AA180" s="29" t="str">
        <x:f>IF(A180="","",IF(OR(B180="",C180="",D180="",H180="",K180="",L180=""),"Thiếu dữ liệu",IF(M180&lt;&gt;N180+O180,"Sai cân đối SL",IF(AND(O180&gt;0,P180=""),"Thiếu mã lỗi","Hợp lệ"))))</x:f>
      </x:c>
    </x:row>
    <x:row r="181">
      <x:c r="A181" s="21"/>
      <x:c r="B181" s="43"/>
      <x:c r="C181" s="21"/>
      <x:c r="D181" s="21"/>
      <x:c r="E181" s="21"/>
      <x:c r="F181" s="21"/>
      <x:c r="G181" s="29" t="str">
        <x:f>IF(OR(C181="",D181=""),"",C181&amp;"|"&amp;D181&amp;"|"&amp;IF(E181="","00",E181)&amp;"|"&amp;IF(F181="","01",F181))</x:f>
      </x:c>
      <x:c r="H181" s="21"/>
      <x:c r="I181" s="29" t="str">
        <x:f>IF(OR(G181="",H181=""),"",G181&amp;"|"&amp;TEXT(H181,"000"))</x:f>
      </x:c>
      <x:c r="J181" s="21"/>
      <x:c r="K181" s="21"/>
      <x:c r="L181" s="21"/>
      <x:c r="M181" s="23"/>
      <x:c r="N181" s="23"/>
      <x:c r="O181" s="23"/>
      <x:c r="P181" s="21"/>
      <x:c r="Q181" s="29" t="str">
        <x:f>IF(P181="","",IFERROR(INDEX(DM_MA_LOI!$B$6:$B$105,MATCH(P181,DM_MA_LOI!$A$6:$A$105,0)),""))</x:f>
      </x:c>
      <x:c r="R181" s="29" t="str">
        <x:f>IF(P181="","",IFERROR(INDEX(DM_MA_LOI!$E$6:$E$105,MATCH(P181,DM_MA_LOI!$A$6:$A$105,0)),""))</x:f>
      </x:c>
      <x:c r="S181" s="29" t="str">
        <x:f>IF(P181="","",IFERROR(INDEX(DM_MA_LOI!$F$6:$F$105,MATCH(P181,DM_MA_LOI!$A$6:$A$105,0)),""))</x:f>
      </x:c>
      <x:c r="T181" s="21"/>
      <x:c r="U181" s="21"/>
      <x:c r="V181" s="21"/>
      <x:c r="W181" s="21"/>
      <x:c r="X181" s="21"/>
      <x:c r="Y181" s="21"/>
      <x:c r="Z181" s="21"/>
      <x:c r="AA181" s="29" t="str">
        <x:f>IF(A181="","",IF(OR(B181="",C181="",D181="",H181="",K181="",L181=""),"Thiếu dữ liệu",IF(M181&lt;&gt;N181+O181,"Sai cân đối SL",IF(AND(O181&gt;0,P181=""),"Thiếu mã lỗi","Hợp lệ"))))</x:f>
      </x:c>
    </x:row>
    <x:row r="182">
      <x:c r="A182" s="21"/>
      <x:c r="B182" s="43"/>
      <x:c r="C182" s="21"/>
      <x:c r="D182" s="21"/>
      <x:c r="E182" s="21"/>
      <x:c r="F182" s="21"/>
      <x:c r="G182" s="29" t="str">
        <x:f>IF(OR(C182="",D182=""),"",C182&amp;"|"&amp;D182&amp;"|"&amp;IF(E182="","00",E182)&amp;"|"&amp;IF(F182="","01",F182))</x:f>
      </x:c>
      <x:c r="H182" s="21"/>
      <x:c r="I182" s="29" t="str">
        <x:f>IF(OR(G182="",H182=""),"",G182&amp;"|"&amp;TEXT(H182,"000"))</x:f>
      </x:c>
      <x:c r="J182" s="21"/>
      <x:c r="K182" s="21"/>
      <x:c r="L182" s="21"/>
      <x:c r="M182" s="23"/>
      <x:c r="N182" s="23"/>
      <x:c r="O182" s="23"/>
      <x:c r="P182" s="21"/>
      <x:c r="Q182" s="29" t="str">
        <x:f>IF(P182="","",IFERROR(INDEX(DM_MA_LOI!$B$6:$B$105,MATCH(P182,DM_MA_LOI!$A$6:$A$105,0)),""))</x:f>
      </x:c>
      <x:c r="R182" s="29" t="str">
        <x:f>IF(P182="","",IFERROR(INDEX(DM_MA_LOI!$E$6:$E$105,MATCH(P182,DM_MA_LOI!$A$6:$A$105,0)),""))</x:f>
      </x:c>
      <x:c r="S182" s="29" t="str">
        <x:f>IF(P182="","",IFERROR(INDEX(DM_MA_LOI!$F$6:$F$105,MATCH(P182,DM_MA_LOI!$A$6:$A$105,0)),""))</x:f>
      </x:c>
      <x:c r="T182" s="21"/>
      <x:c r="U182" s="21"/>
      <x:c r="V182" s="21"/>
      <x:c r="W182" s="21"/>
      <x:c r="X182" s="21"/>
      <x:c r="Y182" s="21"/>
      <x:c r="Z182" s="21"/>
      <x:c r="AA182" s="29" t="str">
        <x:f>IF(A182="","",IF(OR(B182="",C182="",D182="",H182="",K182="",L182=""),"Thiếu dữ liệu",IF(M182&lt;&gt;N182+O182,"Sai cân đối SL",IF(AND(O182&gt;0,P182=""),"Thiếu mã lỗi","Hợp lệ"))))</x:f>
      </x:c>
    </x:row>
    <x:row r="183">
      <x:c r="A183" s="21"/>
      <x:c r="B183" s="43"/>
      <x:c r="C183" s="21"/>
      <x:c r="D183" s="21"/>
      <x:c r="E183" s="21"/>
      <x:c r="F183" s="21"/>
      <x:c r="G183" s="29" t="str">
        <x:f>IF(OR(C183="",D183=""),"",C183&amp;"|"&amp;D183&amp;"|"&amp;IF(E183="","00",E183)&amp;"|"&amp;IF(F183="","01",F183))</x:f>
      </x:c>
      <x:c r="H183" s="21"/>
      <x:c r="I183" s="29" t="str">
        <x:f>IF(OR(G183="",H183=""),"",G183&amp;"|"&amp;TEXT(H183,"000"))</x:f>
      </x:c>
      <x:c r="J183" s="21"/>
      <x:c r="K183" s="21"/>
      <x:c r="L183" s="21"/>
      <x:c r="M183" s="23"/>
      <x:c r="N183" s="23"/>
      <x:c r="O183" s="23"/>
      <x:c r="P183" s="21"/>
      <x:c r="Q183" s="29" t="str">
        <x:f>IF(P183="","",IFERROR(INDEX(DM_MA_LOI!$B$6:$B$105,MATCH(P183,DM_MA_LOI!$A$6:$A$105,0)),""))</x:f>
      </x:c>
      <x:c r="R183" s="29" t="str">
        <x:f>IF(P183="","",IFERROR(INDEX(DM_MA_LOI!$E$6:$E$105,MATCH(P183,DM_MA_LOI!$A$6:$A$105,0)),""))</x:f>
      </x:c>
      <x:c r="S183" s="29" t="str">
        <x:f>IF(P183="","",IFERROR(INDEX(DM_MA_LOI!$F$6:$F$105,MATCH(P183,DM_MA_LOI!$A$6:$A$105,0)),""))</x:f>
      </x:c>
      <x:c r="T183" s="21"/>
      <x:c r="U183" s="21"/>
      <x:c r="V183" s="21"/>
      <x:c r="W183" s="21"/>
      <x:c r="X183" s="21"/>
      <x:c r="Y183" s="21"/>
      <x:c r="Z183" s="21"/>
      <x:c r="AA183" s="29" t="str">
        <x:f>IF(A183="","",IF(OR(B183="",C183="",D183="",H183="",K183="",L183=""),"Thiếu dữ liệu",IF(M183&lt;&gt;N183+O183,"Sai cân đối SL",IF(AND(O183&gt;0,P183=""),"Thiếu mã lỗi","Hợp lệ"))))</x:f>
      </x:c>
    </x:row>
    <x:row r="184">
      <x:c r="A184" s="21"/>
      <x:c r="B184" s="43"/>
      <x:c r="C184" s="21"/>
      <x:c r="D184" s="21"/>
      <x:c r="E184" s="21"/>
      <x:c r="F184" s="21"/>
      <x:c r="G184" s="29" t="str">
        <x:f>IF(OR(C184="",D184=""),"",C184&amp;"|"&amp;D184&amp;"|"&amp;IF(E184="","00",E184)&amp;"|"&amp;IF(F184="","01",F184))</x:f>
      </x:c>
      <x:c r="H184" s="21"/>
      <x:c r="I184" s="29" t="str">
        <x:f>IF(OR(G184="",H184=""),"",G184&amp;"|"&amp;TEXT(H184,"000"))</x:f>
      </x:c>
      <x:c r="J184" s="21"/>
      <x:c r="K184" s="21"/>
      <x:c r="L184" s="21"/>
      <x:c r="M184" s="23"/>
      <x:c r="N184" s="23"/>
      <x:c r="O184" s="23"/>
      <x:c r="P184" s="21"/>
      <x:c r="Q184" s="29" t="str">
        <x:f>IF(P184="","",IFERROR(INDEX(DM_MA_LOI!$B$6:$B$105,MATCH(P184,DM_MA_LOI!$A$6:$A$105,0)),""))</x:f>
      </x:c>
      <x:c r="R184" s="29" t="str">
        <x:f>IF(P184="","",IFERROR(INDEX(DM_MA_LOI!$E$6:$E$105,MATCH(P184,DM_MA_LOI!$A$6:$A$105,0)),""))</x:f>
      </x:c>
      <x:c r="S184" s="29" t="str">
        <x:f>IF(P184="","",IFERROR(INDEX(DM_MA_LOI!$F$6:$F$105,MATCH(P184,DM_MA_LOI!$A$6:$A$105,0)),""))</x:f>
      </x:c>
      <x:c r="T184" s="21"/>
      <x:c r="U184" s="21"/>
      <x:c r="V184" s="21"/>
      <x:c r="W184" s="21"/>
      <x:c r="X184" s="21"/>
      <x:c r="Y184" s="21"/>
      <x:c r="Z184" s="21"/>
      <x:c r="AA184" s="29" t="str">
        <x:f>IF(A184="","",IF(OR(B184="",C184="",D184="",H184="",K184="",L184=""),"Thiếu dữ liệu",IF(M184&lt;&gt;N184+O184,"Sai cân đối SL",IF(AND(O184&gt;0,P184=""),"Thiếu mã lỗi","Hợp lệ"))))</x:f>
      </x:c>
    </x:row>
    <x:row r="185">
      <x:c r="A185" s="21"/>
      <x:c r="B185" s="43"/>
      <x:c r="C185" s="21"/>
      <x:c r="D185" s="21"/>
      <x:c r="E185" s="21"/>
      <x:c r="F185" s="21"/>
      <x:c r="G185" s="29" t="str">
        <x:f>IF(OR(C185="",D185=""),"",C185&amp;"|"&amp;D185&amp;"|"&amp;IF(E185="","00",E185)&amp;"|"&amp;IF(F185="","01",F185))</x:f>
      </x:c>
      <x:c r="H185" s="21"/>
      <x:c r="I185" s="29" t="str">
        <x:f>IF(OR(G185="",H185=""),"",G185&amp;"|"&amp;TEXT(H185,"000"))</x:f>
      </x:c>
      <x:c r="J185" s="21"/>
      <x:c r="K185" s="21"/>
      <x:c r="L185" s="21"/>
      <x:c r="M185" s="23"/>
      <x:c r="N185" s="23"/>
      <x:c r="O185" s="23"/>
      <x:c r="P185" s="21"/>
      <x:c r="Q185" s="29" t="str">
        <x:f>IF(P185="","",IFERROR(INDEX(DM_MA_LOI!$B$6:$B$105,MATCH(P185,DM_MA_LOI!$A$6:$A$105,0)),""))</x:f>
      </x:c>
      <x:c r="R185" s="29" t="str">
        <x:f>IF(P185="","",IFERROR(INDEX(DM_MA_LOI!$E$6:$E$105,MATCH(P185,DM_MA_LOI!$A$6:$A$105,0)),""))</x:f>
      </x:c>
      <x:c r="S185" s="29" t="str">
        <x:f>IF(P185="","",IFERROR(INDEX(DM_MA_LOI!$F$6:$F$105,MATCH(P185,DM_MA_LOI!$A$6:$A$105,0)),""))</x:f>
      </x:c>
      <x:c r="T185" s="21"/>
      <x:c r="U185" s="21"/>
      <x:c r="V185" s="21"/>
      <x:c r="W185" s="21"/>
      <x:c r="X185" s="21"/>
      <x:c r="Y185" s="21"/>
      <x:c r="Z185" s="21"/>
      <x:c r="AA185" s="29" t="str">
        <x:f>IF(A185="","",IF(OR(B185="",C185="",D185="",H185="",K185="",L185=""),"Thiếu dữ liệu",IF(M185&lt;&gt;N185+O185,"Sai cân đối SL",IF(AND(O185&gt;0,P185=""),"Thiếu mã lỗi","Hợp lệ"))))</x:f>
      </x:c>
    </x:row>
    <x:row r="186">
      <x:c r="A186" s="21"/>
      <x:c r="B186" s="43"/>
      <x:c r="C186" s="21"/>
      <x:c r="D186" s="21"/>
      <x:c r="E186" s="21"/>
      <x:c r="F186" s="21"/>
      <x:c r="G186" s="29" t="str">
        <x:f>IF(OR(C186="",D186=""),"",C186&amp;"|"&amp;D186&amp;"|"&amp;IF(E186="","00",E186)&amp;"|"&amp;IF(F186="","01",F186))</x:f>
      </x:c>
      <x:c r="H186" s="21"/>
      <x:c r="I186" s="29" t="str">
        <x:f>IF(OR(G186="",H186=""),"",G186&amp;"|"&amp;TEXT(H186,"000"))</x:f>
      </x:c>
      <x:c r="J186" s="21"/>
      <x:c r="K186" s="21"/>
      <x:c r="L186" s="21"/>
      <x:c r="M186" s="23"/>
      <x:c r="N186" s="23"/>
      <x:c r="O186" s="23"/>
      <x:c r="P186" s="21"/>
      <x:c r="Q186" s="29" t="str">
        <x:f>IF(P186="","",IFERROR(INDEX(DM_MA_LOI!$B$6:$B$105,MATCH(P186,DM_MA_LOI!$A$6:$A$105,0)),""))</x:f>
      </x:c>
      <x:c r="R186" s="29" t="str">
        <x:f>IF(P186="","",IFERROR(INDEX(DM_MA_LOI!$E$6:$E$105,MATCH(P186,DM_MA_LOI!$A$6:$A$105,0)),""))</x:f>
      </x:c>
      <x:c r="S186" s="29" t="str">
        <x:f>IF(P186="","",IFERROR(INDEX(DM_MA_LOI!$F$6:$F$105,MATCH(P186,DM_MA_LOI!$A$6:$A$105,0)),""))</x:f>
      </x:c>
      <x:c r="T186" s="21"/>
      <x:c r="U186" s="21"/>
      <x:c r="V186" s="21"/>
      <x:c r="W186" s="21"/>
      <x:c r="X186" s="21"/>
      <x:c r="Y186" s="21"/>
      <x:c r="Z186" s="21"/>
      <x:c r="AA186" s="29" t="str">
        <x:f>IF(A186="","",IF(OR(B186="",C186="",D186="",H186="",K186="",L186=""),"Thiếu dữ liệu",IF(M186&lt;&gt;N186+O186,"Sai cân đối SL",IF(AND(O186&gt;0,P186=""),"Thiếu mã lỗi","Hợp lệ"))))</x:f>
      </x:c>
    </x:row>
    <x:row r="187">
      <x:c r="A187" s="21"/>
      <x:c r="B187" s="43"/>
      <x:c r="C187" s="21"/>
      <x:c r="D187" s="21"/>
      <x:c r="E187" s="21"/>
      <x:c r="F187" s="21"/>
      <x:c r="G187" s="29" t="str">
        <x:f>IF(OR(C187="",D187=""),"",C187&amp;"|"&amp;D187&amp;"|"&amp;IF(E187="","00",E187)&amp;"|"&amp;IF(F187="","01",F187))</x:f>
      </x:c>
      <x:c r="H187" s="21"/>
      <x:c r="I187" s="29" t="str">
        <x:f>IF(OR(G187="",H187=""),"",G187&amp;"|"&amp;TEXT(H187,"000"))</x:f>
      </x:c>
      <x:c r="J187" s="21"/>
      <x:c r="K187" s="21"/>
      <x:c r="L187" s="21"/>
      <x:c r="M187" s="23"/>
      <x:c r="N187" s="23"/>
      <x:c r="O187" s="23"/>
      <x:c r="P187" s="21"/>
      <x:c r="Q187" s="29" t="str">
        <x:f>IF(P187="","",IFERROR(INDEX(DM_MA_LOI!$B$6:$B$105,MATCH(P187,DM_MA_LOI!$A$6:$A$105,0)),""))</x:f>
      </x:c>
      <x:c r="R187" s="29" t="str">
        <x:f>IF(P187="","",IFERROR(INDEX(DM_MA_LOI!$E$6:$E$105,MATCH(P187,DM_MA_LOI!$A$6:$A$105,0)),""))</x:f>
      </x:c>
      <x:c r="S187" s="29" t="str">
        <x:f>IF(P187="","",IFERROR(INDEX(DM_MA_LOI!$F$6:$F$105,MATCH(P187,DM_MA_LOI!$A$6:$A$105,0)),""))</x:f>
      </x:c>
      <x:c r="T187" s="21"/>
      <x:c r="U187" s="21"/>
      <x:c r="V187" s="21"/>
      <x:c r="W187" s="21"/>
      <x:c r="X187" s="21"/>
      <x:c r="Y187" s="21"/>
      <x:c r="Z187" s="21"/>
      <x:c r="AA187" s="29" t="str">
        <x:f>IF(A187="","",IF(OR(B187="",C187="",D187="",H187="",K187="",L187=""),"Thiếu dữ liệu",IF(M187&lt;&gt;N187+O187,"Sai cân đối SL",IF(AND(O187&gt;0,P187=""),"Thiếu mã lỗi","Hợp lệ"))))</x:f>
      </x:c>
    </x:row>
    <x:row r="188">
      <x:c r="A188" s="21"/>
      <x:c r="B188" s="43"/>
      <x:c r="C188" s="21"/>
      <x:c r="D188" s="21"/>
      <x:c r="E188" s="21"/>
      <x:c r="F188" s="21"/>
      <x:c r="G188" s="29" t="str">
        <x:f>IF(OR(C188="",D188=""),"",C188&amp;"|"&amp;D188&amp;"|"&amp;IF(E188="","00",E188)&amp;"|"&amp;IF(F188="","01",F188))</x:f>
      </x:c>
      <x:c r="H188" s="21"/>
      <x:c r="I188" s="29" t="str">
        <x:f>IF(OR(G188="",H188=""),"",G188&amp;"|"&amp;TEXT(H188,"000"))</x:f>
      </x:c>
      <x:c r="J188" s="21"/>
      <x:c r="K188" s="21"/>
      <x:c r="L188" s="21"/>
      <x:c r="M188" s="23"/>
      <x:c r="N188" s="23"/>
      <x:c r="O188" s="23"/>
      <x:c r="P188" s="21"/>
      <x:c r="Q188" s="29" t="str">
        <x:f>IF(P188="","",IFERROR(INDEX(DM_MA_LOI!$B$6:$B$105,MATCH(P188,DM_MA_LOI!$A$6:$A$105,0)),""))</x:f>
      </x:c>
      <x:c r="R188" s="29" t="str">
        <x:f>IF(P188="","",IFERROR(INDEX(DM_MA_LOI!$E$6:$E$105,MATCH(P188,DM_MA_LOI!$A$6:$A$105,0)),""))</x:f>
      </x:c>
      <x:c r="S188" s="29" t="str">
        <x:f>IF(P188="","",IFERROR(INDEX(DM_MA_LOI!$F$6:$F$105,MATCH(P188,DM_MA_LOI!$A$6:$A$105,0)),""))</x:f>
      </x:c>
      <x:c r="T188" s="21"/>
      <x:c r="U188" s="21"/>
      <x:c r="V188" s="21"/>
      <x:c r="W188" s="21"/>
      <x:c r="X188" s="21"/>
      <x:c r="Y188" s="21"/>
      <x:c r="Z188" s="21"/>
      <x:c r="AA188" s="29" t="str">
        <x:f>IF(A188="","",IF(OR(B188="",C188="",D188="",H188="",K188="",L188=""),"Thiếu dữ liệu",IF(M188&lt;&gt;N188+O188,"Sai cân đối SL",IF(AND(O188&gt;0,P188=""),"Thiếu mã lỗi","Hợp lệ"))))</x:f>
      </x:c>
    </x:row>
    <x:row r="189">
      <x:c r="A189" s="21"/>
      <x:c r="B189" s="43"/>
      <x:c r="C189" s="21"/>
      <x:c r="D189" s="21"/>
      <x:c r="E189" s="21"/>
      <x:c r="F189" s="21"/>
      <x:c r="G189" s="29" t="str">
        <x:f>IF(OR(C189="",D189=""),"",C189&amp;"|"&amp;D189&amp;"|"&amp;IF(E189="","00",E189)&amp;"|"&amp;IF(F189="","01",F189))</x:f>
      </x:c>
      <x:c r="H189" s="21"/>
      <x:c r="I189" s="29" t="str">
        <x:f>IF(OR(G189="",H189=""),"",G189&amp;"|"&amp;TEXT(H189,"000"))</x:f>
      </x:c>
      <x:c r="J189" s="21"/>
      <x:c r="K189" s="21"/>
      <x:c r="L189" s="21"/>
      <x:c r="M189" s="23"/>
      <x:c r="N189" s="23"/>
      <x:c r="O189" s="23"/>
      <x:c r="P189" s="21"/>
      <x:c r="Q189" s="29" t="str">
        <x:f>IF(P189="","",IFERROR(INDEX(DM_MA_LOI!$B$6:$B$105,MATCH(P189,DM_MA_LOI!$A$6:$A$105,0)),""))</x:f>
      </x:c>
      <x:c r="R189" s="29" t="str">
        <x:f>IF(P189="","",IFERROR(INDEX(DM_MA_LOI!$E$6:$E$105,MATCH(P189,DM_MA_LOI!$A$6:$A$105,0)),""))</x:f>
      </x:c>
      <x:c r="S189" s="29" t="str">
        <x:f>IF(P189="","",IFERROR(INDEX(DM_MA_LOI!$F$6:$F$105,MATCH(P189,DM_MA_LOI!$A$6:$A$105,0)),""))</x:f>
      </x:c>
      <x:c r="T189" s="21"/>
      <x:c r="U189" s="21"/>
      <x:c r="V189" s="21"/>
      <x:c r="W189" s="21"/>
      <x:c r="X189" s="21"/>
      <x:c r="Y189" s="21"/>
      <x:c r="Z189" s="21"/>
      <x:c r="AA189" s="29" t="str">
        <x:f>IF(A189="","",IF(OR(B189="",C189="",D189="",H189="",K189="",L189=""),"Thiếu dữ liệu",IF(M189&lt;&gt;N189+O189,"Sai cân đối SL",IF(AND(O189&gt;0,P189=""),"Thiếu mã lỗi","Hợp lệ"))))</x:f>
      </x:c>
    </x:row>
    <x:row r="190">
      <x:c r="A190" s="21"/>
      <x:c r="B190" s="43"/>
      <x:c r="C190" s="21"/>
      <x:c r="D190" s="21"/>
      <x:c r="E190" s="21"/>
      <x:c r="F190" s="21"/>
      <x:c r="G190" s="29" t="str">
        <x:f>IF(OR(C190="",D190=""),"",C190&amp;"|"&amp;D190&amp;"|"&amp;IF(E190="","00",E190)&amp;"|"&amp;IF(F190="","01",F190))</x:f>
      </x:c>
      <x:c r="H190" s="21"/>
      <x:c r="I190" s="29" t="str">
        <x:f>IF(OR(G190="",H190=""),"",G190&amp;"|"&amp;TEXT(H190,"000"))</x:f>
      </x:c>
      <x:c r="J190" s="21"/>
      <x:c r="K190" s="21"/>
      <x:c r="L190" s="21"/>
      <x:c r="M190" s="23"/>
      <x:c r="N190" s="23"/>
      <x:c r="O190" s="23"/>
      <x:c r="P190" s="21"/>
      <x:c r="Q190" s="29" t="str">
        <x:f>IF(P190="","",IFERROR(INDEX(DM_MA_LOI!$B$6:$B$105,MATCH(P190,DM_MA_LOI!$A$6:$A$105,0)),""))</x:f>
      </x:c>
      <x:c r="R190" s="29" t="str">
        <x:f>IF(P190="","",IFERROR(INDEX(DM_MA_LOI!$E$6:$E$105,MATCH(P190,DM_MA_LOI!$A$6:$A$105,0)),""))</x:f>
      </x:c>
      <x:c r="S190" s="29" t="str">
        <x:f>IF(P190="","",IFERROR(INDEX(DM_MA_LOI!$F$6:$F$105,MATCH(P190,DM_MA_LOI!$A$6:$A$105,0)),""))</x:f>
      </x:c>
      <x:c r="T190" s="21"/>
      <x:c r="U190" s="21"/>
      <x:c r="V190" s="21"/>
      <x:c r="W190" s="21"/>
      <x:c r="X190" s="21"/>
      <x:c r="Y190" s="21"/>
      <x:c r="Z190" s="21"/>
      <x:c r="AA190" s="29" t="str">
        <x:f>IF(A190="","",IF(OR(B190="",C190="",D190="",H190="",K190="",L190=""),"Thiếu dữ liệu",IF(M190&lt;&gt;N190+O190,"Sai cân đối SL",IF(AND(O190&gt;0,P190=""),"Thiếu mã lỗi","Hợp lệ"))))</x:f>
      </x:c>
    </x:row>
    <x:row r="191">
      <x:c r="A191" s="21"/>
      <x:c r="B191" s="43"/>
      <x:c r="C191" s="21"/>
      <x:c r="D191" s="21"/>
      <x:c r="E191" s="21"/>
      <x:c r="F191" s="21"/>
      <x:c r="G191" s="29" t="str">
        <x:f>IF(OR(C191="",D191=""),"",C191&amp;"|"&amp;D191&amp;"|"&amp;IF(E191="","00",E191)&amp;"|"&amp;IF(F191="","01",F191))</x:f>
      </x:c>
      <x:c r="H191" s="21"/>
      <x:c r="I191" s="29" t="str">
        <x:f>IF(OR(G191="",H191=""),"",G191&amp;"|"&amp;TEXT(H191,"000"))</x:f>
      </x:c>
      <x:c r="J191" s="21"/>
      <x:c r="K191" s="21"/>
      <x:c r="L191" s="21"/>
      <x:c r="M191" s="23"/>
      <x:c r="N191" s="23"/>
      <x:c r="O191" s="23"/>
      <x:c r="P191" s="21"/>
      <x:c r="Q191" s="29" t="str">
        <x:f>IF(P191="","",IFERROR(INDEX(DM_MA_LOI!$B$6:$B$105,MATCH(P191,DM_MA_LOI!$A$6:$A$105,0)),""))</x:f>
      </x:c>
      <x:c r="R191" s="29" t="str">
        <x:f>IF(P191="","",IFERROR(INDEX(DM_MA_LOI!$E$6:$E$105,MATCH(P191,DM_MA_LOI!$A$6:$A$105,0)),""))</x:f>
      </x:c>
      <x:c r="S191" s="29" t="str">
        <x:f>IF(P191="","",IFERROR(INDEX(DM_MA_LOI!$F$6:$F$105,MATCH(P191,DM_MA_LOI!$A$6:$A$105,0)),""))</x:f>
      </x:c>
      <x:c r="T191" s="21"/>
      <x:c r="U191" s="21"/>
      <x:c r="V191" s="21"/>
      <x:c r="W191" s="21"/>
      <x:c r="X191" s="21"/>
      <x:c r="Y191" s="21"/>
      <x:c r="Z191" s="21"/>
      <x:c r="AA191" s="29" t="str">
        <x:f>IF(A191="","",IF(OR(B191="",C191="",D191="",H191="",K191="",L191=""),"Thiếu dữ liệu",IF(M191&lt;&gt;N191+O191,"Sai cân đối SL",IF(AND(O191&gt;0,P191=""),"Thiếu mã lỗi","Hợp lệ"))))</x:f>
      </x:c>
    </x:row>
    <x:row r="192">
      <x:c r="A192" s="21"/>
      <x:c r="B192" s="43"/>
      <x:c r="C192" s="21"/>
      <x:c r="D192" s="21"/>
      <x:c r="E192" s="21"/>
      <x:c r="F192" s="21"/>
      <x:c r="G192" s="29" t="str">
        <x:f>IF(OR(C192="",D192=""),"",C192&amp;"|"&amp;D192&amp;"|"&amp;IF(E192="","00",E192)&amp;"|"&amp;IF(F192="","01",F192))</x:f>
      </x:c>
      <x:c r="H192" s="21"/>
      <x:c r="I192" s="29" t="str">
        <x:f>IF(OR(G192="",H192=""),"",G192&amp;"|"&amp;TEXT(H192,"000"))</x:f>
      </x:c>
      <x:c r="J192" s="21"/>
      <x:c r="K192" s="21"/>
      <x:c r="L192" s="21"/>
      <x:c r="M192" s="23"/>
      <x:c r="N192" s="23"/>
      <x:c r="O192" s="23"/>
      <x:c r="P192" s="21"/>
      <x:c r="Q192" s="29" t="str">
        <x:f>IF(P192="","",IFERROR(INDEX(DM_MA_LOI!$B$6:$B$105,MATCH(P192,DM_MA_LOI!$A$6:$A$105,0)),""))</x:f>
      </x:c>
      <x:c r="R192" s="29" t="str">
        <x:f>IF(P192="","",IFERROR(INDEX(DM_MA_LOI!$E$6:$E$105,MATCH(P192,DM_MA_LOI!$A$6:$A$105,0)),""))</x:f>
      </x:c>
      <x:c r="S192" s="29" t="str">
        <x:f>IF(P192="","",IFERROR(INDEX(DM_MA_LOI!$F$6:$F$105,MATCH(P192,DM_MA_LOI!$A$6:$A$105,0)),""))</x:f>
      </x:c>
      <x:c r="T192" s="21"/>
      <x:c r="U192" s="21"/>
      <x:c r="V192" s="21"/>
      <x:c r="W192" s="21"/>
      <x:c r="X192" s="21"/>
      <x:c r="Y192" s="21"/>
      <x:c r="Z192" s="21"/>
      <x:c r="AA192" s="29" t="str">
        <x:f>IF(A192="","",IF(OR(B192="",C192="",D192="",H192="",K192="",L192=""),"Thiếu dữ liệu",IF(M192&lt;&gt;N192+O192,"Sai cân đối SL",IF(AND(O192&gt;0,P192=""),"Thiếu mã lỗi","Hợp lệ"))))</x:f>
      </x:c>
    </x:row>
    <x:row r="193">
      <x:c r="A193" s="21"/>
      <x:c r="B193" s="43"/>
      <x:c r="C193" s="21"/>
      <x:c r="D193" s="21"/>
      <x:c r="E193" s="21"/>
      <x:c r="F193" s="21"/>
      <x:c r="G193" s="29" t="str">
        <x:f>IF(OR(C193="",D193=""),"",C193&amp;"|"&amp;D193&amp;"|"&amp;IF(E193="","00",E193)&amp;"|"&amp;IF(F193="","01",F193))</x:f>
      </x:c>
      <x:c r="H193" s="21"/>
      <x:c r="I193" s="29" t="str">
        <x:f>IF(OR(G193="",H193=""),"",G193&amp;"|"&amp;TEXT(H193,"000"))</x:f>
      </x:c>
      <x:c r="J193" s="21"/>
      <x:c r="K193" s="21"/>
      <x:c r="L193" s="21"/>
      <x:c r="M193" s="23"/>
      <x:c r="N193" s="23"/>
      <x:c r="O193" s="23"/>
      <x:c r="P193" s="21"/>
      <x:c r="Q193" s="29" t="str">
        <x:f>IF(P193="","",IFERROR(INDEX(DM_MA_LOI!$B$6:$B$105,MATCH(P193,DM_MA_LOI!$A$6:$A$105,0)),""))</x:f>
      </x:c>
      <x:c r="R193" s="29" t="str">
        <x:f>IF(P193="","",IFERROR(INDEX(DM_MA_LOI!$E$6:$E$105,MATCH(P193,DM_MA_LOI!$A$6:$A$105,0)),""))</x:f>
      </x:c>
      <x:c r="S193" s="29" t="str">
        <x:f>IF(P193="","",IFERROR(INDEX(DM_MA_LOI!$F$6:$F$105,MATCH(P193,DM_MA_LOI!$A$6:$A$105,0)),""))</x:f>
      </x:c>
      <x:c r="T193" s="21"/>
      <x:c r="U193" s="21"/>
      <x:c r="V193" s="21"/>
      <x:c r="W193" s="21"/>
      <x:c r="X193" s="21"/>
      <x:c r="Y193" s="21"/>
      <x:c r="Z193" s="21"/>
      <x:c r="AA193" s="29" t="str">
        <x:f>IF(A193="","",IF(OR(B193="",C193="",D193="",H193="",K193="",L193=""),"Thiếu dữ liệu",IF(M193&lt;&gt;N193+O193,"Sai cân đối SL",IF(AND(O193&gt;0,P193=""),"Thiếu mã lỗi","Hợp lệ"))))</x:f>
      </x:c>
    </x:row>
    <x:row r="194">
      <x:c r="A194" s="21"/>
      <x:c r="B194" s="43"/>
      <x:c r="C194" s="21"/>
      <x:c r="D194" s="21"/>
      <x:c r="E194" s="21"/>
      <x:c r="F194" s="21"/>
      <x:c r="G194" s="29" t="str">
        <x:f>IF(OR(C194="",D194=""),"",C194&amp;"|"&amp;D194&amp;"|"&amp;IF(E194="","00",E194)&amp;"|"&amp;IF(F194="","01",F194))</x:f>
      </x:c>
      <x:c r="H194" s="21"/>
      <x:c r="I194" s="29" t="str">
        <x:f>IF(OR(G194="",H194=""),"",G194&amp;"|"&amp;TEXT(H194,"000"))</x:f>
      </x:c>
      <x:c r="J194" s="21"/>
      <x:c r="K194" s="21"/>
      <x:c r="L194" s="21"/>
      <x:c r="M194" s="23"/>
      <x:c r="N194" s="23"/>
      <x:c r="O194" s="23"/>
      <x:c r="P194" s="21"/>
      <x:c r="Q194" s="29" t="str">
        <x:f>IF(P194="","",IFERROR(INDEX(DM_MA_LOI!$B$6:$B$105,MATCH(P194,DM_MA_LOI!$A$6:$A$105,0)),""))</x:f>
      </x:c>
      <x:c r="R194" s="29" t="str">
        <x:f>IF(P194="","",IFERROR(INDEX(DM_MA_LOI!$E$6:$E$105,MATCH(P194,DM_MA_LOI!$A$6:$A$105,0)),""))</x:f>
      </x:c>
      <x:c r="S194" s="29" t="str">
        <x:f>IF(P194="","",IFERROR(INDEX(DM_MA_LOI!$F$6:$F$105,MATCH(P194,DM_MA_LOI!$A$6:$A$105,0)),""))</x:f>
      </x:c>
      <x:c r="T194" s="21"/>
      <x:c r="U194" s="21"/>
      <x:c r="V194" s="21"/>
      <x:c r="W194" s="21"/>
      <x:c r="X194" s="21"/>
      <x:c r="Y194" s="21"/>
      <x:c r="Z194" s="21"/>
      <x:c r="AA194" s="29" t="str">
        <x:f>IF(A194="","",IF(OR(B194="",C194="",D194="",H194="",K194="",L194=""),"Thiếu dữ liệu",IF(M194&lt;&gt;N194+O194,"Sai cân đối SL",IF(AND(O194&gt;0,P194=""),"Thiếu mã lỗi","Hợp lệ"))))</x:f>
      </x:c>
    </x:row>
    <x:row r="195">
      <x:c r="A195" s="21"/>
      <x:c r="B195" s="43"/>
      <x:c r="C195" s="21"/>
      <x:c r="D195" s="21"/>
      <x:c r="E195" s="21"/>
      <x:c r="F195" s="21"/>
      <x:c r="G195" s="29" t="str">
        <x:f>IF(OR(C195="",D195=""),"",C195&amp;"|"&amp;D195&amp;"|"&amp;IF(E195="","00",E195)&amp;"|"&amp;IF(F195="","01",F195))</x:f>
      </x:c>
      <x:c r="H195" s="21"/>
      <x:c r="I195" s="29" t="str">
        <x:f>IF(OR(G195="",H195=""),"",G195&amp;"|"&amp;TEXT(H195,"000"))</x:f>
      </x:c>
      <x:c r="J195" s="21"/>
      <x:c r="K195" s="21"/>
      <x:c r="L195" s="21"/>
      <x:c r="M195" s="23"/>
      <x:c r="N195" s="23"/>
      <x:c r="O195" s="23"/>
      <x:c r="P195" s="21"/>
      <x:c r="Q195" s="29" t="str">
        <x:f>IF(P195="","",IFERROR(INDEX(DM_MA_LOI!$B$6:$B$105,MATCH(P195,DM_MA_LOI!$A$6:$A$105,0)),""))</x:f>
      </x:c>
      <x:c r="R195" s="29" t="str">
        <x:f>IF(P195="","",IFERROR(INDEX(DM_MA_LOI!$E$6:$E$105,MATCH(P195,DM_MA_LOI!$A$6:$A$105,0)),""))</x:f>
      </x:c>
      <x:c r="S195" s="29" t="str">
        <x:f>IF(P195="","",IFERROR(INDEX(DM_MA_LOI!$F$6:$F$105,MATCH(P195,DM_MA_LOI!$A$6:$A$105,0)),""))</x:f>
      </x:c>
      <x:c r="T195" s="21"/>
      <x:c r="U195" s="21"/>
      <x:c r="V195" s="21"/>
      <x:c r="W195" s="21"/>
      <x:c r="X195" s="21"/>
      <x:c r="Y195" s="21"/>
      <x:c r="Z195" s="21"/>
      <x:c r="AA195" s="29" t="str">
        <x:f>IF(A195="","",IF(OR(B195="",C195="",D195="",H195="",K195="",L195=""),"Thiếu dữ liệu",IF(M195&lt;&gt;N195+O195,"Sai cân đối SL",IF(AND(O195&gt;0,P195=""),"Thiếu mã lỗi","Hợp lệ"))))</x:f>
      </x:c>
    </x:row>
    <x:row r="196">
      <x:c r="A196" s="21"/>
      <x:c r="B196" s="43"/>
      <x:c r="C196" s="21"/>
      <x:c r="D196" s="21"/>
      <x:c r="E196" s="21"/>
      <x:c r="F196" s="21"/>
      <x:c r="G196" s="29" t="str">
        <x:f>IF(OR(C196="",D196=""),"",C196&amp;"|"&amp;D196&amp;"|"&amp;IF(E196="","00",E196)&amp;"|"&amp;IF(F196="","01",F196))</x:f>
      </x:c>
      <x:c r="H196" s="21"/>
      <x:c r="I196" s="29" t="str">
        <x:f>IF(OR(G196="",H196=""),"",G196&amp;"|"&amp;TEXT(H196,"000"))</x:f>
      </x:c>
      <x:c r="J196" s="21"/>
      <x:c r="K196" s="21"/>
      <x:c r="L196" s="21"/>
      <x:c r="M196" s="23"/>
      <x:c r="N196" s="23"/>
      <x:c r="O196" s="23"/>
      <x:c r="P196" s="21"/>
      <x:c r="Q196" s="29" t="str">
        <x:f>IF(P196="","",IFERROR(INDEX(DM_MA_LOI!$B$6:$B$105,MATCH(P196,DM_MA_LOI!$A$6:$A$105,0)),""))</x:f>
      </x:c>
      <x:c r="R196" s="29" t="str">
        <x:f>IF(P196="","",IFERROR(INDEX(DM_MA_LOI!$E$6:$E$105,MATCH(P196,DM_MA_LOI!$A$6:$A$105,0)),""))</x:f>
      </x:c>
      <x:c r="S196" s="29" t="str">
        <x:f>IF(P196="","",IFERROR(INDEX(DM_MA_LOI!$F$6:$F$105,MATCH(P196,DM_MA_LOI!$A$6:$A$105,0)),""))</x:f>
      </x:c>
      <x:c r="T196" s="21"/>
      <x:c r="U196" s="21"/>
      <x:c r="V196" s="21"/>
      <x:c r="W196" s="21"/>
      <x:c r="X196" s="21"/>
      <x:c r="Y196" s="21"/>
      <x:c r="Z196" s="21"/>
      <x:c r="AA196" s="29" t="str">
        <x:f>IF(A196="","",IF(OR(B196="",C196="",D196="",H196="",K196="",L196=""),"Thiếu dữ liệu",IF(M196&lt;&gt;N196+O196,"Sai cân đối SL",IF(AND(O196&gt;0,P196=""),"Thiếu mã lỗi","Hợp lệ"))))</x:f>
      </x:c>
    </x:row>
    <x:row r="197">
      <x:c r="A197" s="21"/>
      <x:c r="B197" s="43"/>
      <x:c r="C197" s="21"/>
      <x:c r="D197" s="21"/>
      <x:c r="E197" s="21"/>
      <x:c r="F197" s="21"/>
      <x:c r="G197" s="29" t="str">
        <x:f>IF(OR(C197="",D197=""),"",C197&amp;"|"&amp;D197&amp;"|"&amp;IF(E197="","00",E197)&amp;"|"&amp;IF(F197="","01",F197))</x:f>
      </x:c>
      <x:c r="H197" s="21"/>
      <x:c r="I197" s="29" t="str">
        <x:f>IF(OR(G197="",H197=""),"",G197&amp;"|"&amp;TEXT(H197,"000"))</x:f>
      </x:c>
      <x:c r="J197" s="21"/>
      <x:c r="K197" s="21"/>
      <x:c r="L197" s="21"/>
      <x:c r="M197" s="23"/>
      <x:c r="N197" s="23"/>
      <x:c r="O197" s="23"/>
      <x:c r="P197" s="21"/>
      <x:c r="Q197" s="29" t="str">
        <x:f>IF(P197="","",IFERROR(INDEX(DM_MA_LOI!$B$6:$B$105,MATCH(P197,DM_MA_LOI!$A$6:$A$105,0)),""))</x:f>
      </x:c>
      <x:c r="R197" s="29" t="str">
        <x:f>IF(P197="","",IFERROR(INDEX(DM_MA_LOI!$E$6:$E$105,MATCH(P197,DM_MA_LOI!$A$6:$A$105,0)),""))</x:f>
      </x:c>
      <x:c r="S197" s="29" t="str">
        <x:f>IF(P197="","",IFERROR(INDEX(DM_MA_LOI!$F$6:$F$105,MATCH(P197,DM_MA_LOI!$A$6:$A$105,0)),""))</x:f>
      </x:c>
      <x:c r="T197" s="21"/>
      <x:c r="U197" s="21"/>
      <x:c r="V197" s="21"/>
      <x:c r="W197" s="21"/>
      <x:c r="X197" s="21"/>
      <x:c r="Y197" s="21"/>
      <x:c r="Z197" s="21"/>
      <x:c r="AA197" s="29" t="str">
        <x:f>IF(A197="","",IF(OR(B197="",C197="",D197="",H197="",K197="",L197=""),"Thiếu dữ liệu",IF(M197&lt;&gt;N197+O197,"Sai cân đối SL",IF(AND(O197&gt;0,P197=""),"Thiếu mã lỗi","Hợp lệ"))))</x:f>
      </x:c>
    </x:row>
    <x:row r="198">
      <x:c r="A198" s="21"/>
      <x:c r="B198" s="43"/>
      <x:c r="C198" s="21"/>
      <x:c r="D198" s="21"/>
      <x:c r="E198" s="21"/>
      <x:c r="F198" s="21"/>
      <x:c r="G198" s="29" t="str">
        <x:f>IF(OR(C198="",D198=""),"",C198&amp;"|"&amp;D198&amp;"|"&amp;IF(E198="","00",E198)&amp;"|"&amp;IF(F198="","01",F198))</x:f>
      </x:c>
      <x:c r="H198" s="21"/>
      <x:c r="I198" s="29" t="str">
        <x:f>IF(OR(G198="",H198=""),"",G198&amp;"|"&amp;TEXT(H198,"000"))</x:f>
      </x:c>
      <x:c r="J198" s="21"/>
      <x:c r="K198" s="21"/>
      <x:c r="L198" s="21"/>
      <x:c r="M198" s="23"/>
      <x:c r="N198" s="23"/>
      <x:c r="O198" s="23"/>
      <x:c r="P198" s="21"/>
      <x:c r="Q198" s="29" t="str">
        <x:f>IF(P198="","",IFERROR(INDEX(DM_MA_LOI!$B$6:$B$105,MATCH(P198,DM_MA_LOI!$A$6:$A$105,0)),""))</x:f>
      </x:c>
      <x:c r="R198" s="29" t="str">
        <x:f>IF(P198="","",IFERROR(INDEX(DM_MA_LOI!$E$6:$E$105,MATCH(P198,DM_MA_LOI!$A$6:$A$105,0)),""))</x:f>
      </x:c>
      <x:c r="S198" s="29" t="str">
        <x:f>IF(P198="","",IFERROR(INDEX(DM_MA_LOI!$F$6:$F$105,MATCH(P198,DM_MA_LOI!$A$6:$A$105,0)),""))</x:f>
      </x:c>
      <x:c r="T198" s="21"/>
      <x:c r="U198" s="21"/>
      <x:c r="V198" s="21"/>
      <x:c r="W198" s="21"/>
      <x:c r="X198" s="21"/>
      <x:c r="Y198" s="21"/>
      <x:c r="Z198" s="21"/>
      <x:c r="AA198" s="29" t="str">
        <x:f>IF(A198="","",IF(OR(B198="",C198="",D198="",H198="",K198="",L198=""),"Thiếu dữ liệu",IF(M198&lt;&gt;N198+O198,"Sai cân đối SL",IF(AND(O198&gt;0,P198=""),"Thiếu mã lỗi","Hợp lệ"))))</x:f>
      </x:c>
    </x:row>
    <x:row r="199">
      <x:c r="A199" s="21"/>
      <x:c r="B199" s="43"/>
      <x:c r="C199" s="21"/>
      <x:c r="D199" s="21"/>
      <x:c r="E199" s="21"/>
      <x:c r="F199" s="21"/>
      <x:c r="G199" s="29" t="str">
        <x:f>IF(OR(C199="",D199=""),"",C199&amp;"|"&amp;D199&amp;"|"&amp;IF(E199="","00",E199)&amp;"|"&amp;IF(F199="","01",F199))</x:f>
      </x:c>
      <x:c r="H199" s="21"/>
      <x:c r="I199" s="29" t="str">
        <x:f>IF(OR(G199="",H199=""),"",G199&amp;"|"&amp;TEXT(H199,"000"))</x:f>
      </x:c>
      <x:c r="J199" s="21"/>
      <x:c r="K199" s="21"/>
      <x:c r="L199" s="21"/>
      <x:c r="M199" s="23"/>
      <x:c r="N199" s="23"/>
      <x:c r="O199" s="23"/>
      <x:c r="P199" s="21"/>
      <x:c r="Q199" s="29" t="str">
        <x:f>IF(P199="","",IFERROR(INDEX(DM_MA_LOI!$B$6:$B$105,MATCH(P199,DM_MA_LOI!$A$6:$A$105,0)),""))</x:f>
      </x:c>
      <x:c r="R199" s="29" t="str">
        <x:f>IF(P199="","",IFERROR(INDEX(DM_MA_LOI!$E$6:$E$105,MATCH(P199,DM_MA_LOI!$A$6:$A$105,0)),""))</x:f>
      </x:c>
      <x:c r="S199" s="29" t="str">
        <x:f>IF(P199="","",IFERROR(INDEX(DM_MA_LOI!$F$6:$F$105,MATCH(P199,DM_MA_LOI!$A$6:$A$105,0)),""))</x:f>
      </x:c>
      <x:c r="T199" s="21"/>
      <x:c r="U199" s="21"/>
      <x:c r="V199" s="21"/>
      <x:c r="W199" s="21"/>
      <x:c r="X199" s="21"/>
      <x:c r="Y199" s="21"/>
      <x:c r="Z199" s="21"/>
      <x:c r="AA199" s="29" t="str">
        <x:f>IF(A199="","",IF(OR(B199="",C199="",D199="",H199="",K199="",L199=""),"Thiếu dữ liệu",IF(M199&lt;&gt;N199+O199,"Sai cân đối SL",IF(AND(O199&gt;0,P199=""),"Thiếu mã lỗi","Hợp lệ"))))</x:f>
      </x:c>
    </x:row>
    <x:row r="200">
      <x:c r="A200" s="21"/>
      <x:c r="B200" s="43"/>
      <x:c r="C200" s="21"/>
      <x:c r="D200" s="21"/>
      <x:c r="E200" s="21"/>
      <x:c r="F200" s="21"/>
      <x:c r="G200" s="29" t="str">
        <x:f>IF(OR(C200="",D200=""),"",C200&amp;"|"&amp;D200&amp;"|"&amp;IF(E200="","00",E200)&amp;"|"&amp;IF(F200="","01",F200))</x:f>
      </x:c>
      <x:c r="H200" s="21"/>
      <x:c r="I200" s="29" t="str">
        <x:f>IF(OR(G200="",H200=""),"",G200&amp;"|"&amp;TEXT(H200,"000"))</x:f>
      </x:c>
      <x:c r="J200" s="21"/>
      <x:c r="K200" s="21"/>
      <x:c r="L200" s="21"/>
      <x:c r="M200" s="23"/>
      <x:c r="N200" s="23"/>
      <x:c r="O200" s="23"/>
      <x:c r="P200" s="21"/>
      <x:c r="Q200" s="29" t="str">
        <x:f>IF(P200="","",IFERROR(INDEX(DM_MA_LOI!$B$6:$B$105,MATCH(P200,DM_MA_LOI!$A$6:$A$105,0)),""))</x:f>
      </x:c>
      <x:c r="R200" s="29" t="str">
        <x:f>IF(P200="","",IFERROR(INDEX(DM_MA_LOI!$E$6:$E$105,MATCH(P200,DM_MA_LOI!$A$6:$A$105,0)),""))</x:f>
      </x:c>
      <x:c r="S200" s="29" t="str">
        <x:f>IF(P200="","",IFERROR(INDEX(DM_MA_LOI!$F$6:$F$105,MATCH(P200,DM_MA_LOI!$A$6:$A$105,0)),""))</x:f>
      </x:c>
      <x:c r="T200" s="21"/>
      <x:c r="U200" s="21"/>
      <x:c r="V200" s="21"/>
      <x:c r="W200" s="21"/>
      <x:c r="X200" s="21"/>
      <x:c r="Y200" s="21"/>
      <x:c r="Z200" s="21"/>
      <x:c r="AA200" s="29" t="str">
        <x:f>IF(A200="","",IF(OR(B200="",C200="",D200="",H200="",K200="",L200=""),"Thiếu dữ liệu",IF(M200&lt;&gt;N200+O200,"Sai cân đối SL",IF(AND(O200&gt;0,P200=""),"Thiếu mã lỗi","Hợp lệ"))))</x:f>
      </x:c>
    </x:row>
    <x:row r="201">
      <x:c r="A201" s="21"/>
      <x:c r="B201" s="43"/>
      <x:c r="C201" s="21"/>
      <x:c r="D201" s="21"/>
      <x:c r="E201" s="21"/>
      <x:c r="F201" s="21"/>
      <x:c r="G201" s="29" t="str">
        <x:f>IF(OR(C201="",D201=""),"",C201&amp;"|"&amp;D201&amp;"|"&amp;IF(E201="","00",E201)&amp;"|"&amp;IF(F201="","01",F201))</x:f>
      </x:c>
      <x:c r="H201" s="21"/>
      <x:c r="I201" s="29" t="str">
        <x:f>IF(OR(G201="",H201=""),"",G201&amp;"|"&amp;TEXT(H201,"000"))</x:f>
      </x:c>
      <x:c r="J201" s="21"/>
      <x:c r="K201" s="21"/>
      <x:c r="L201" s="21"/>
      <x:c r="M201" s="23"/>
      <x:c r="N201" s="23"/>
      <x:c r="O201" s="23"/>
      <x:c r="P201" s="21"/>
      <x:c r="Q201" s="29" t="str">
        <x:f>IF(P201="","",IFERROR(INDEX(DM_MA_LOI!$B$6:$B$105,MATCH(P201,DM_MA_LOI!$A$6:$A$105,0)),""))</x:f>
      </x:c>
      <x:c r="R201" s="29" t="str">
        <x:f>IF(P201="","",IFERROR(INDEX(DM_MA_LOI!$E$6:$E$105,MATCH(P201,DM_MA_LOI!$A$6:$A$105,0)),""))</x:f>
      </x:c>
      <x:c r="S201" s="29" t="str">
        <x:f>IF(P201="","",IFERROR(INDEX(DM_MA_LOI!$F$6:$F$105,MATCH(P201,DM_MA_LOI!$A$6:$A$105,0)),""))</x:f>
      </x:c>
      <x:c r="T201" s="21"/>
      <x:c r="U201" s="21"/>
      <x:c r="V201" s="21"/>
      <x:c r="W201" s="21"/>
      <x:c r="X201" s="21"/>
      <x:c r="Y201" s="21"/>
      <x:c r="Z201" s="21"/>
      <x:c r="AA201" s="29" t="str">
        <x:f>IF(A201="","",IF(OR(B201="",C201="",D201="",H201="",K201="",L201=""),"Thiếu dữ liệu",IF(M201&lt;&gt;N201+O201,"Sai cân đối SL",IF(AND(O201&gt;0,P201=""),"Thiếu mã lỗi","Hợp lệ"))))</x:f>
      </x:c>
    </x:row>
    <x:row r="202">
      <x:c r="A202" s="21"/>
      <x:c r="B202" s="43"/>
      <x:c r="C202" s="21"/>
      <x:c r="D202" s="21"/>
      <x:c r="E202" s="21"/>
      <x:c r="F202" s="21"/>
      <x:c r="G202" s="29" t="str">
        <x:f>IF(OR(C202="",D202=""),"",C202&amp;"|"&amp;D202&amp;"|"&amp;IF(E202="","00",E202)&amp;"|"&amp;IF(F202="","01",F202))</x:f>
      </x:c>
      <x:c r="H202" s="21"/>
      <x:c r="I202" s="29" t="str">
        <x:f>IF(OR(G202="",H202=""),"",G202&amp;"|"&amp;TEXT(H202,"000"))</x:f>
      </x:c>
      <x:c r="J202" s="21"/>
      <x:c r="K202" s="21"/>
      <x:c r="L202" s="21"/>
      <x:c r="M202" s="23"/>
      <x:c r="N202" s="23"/>
      <x:c r="O202" s="23"/>
      <x:c r="P202" s="21"/>
      <x:c r="Q202" s="29" t="str">
        <x:f>IF(P202="","",IFERROR(INDEX(DM_MA_LOI!$B$6:$B$105,MATCH(P202,DM_MA_LOI!$A$6:$A$105,0)),""))</x:f>
      </x:c>
      <x:c r="R202" s="29" t="str">
        <x:f>IF(P202="","",IFERROR(INDEX(DM_MA_LOI!$E$6:$E$105,MATCH(P202,DM_MA_LOI!$A$6:$A$105,0)),""))</x:f>
      </x:c>
      <x:c r="S202" s="29" t="str">
        <x:f>IF(P202="","",IFERROR(INDEX(DM_MA_LOI!$F$6:$F$105,MATCH(P202,DM_MA_LOI!$A$6:$A$105,0)),""))</x:f>
      </x:c>
      <x:c r="T202" s="21"/>
      <x:c r="U202" s="21"/>
      <x:c r="V202" s="21"/>
      <x:c r="W202" s="21"/>
      <x:c r="X202" s="21"/>
      <x:c r="Y202" s="21"/>
      <x:c r="Z202" s="21"/>
      <x:c r="AA202" s="29" t="str">
        <x:f>IF(A202="","",IF(OR(B202="",C202="",D202="",H202="",K202="",L202=""),"Thiếu dữ liệu",IF(M202&lt;&gt;N202+O202,"Sai cân đối SL",IF(AND(O202&gt;0,P202=""),"Thiếu mã lỗi","Hợp lệ"))))</x:f>
      </x:c>
    </x:row>
    <x:row r="203">
      <x:c r="A203" s="21"/>
      <x:c r="B203" s="43"/>
      <x:c r="C203" s="21"/>
      <x:c r="D203" s="21"/>
      <x:c r="E203" s="21"/>
      <x:c r="F203" s="21"/>
      <x:c r="G203" s="29" t="str">
        <x:f>IF(OR(C203="",D203=""),"",C203&amp;"|"&amp;D203&amp;"|"&amp;IF(E203="","00",E203)&amp;"|"&amp;IF(F203="","01",F203))</x:f>
      </x:c>
      <x:c r="H203" s="21"/>
      <x:c r="I203" s="29" t="str">
        <x:f>IF(OR(G203="",H203=""),"",G203&amp;"|"&amp;TEXT(H203,"000"))</x:f>
      </x:c>
      <x:c r="J203" s="21"/>
      <x:c r="K203" s="21"/>
      <x:c r="L203" s="21"/>
      <x:c r="M203" s="23"/>
      <x:c r="N203" s="23"/>
      <x:c r="O203" s="23"/>
      <x:c r="P203" s="21"/>
      <x:c r="Q203" s="29" t="str">
        <x:f>IF(P203="","",IFERROR(INDEX(DM_MA_LOI!$B$6:$B$105,MATCH(P203,DM_MA_LOI!$A$6:$A$105,0)),""))</x:f>
      </x:c>
      <x:c r="R203" s="29" t="str">
        <x:f>IF(P203="","",IFERROR(INDEX(DM_MA_LOI!$E$6:$E$105,MATCH(P203,DM_MA_LOI!$A$6:$A$105,0)),""))</x:f>
      </x:c>
      <x:c r="S203" s="29" t="str">
        <x:f>IF(P203="","",IFERROR(INDEX(DM_MA_LOI!$F$6:$F$105,MATCH(P203,DM_MA_LOI!$A$6:$A$105,0)),""))</x:f>
      </x:c>
      <x:c r="T203" s="21"/>
      <x:c r="U203" s="21"/>
      <x:c r="V203" s="21"/>
      <x:c r="W203" s="21"/>
      <x:c r="X203" s="21"/>
      <x:c r="Y203" s="21"/>
      <x:c r="Z203" s="21"/>
      <x:c r="AA203" s="29" t="str">
        <x:f>IF(A203="","",IF(OR(B203="",C203="",D203="",H203="",K203="",L203=""),"Thiếu dữ liệu",IF(M203&lt;&gt;N203+O203,"Sai cân đối SL",IF(AND(O203&gt;0,P203=""),"Thiếu mã lỗi","Hợp lệ"))))</x:f>
      </x:c>
    </x:row>
    <x:row r="204">
      <x:c r="A204" s="21"/>
      <x:c r="B204" s="43"/>
      <x:c r="C204" s="21"/>
      <x:c r="D204" s="21"/>
      <x:c r="E204" s="21"/>
      <x:c r="F204" s="21"/>
      <x:c r="G204" s="29" t="str">
        <x:f>IF(OR(C204="",D204=""),"",C204&amp;"|"&amp;D204&amp;"|"&amp;IF(E204="","00",E204)&amp;"|"&amp;IF(F204="","01",F204))</x:f>
      </x:c>
      <x:c r="H204" s="21"/>
      <x:c r="I204" s="29" t="str">
        <x:f>IF(OR(G204="",H204=""),"",G204&amp;"|"&amp;TEXT(H204,"000"))</x:f>
      </x:c>
      <x:c r="J204" s="21"/>
      <x:c r="K204" s="21"/>
      <x:c r="L204" s="21"/>
      <x:c r="M204" s="23"/>
      <x:c r="N204" s="23"/>
      <x:c r="O204" s="23"/>
      <x:c r="P204" s="21"/>
      <x:c r="Q204" s="29" t="str">
        <x:f>IF(P204="","",IFERROR(INDEX(DM_MA_LOI!$B$6:$B$105,MATCH(P204,DM_MA_LOI!$A$6:$A$105,0)),""))</x:f>
      </x:c>
      <x:c r="R204" s="29" t="str">
        <x:f>IF(P204="","",IFERROR(INDEX(DM_MA_LOI!$E$6:$E$105,MATCH(P204,DM_MA_LOI!$A$6:$A$105,0)),""))</x:f>
      </x:c>
      <x:c r="S204" s="29" t="str">
        <x:f>IF(P204="","",IFERROR(INDEX(DM_MA_LOI!$F$6:$F$105,MATCH(P204,DM_MA_LOI!$A$6:$A$105,0)),""))</x:f>
      </x:c>
      <x:c r="T204" s="21"/>
      <x:c r="U204" s="21"/>
      <x:c r="V204" s="21"/>
      <x:c r="W204" s="21"/>
      <x:c r="X204" s="21"/>
      <x:c r="Y204" s="21"/>
      <x:c r="Z204" s="21"/>
      <x:c r="AA204" s="29" t="str">
        <x:f>IF(A204="","",IF(OR(B204="",C204="",D204="",H204="",K204="",L204=""),"Thiếu dữ liệu",IF(M204&lt;&gt;N204+O204,"Sai cân đối SL",IF(AND(O204&gt;0,P204=""),"Thiếu mã lỗi","Hợp lệ"))))</x:f>
      </x:c>
    </x:row>
    <x:row r="205">
      <x:c r="A205" s="21"/>
      <x:c r="B205" s="43"/>
      <x:c r="C205" s="21"/>
      <x:c r="D205" s="21"/>
      <x:c r="E205" s="21"/>
      <x:c r="F205" s="21"/>
      <x:c r="G205" s="29" t="str">
        <x:f>IF(OR(C205="",D205=""),"",C205&amp;"|"&amp;D205&amp;"|"&amp;IF(E205="","00",E205)&amp;"|"&amp;IF(F205="","01",F205))</x:f>
      </x:c>
      <x:c r="H205" s="21"/>
      <x:c r="I205" s="29" t="str">
        <x:f>IF(OR(G205="",H205=""),"",G205&amp;"|"&amp;TEXT(H205,"000"))</x:f>
      </x:c>
      <x:c r="J205" s="21"/>
      <x:c r="K205" s="21"/>
      <x:c r="L205" s="21"/>
      <x:c r="M205" s="23"/>
      <x:c r="N205" s="23"/>
      <x:c r="O205" s="23"/>
      <x:c r="P205" s="21"/>
      <x:c r="Q205" s="29" t="str">
        <x:f>IF(P205="","",IFERROR(INDEX(DM_MA_LOI!$B$6:$B$105,MATCH(P205,DM_MA_LOI!$A$6:$A$105,0)),""))</x:f>
      </x:c>
      <x:c r="R205" s="29" t="str">
        <x:f>IF(P205="","",IFERROR(INDEX(DM_MA_LOI!$E$6:$E$105,MATCH(P205,DM_MA_LOI!$A$6:$A$105,0)),""))</x:f>
      </x:c>
      <x:c r="S205" s="29" t="str">
        <x:f>IF(P205="","",IFERROR(INDEX(DM_MA_LOI!$F$6:$F$105,MATCH(P205,DM_MA_LOI!$A$6:$A$105,0)),""))</x:f>
      </x:c>
      <x:c r="T205" s="21"/>
      <x:c r="U205" s="21"/>
      <x:c r="V205" s="21"/>
      <x:c r="W205" s="21"/>
      <x:c r="X205" s="21"/>
      <x:c r="Y205" s="21"/>
      <x:c r="Z205" s="21"/>
      <x:c r="AA205" s="29" t="str">
        <x:f>IF(A205="","",IF(OR(B205="",C205="",D205="",H205="",K205="",L205=""),"Thiếu dữ liệu",IF(M205&lt;&gt;N205+O205,"Sai cân đối SL",IF(AND(O205&gt;0,P205=""),"Thiếu mã lỗi","Hợp lệ"))))</x:f>
      </x:c>
    </x:row>
    <x:row r="206">
      <x:c r="A206" s="21"/>
      <x:c r="B206" s="43"/>
      <x:c r="C206" s="21"/>
      <x:c r="D206" s="21"/>
      <x:c r="E206" s="21"/>
      <x:c r="F206" s="21"/>
      <x:c r="G206" s="29" t="str">
        <x:f>IF(OR(C206="",D206=""),"",C206&amp;"|"&amp;D206&amp;"|"&amp;IF(E206="","00",E206)&amp;"|"&amp;IF(F206="","01",F206))</x:f>
      </x:c>
      <x:c r="H206" s="21"/>
      <x:c r="I206" s="29" t="str">
        <x:f>IF(OR(G206="",H206=""),"",G206&amp;"|"&amp;TEXT(H206,"000"))</x:f>
      </x:c>
      <x:c r="J206" s="21"/>
      <x:c r="K206" s="21"/>
      <x:c r="L206" s="21"/>
      <x:c r="M206" s="23"/>
      <x:c r="N206" s="23"/>
      <x:c r="O206" s="23"/>
      <x:c r="P206" s="21"/>
      <x:c r="Q206" s="29" t="str">
        <x:f>IF(P206="","",IFERROR(INDEX(DM_MA_LOI!$B$6:$B$105,MATCH(P206,DM_MA_LOI!$A$6:$A$105,0)),""))</x:f>
      </x:c>
      <x:c r="R206" s="29" t="str">
        <x:f>IF(P206="","",IFERROR(INDEX(DM_MA_LOI!$E$6:$E$105,MATCH(P206,DM_MA_LOI!$A$6:$A$105,0)),""))</x:f>
      </x:c>
      <x:c r="S206" s="29" t="str">
        <x:f>IF(P206="","",IFERROR(INDEX(DM_MA_LOI!$F$6:$F$105,MATCH(P206,DM_MA_LOI!$A$6:$A$105,0)),""))</x:f>
      </x:c>
      <x:c r="T206" s="21"/>
      <x:c r="U206" s="21"/>
      <x:c r="V206" s="21"/>
      <x:c r="W206" s="21"/>
      <x:c r="X206" s="21"/>
      <x:c r="Y206" s="21"/>
      <x:c r="Z206" s="21"/>
      <x:c r="AA206" s="29" t="str">
        <x:f>IF(A206="","",IF(OR(B206="",C206="",D206="",H206="",K206="",L206=""),"Thiếu dữ liệu",IF(M206&lt;&gt;N206+O206,"Sai cân đối SL",IF(AND(O206&gt;0,P206=""),"Thiếu mã lỗi","Hợp lệ"))))</x:f>
      </x:c>
    </x:row>
    <x:row r="207">
      <x:c r="A207" s="21"/>
      <x:c r="B207" s="43"/>
      <x:c r="C207" s="21"/>
      <x:c r="D207" s="21"/>
      <x:c r="E207" s="21"/>
      <x:c r="F207" s="21"/>
      <x:c r="G207" s="29" t="str">
        <x:f>IF(OR(C207="",D207=""),"",C207&amp;"|"&amp;D207&amp;"|"&amp;IF(E207="","00",E207)&amp;"|"&amp;IF(F207="","01",F207))</x:f>
      </x:c>
      <x:c r="H207" s="21"/>
      <x:c r="I207" s="29" t="str">
        <x:f>IF(OR(G207="",H207=""),"",G207&amp;"|"&amp;TEXT(H207,"000"))</x:f>
      </x:c>
      <x:c r="J207" s="21"/>
      <x:c r="K207" s="21"/>
      <x:c r="L207" s="21"/>
      <x:c r="M207" s="23"/>
      <x:c r="N207" s="23"/>
      <x:c r="O207" s="23"/>
      <x:c r="P207" s="21"/>
      <x:c r="Q207" s="29" t="str">
        <x:f>IF(P207="","",IFERROR(INDEX(DM_MA_LOI!$B$6:$B$105,MATCH(P207,DM_MA_LOI!$A$6:$A$105,0)),""))</x:f>
      </x:c>
      <x:c r="R207" s="29" t="str">
        <x:f>IF(P207="","",IFERROR(INDEX(DM_MA_LOI!$E$6:$E$105,MATCH(P207,DM_MA_LOI!$A$6:$A$105,0)),""))</x:f>
      </x:c>
      <x:c r="S207" s="29" t="str">
        <x:f>IF(P207="","",IFERROR(INDEX(DM_MA_LOI!$F$6:$F$105,MATCH(P207,DM_MA_LOI!$A$6:$A$105,0)),""))</x:f>
      </x:c>
      <x:c r="T207" s="21"/>
      <x:c r="U207" s="21"/>
      <x:c r="V207" s="21"/>
      <x:c r="W207" s="21"/>
      <x:c r="X207" s="21"/>
      <x:c r="Y207" s="21"/>
      <x:c r="Z207" s="21"/>
      <x:c r="AA207" s="29" t="str">
        <x:f>IF(A207="","",IF(OR(B207="",C207="",D207="",H207="",K207="",L207=""),"Thiếu dữ liệu",IF(M207&lt;&gt;N207+O207,"Sai cân đối SL",IF(AND(O207&gt;0,P207=""),"Thiếu mã lỗi","Hợp lệ"))))</x:f>
      </x:c>
    </x:row>
    <x:row r="208">
      <x:c r="A208" s="21"/>
      <x:c r="B208" s="43"/>
      <x:c r="C208" s="21"/>
      <x:c r="D208" s="21"/>
      <x:c r="E208" s="21"/>
      <x:c r="F208" s="21"/>
      <x:c r="G208" s="29" t="str">
        <x:f>IF(OR(C208="",D208=""),"",C208&amp;"|"&amp;D208&amp;"|"&amp;IF(E208="","00",E208)&amp;"|"&amp;IF(F208="","01",F208))</x:f>
      </x:c>
      <x:c r="H208" s="21"/>
      <x:c r="I208" s="29" t="str">
        <x:f>IF(OR(G208="",H208=""),"",G208&amp;"|"&amp;TEXT(H208,"000"))</x:f>
      </x:c>
      <x:c r="J208" s="21"/>
      <x:c r="K208" s="21"/>
      <x:c r="L208" s="21"/>
      <x:c r="M208" s="23"/>
      <x:c r="N208" s="23"/>
      <x:c r="O208" s="23"/>
      <x:c r="P208" s="21"/>
      <x:c r="Q208" s="29" t="str">
        <x:f>IF(P208="","",IFERROR(INDEX(DM_MA_LOI!$B$6:$B$105,MATCH(P208,DM_MA_LOI!$A$6:$A$105,0)),""))</x:f>
      </x:c>
      <x:c r="R208" s="29" t="str">
        <x:f>IF(P208="","",IFERROR(INDEX(DM_MA_LOI!$E$6:$E$105,MATCH(P208,DM_MA_LOI!$A$6:$A$105,0)),""))</x:f>
      </x:c>
      <x:c r="S208" s="29" t="str">
        <x:f>IF(P208="","",IFERROR(INDEX(DM_MA_LOI!$F$6:$F$105,MATCH(P208,DM_MA_LOI!$A$6:$A$105,0)),""))</x:f>
      </x:c>
      <x:c r="T208" s="21"/>
      <x:c r="U208" s="21"/>
      <x:c r="V208" s="21"/>
      <x:c r="W208" s="21"/>
      <x:c r="X208" s="21"/>
      <x:c r="Y208" s="21"/>
      <x:c r="Z208" s="21"/>
      <x:c r="AA208" s="29" t="str">
        <x:f>IF(A208="","",IF(OR(B208="",C208="",D208="",H208="",K208="",L208=""),"Thiếu dữ liệu",IF(M208&lt;&gt;N208+O208,"Sai cân đối SL",IF(AND(O208&gt;0,P208=""),"Thiếu mã lỗi","Hợp lệ"))))</x:f>
      </x:c>
    </x:row>
    <x:row r="209">
      <x:c r="A209" s="21"/>
      <x:c r="B209" s="43"/>
      <x:c r="C209" s="21"/>
      <x:c r="D209" s="21"/>
      <x:c r="E209" s="21"/>
      <x:c r="F209" s="21"/>
      <x:c r="G209" s="29" t="str">
        <x:f>IF(OR(C209="",D209=""),"",C209&amp;"|"&amp;D209&amp;"|"&amp;IF(E209="","00",E209)&amp;"|"&amp;IF(F209="","01",F209))</x:f>
      </x:c>
      <x:c r="H209" s="21"/>
      <x:c r="I209" s="29" t="str">
        <x:f>IF(OR(G209="",H209=""),"",G209&amp;"|"&amp;TEXT(H209,"000"))</x:f>
      </x:c>
      <x:c r="J209" s="21"/>
      <x:c r="K209" s="21"/>
      <x:c r="L209" s="21"/>
      <x:c r="M209" s="23"/>
      <x:c r="N209" s="23"/>
      <x:c r="O209" s="23"/>
      <x:c r="P209" s="21"/>
      <x:c r="Q209" s="29" t="str">
        <x:f>IF(P209="","",IFERROR(INDEX(DM_MA_LOI!$B$6:$B$105,MATCH(P209,DM_MA_LOI!$A$6:$A$105,0)),""))</x:f>
      </x:c>
      <x:c r="R209" s="29" t="str">
        <x:f>IF(P209="","",IFERROR(INDEX(DM_MA_LOI!$E$6:$E$105,MATCH(P209,DM_MA_LOI!$A$6:$A$105,0)),""))</x:f>
      </x:c>
      <x:c r="S209" s="29" t="str">
        <x:f>IF(P209="","",IFERROR(INDEX(DM_MA_LOI!$F$6:$F$105,MATCH(P209,DM_MA_LOI!$A$6:$A$105,0)),""))</x:f>
      </x:c>
      <x:c r="T209" s="21"/>
      <x:c r="U209" s="21"/>
      <x:c r="V209" s="21"/>
      <x:c r="W209" s="21"/>
      <x:c r="X209" s="21"/>
      <x:c r="Y209" s="21"/>
      <x:c r="Z209" s="21"/>
      <x:c r="AA209" s="29" t="str">
        <x:f>IF(A209="","",IF(OR(B209="",C209="",D209="",H209="",K209="",L209=""),"Thiếu dữ liệu",IF(M209&lt;&gt;N209+O209,"Sai cân đối SL",IF(AND(O209&gt;0,P209=""),"Thiếu mã lỗi","Hợp lệ"))))</x:f>
      </x:c>
    </x:row>
    <x:row r="210">
      <x:c r="A210" s="21"/>
      <x:c r="B210" s="43"/>
      <x:c r="C210" s="21"/>
      <x:c r="D210" s="21"/>
      <x:c r="E210" s="21"/>
      <x:c r="F210" s="21"/>
      <x:c r="G210" s="29" t="str">
        <x:f>IF(OR(C210="",D210=""),"",C210&amp;"|"&amp;D210&amp;"|"&amp;IF(E210="","00",E210)&amp;"|"&amp;IF(F210="","01",F210))</x:f>
      </x:c>
      <x:c r="H210" s="21"/>
      <x:c r="I210" s="29" t="str">
        <x:f>IF(OR(G210="",H210=""),"",G210&amp;"|"&amp;TEXT(H210,"000"))</x:f>
      </x:c>
      <x:c r="J210" s="21"/>
      <x:c r="K210" s="21"/>
      <x:c r="L210" s="21"/>
      <x:c r="M210" s="23"/>
      <x:c r="N210" s="23"/>
      <x:c r="O210" s="23"/>
      <x:c r="P210" s="21"/>
      <x:c r="Q210" s="29" t="str">
        <x:f>IF(P210="","",IFERROR(INDEX(DM_MA_LOI!$B$6:$B$105,MATCH(P210,DM_MA_LOI!$A$6:$A$105,0)),""))</x:f>
      </x:c>
      <x:c r="R210" s="29" t="str">
        <x:f>IF(P210="","",IFERROR(INDEX(DM_MA_LOI!$E$6:$E$105,MATCH(P210,DM_MA_LOI!$A$6:$A$105,0)),""))</x:f>
      </x:c>
      <x:c r="S210" s="29" t="str">
        <x:f>IF(P210="","",IFERROR(INDEX(DM_MA_LOI!$F$6:$F$105,MATCH(P210,DM_MA_LOI!$A$6:$A$105,0)),""))</x:f>
      </x:c>
      <x:c r="T210" s="21"/>
      <x:c r="U210" s="21"/>
      <x:c r="V210" s="21"/>
      <x:c r="W210" s="21"/>
      <x:c r="X210" s="21"/>
      <x:c r="Y210" s="21"/>
      <x:c r="Z210" s="21"/>
      <x:c r="AA210" s="29" t="str">
        <x:f>IF(A210="","",IF(OR(B210="",C210="",D210="",H210="",K210="",L210=""),"Thiếu dữ liệu",IF(M210&lt;&gt;N210+O210,"Sai cân đối SL",IF(AND(O210&gt;0,P210=""),"Thiếu mã lỗi","Hợp lệ"))))</x:f>
      </x:c>
    </x:row>
    <x:row r="211">
      <x:c r="A211" s="21"/>
      <x:c r="B211" s="43"/>
      <x:c r="C211" s="21"/>
      <x:c r="D211" s="21"/>
      <x:c r="E211" s="21"/>
      <x:c r="F211" s="21"/>
      <x:c r="G211" s="29" t="str">
        <x:f>IF(OR(C211="",D211=""),"",C211&amp;"|"&amp;D211&amp;"|"&amp;IF(E211="","00",E211)&amp;"|"&amp;IF(F211="","01",F211))</x:f>
      </x:c>
      <x:c r="H211" s="21"/>
      <x:c r="I211" s="29" t="str">
        <x:f>IF(OR(G211="",H211=""),"",G211&amp;"|"&amp;TEXT(H211,"000"))</x:f>
      </x:c>
      <x:c r="J211" s="21"/>
      <x:c r="K211" s="21"/>
      <x:c r="L211" s="21"/>
      <x:c r="M211" s="23"/>
      <x:c r="N211" s="23"/>
      <x:c r="O211" s="23"/>
      <x:c r="P211" s="21"/>
      <x:c r="Q211" s="29" t="str">
        <x:f>IF(P211="","",IFERROR(INDEX(DM_MA_LOI!$B$6:$B$105,MATCH(P211,DM_MA_LOI!$A$6:$A$105,0)),""))</x:f>
      </x:c>
      <x:c r="R211" s="29" t="str">
        <x:f>IF(P211="","",IFERROR(INDEX(DM_MA_LOI!$E$6:$E$105,MATCH(P211,DM_MA_LOI!$A$6:$A$105,0)),""))</x:f>
      </x:c>
      <x:c r="S211" s="29" t="str">
        <x:f>IF(P211="","",IFERROR(INDEX(DM_MA_LOI!$F$6:$F$105,MATCH(P211,DM_MA_LOI!$A$6:$A$105,0)),""))</x:f>
      </x:c>
      <x:c r="T211" s="21"/>
      <x:c r="U211" s="21"/>
      <x:c r="V211" s="21"/>
      <x:c r="W211" s="21"/>
      <x:c r="X211" s="21"/>
      <x:c r="Y211" s="21"/>
      <x:c r="Z211" s="21"/>
      <x:c r="AA211" s="29" t="str">
        <x:f>IF(A211="","",IF(OR(B211="",C211="",D211="",H211="",K211="",L211=""),"Thiếu dữ liệu",IF(M211&lt;&gt;N211+O211,"Sai cân đối SL",IF(AND(O211&gt;0,P211=""),"Thiếu mã lỗi","Hợp lệ"))))</x:f>
      </x:c>
    </x:row>
    <x:row r="212">
      <x:c r="A212" s="21"/>
      <x:c r="B212" s="43"/>
      <x:c r="C212" s="21"/>
      <x:c r="D212" s="21"/>
      <x:c r="E212" s="21"/>
      <x:c r="F212" s="21"/>
      <x:c r="G212" s="29" t="str">
        <x:f>IF(OR(C212="",D212=""),"",C212&amp;"|"&amp;D212&amp;"|"&amp;IF(E212="","00",E212)&amp;"|"&amp;IF(F212="","01",F212))</x:f>
      </x:c>
      <x:c r="H212" s="21"/>
      <x:c r="I212" s="29" t="str">
        <x:f>IF(OR(G212="",H212=""),"",G212&amp;"|"&amp;TEXT(H212,"000"))</x:f>
      </x:c>
      <x:c r="J212" s="21"/>
      <x:c r="K212" s="21"/>
      <x:c r="L212" s="21"/>
      <x:c r="M212" s="23"/>
      <x:c r="N212" s="23"/>
      <x:c r="O212" s="23"/>
      <x:c r="P212" s="21"/>
      <x:c r="Q212" s="29" t="str">
        <x:f>IF(P212="","",IFERROR(INDEX(DM_MA_LOI!$B$6:$B$105,MATCH(P212,DM_MA_LOI!$A$6:$A$105,0)),""))</x:f>
      </x:c>
      <x:c r="R212" s="29" t="str">
        <x:f>IF(P212="","",IFERROR(INDEX(DM_MA_LOI!$E$6:$E$105,MATCH(P212,DM_MA_LOI!$A$6:$A$105,0)),""))</x:f>
      </x:c>
      <x:c r="S212" s="29" t="str">
        <x:f>IF(P212="","",IFERROR(INDEX(DM_MA_LOI!$F$6:$F$105,MATCH(P212,DM_MA_LOI!$A$6:$A$105,0)),""))</x:f>
      </x:c>
      <x:c r="T212" s="21"/>
      <x:c r="U212" s="21"/>
      <x:c r="V212" s="21"/>
      <x:c r="W212" s="21"/>
      <x:c r="X212" s="21"/>
      <x:c r="Y212" s="21"/>
      <x:c r="Z212" s="21"/>
      <x:c r="AA212" s="29" t="str">
        <x:f>IF(A212="","",IF(OR(B212="",C212="",D212="",H212="",K212="",L212=""),"Thiếu dữ liệu",IF(M212&lt;&gt;N212+O212,"Sai cân đối SL",IF(AND(O212&gt;0,P212=""),"Thiếu mã lỗi","Hợp lệ"))))</x:f>
      </x:c>
    </x:row>
    <x:row r="213">
      <x:c r="A213" s="21"/>
      <x:c r="B213" s="43"/>
      <x:c r="C213" s="21"/>
      <x:c r="D213" s="21"/>
      <x:c r="E213" s="21"/>
      <x:c r="F213" s="21"/>
      <x:c r="G213" s="29" t="str">
        <x:f>IF(OR(C213="",D213=""),"",C213&amp;"|"&amp;D213&amp;"|"&amp;IF(E213="","00",E213)&amp;"|"&amp;IF(F213="","01",F213))</x:f>
      </x:c>
      <x:c r="H213" s="21"/>
      <x:c r="I213" s="29" t="str">
        <x:f>IF(OR(G213="",H213=""),"",G213&amp;"|"&amp;TEXT(H213,"000"))</x:f>
      </x:c>
      <x:c r="J213" s="21"/>
      <x:c r="K213" s="21"/>
      <x:c r="L213" s="21"/>
      <x:c r="M213" s="23"/>
      <x:c r="N213" s="23"/>
      <x:c r="O213" s="23"/>
      <x:c r="P213" s="21"/>
      <x:c r="Q213" s="29" t="str">
        <x:f>IF(P213="","",IFERROR(INDEX(DM_MA_LOI!$B$6:$B$105,MATCH(P213,DM_MA_LOI!$A$6:$A$105,0)),""))</x:f>
      </x:c>
      <x:c r="R213" s="29" t="str">
        <x:f>IF(P213="","",IFERROR(INDEX(DM_MA_LOI!$E$6:$E$105,MATCH(P213,DM_MA_LOI!$A$6:$A$105,0)),""))</x:f>
      </x:c>
      <x:c r="S213" s="29" t="str">
        <x:f>IF(P213="","",IFERROR(INDEX(DM_MA_LOI!$F$6:$F$105,MATCH(P213,DM_MA_LOI!$A$6:$A$105,0)),""))</x:f>
      </x:c>
      <x:c r="T213" s="21"/>
      <x:c r="U213" s="21"/>
      <x:c r="V213" s="21"/>
      <x:c r="W213" s="21"/>
      <x:c r="X213" s="21"/>
      <x:c r="Y213" s="21"/>
      <x:c r="Z213" s="21"/>
      <x:c r="AA213" s="29" t="str">
        <x:f>IF(A213="","",IF(OR(B213="",C213="",D213="",H213="",K213="",L213=""),"Thiếu dữ liệu",IF(M213&lt;&gt;N213+O213,"Sai cân đối SL",IF(AND(O213&gt;0,P213=""),"Thiếu mã lỗi","Hợp lệ"))))</x:f>
      </x:c>
    </x:row>
    <x:row r="214">
      <x:c r="A214" s="21"/>
      <x:c r="B214" s="43"/>
      <x:c r="C214" s="21"/>
      <x:c r="D214" s="21"/>
      <x:c r="E214" s="21"/>
      <x:c r="F214" s="21"/>
      <x:c r="G214" s="29" t="str">
        <x:f>IF(OR(C214="",D214=""),"",C214&amp;"|"&amp;D214&amp;"|"&amp;IF(E214="","00",E214)&amp;"|"&amp;IF(F214="","01",F214))</x:f>
      </x:c>
      <x:c r="H214" s="21"/>
      <x:c r="I214" s="29" t="str">
        <x:f>IF(OR(G214="",H214=""),"",G214&amp;"|"&amp;TEXT(H214,"000"))</x:f>
      </x:c>
      <x:c r="J214" s="21"/>
      <x:c r="K214" s="21"/>
      <x:c r="L214" s="21"/>
      <x:c r="M214" s="23"/>
      <x:c r="N214" s="23"/>
      <x:c r="O214" s="23"/>
      <x:c r="P214" s="21"/>
      <x:c r="Q214" s="29" t="str">
        <x:f>IF(P214="","",IFERROR(INDEX(DM_MA_LOI!$B$6:$B$105,MATCH(P214,DM_MA_LOI!$A$6:$A$105,0)),""))</x:f>
      </x:c>
      <x:c r="R214" s="29" t="str">
        <x:f>IF(P214="","",IFERROR(INDEX(DM_MA_LOI!$E$6:$E$105,MATCH(P214,DM_MA_LOI!$A$6:$A$105,0)),""))</x:f>
      </x:c>
      <x:c r="S214" s="29" t="str">
        <x:f>IF(P214="","",IFERROR(INDEX(DM_MA_LOI!$F$6:$F$105,MATCH(P214,DM_MA_LOI!$A$6:$A$105,0)),""))</x:f>
      </x:c>
      <x:c r="T214" s="21"/>
      <x:c r="U214" s="21"/>
      <x:c r="V214" s="21"/>
      <x:c r="W214" s="21"/>
      <x:c r="X214" s="21"/>
      <x:c r="Y214" s="21"/>
      <x:c r="Z214" s="21"/>
      <x:c r="AA214" s="29" t="str">
        <x:f>IF(A214="","",IF(OR(B214="",C214="",D214="",H214="",K214="",L214=""),"Thiếu dữ liệu",IF(M214&lt;&gt;N214+O214,"Sai cân đối SL",IF(AND(O214&gt;0,P214=""),"Thiếu mã lỗi","Hợp lệ"))))</x:f>
      </x:c>
    </x:row>
    <x:row r="215">
      <x:c r="A215" s="21"/>
      <x:c r="B215" s="43"/>
      <x:c r="C215" s="21"/>
      <x:c r="D215" s="21"/>
      <x:c r="E215" s="21"/>
      <x:c r="F215" s="21"/>
      <x:c r="G215" s="29" t="str">
        <x:f>IF(OR(C215="",D215=""),"",C215&amp;"|"&amp;D215&amp;"|"&amp;IF(E215="","00",E215)&amp;"|"&amp;IF(F215="","01",F215))</x:f>
      </x:c>
      <x:c r="H215" s="21"/>
      <x:c r="I215" s="29" t="str">
        <x:f>IF(OR(G215="",H215=""),"",G215&amp;"|"&amp;TEXT(H215,"000"))</x:f>
      </x:c>
      <x:c r="J215" s="21"/>
      <x:c r="K215" s="21"/>
      <x:c r="L215" s="21"/>
      <x:c r="M215" s="23"/>
      <x:c r="N215" s="23"/>
      <x:c r="O215" s="23"/>
      <x:c r="P215" s="21"/>
      <x:c r="Q215" s="29" t="str">
        <x:f>IF(P215="","",IFERROR(INDEX(DM_MA_LOI!$B$6:$B$105,MATCH(P215,DM_MA_LOI!$A$6:$A$105,0)),""))</x:f>
      </x:c>
      <x:c r="R215" s="29" t="str">
        <x:f>IF(P215="","",IFERROR(INDEX(DM_MA_LOI!$E$6:$E$105,MATCH(P215,DM_MA_LOI!$A$6:$A$105,0)),""))</x:f>
      </x:c>
      <x:c r="S215" s="29" t="str">
        <x:f>IF(P215="","",IFERROR(INDEX(DM_MA_LOI!$F$6:$F$105,MATCH(P215,DM_MA_LOI!$A$6:$A$105,0)),""))</x:f>
      </x:c>
      <x:c r="T215" s="21"/>
      <x:c r="U215" s="21"/>
      <x:c r="V215" s="21"/>
      <x:c r="W215" s="21"/>
      <x:c r="X215" s="21"/>
      <x:c r="Y215" s="21"/>
      <x:c r="Z215" s="21"/>
      <x:c r="AA215" s="29" t="str">
        <x:f>IF(A215="","",IF(OR(B215="",C215="",D215="",H215="",K215="",L215=""),"Thiếu dữ liệu",IF(M215&lt;&gt;N215+O215,"Sai cân đối SL",IF(AND(O215&gt;0,P215=""),"Thiếu mã lỗi","Hợp lệ"))))</x:f>
      </x:c>
    </x:row>
    <x:row r="216">
      <x:c r="A216" s="21"/>
      <x:c r="B216" s="43"/>
      <x:c r="C216" s="21"/>
      <x:c r="D216" s="21"/>
      <x:c r="E216" s="21"/>
      <x:c r="F216" s="21"/>
      <x:c r="G216" s="29" t="str">
        <x:f>IF(OR(C216="",D216=""),"",C216&amp;"|"&amp;D216&amp;"|"&amp;IF(E216="","00",E216)&amp;"|"&amp;IF(F216="","01",F216))</x:f>
      </x:c>
      <x:c r="H216" s="21"/>
      <x:c r="I216" s="29" t="str">
        <x:f>IF(OR(G216="",H216=""),"",G216&amp;"|"&amp;TEXT(H216,"000"))</x:f>
      </x:c>
      <x:c r="J216" s="21"/>
      <x:c r="K216" s="21"/>
      <x:c r="L216" s="21"/>
      <x:c r="M216" s="23"/>
      <x:c r="N216" s="23"/>
      <x:c r="O216" s="23"/>
      <x:c r="P216" s="21"/>
      <x:c r="Q216" s="29" t="str">
        <x:f>IF(P216="","",IFERROR(INDEX(DM_MA_LOI!$B$6:$B$105,MATCH(P216,DM_MA_LOI!$A$6:$A$105,0)),""))</x:f>
      </x:c>
      <x:c r="R216" s="29" t="str">
        <x:f>IF(P216="","",IFERROR(INDEX(DM_MA_LOI!$E$6:$E$105,MATCH(P216,DM_MA_LOI!$A$6:$A$105,0)),""))</x:f>
      </x:c>
      <x:c r="S216" s="29" t="str">
        <x:f>IF(P216="","",IFERROR(INDEX(DM_MA_LOI!$F$6:$F$105,MATCH(P216,DM_MA_LOI!$A$6:$A$105,0)),""))</x:f>
      </x:c>
      <x:c r="T216" s="21"/>
      <x:c r="U216" s="21"/>
      <x:c r="V216" s="21"/>
      <x:c r="W216" s="21"/>
      <x:c r="X216" s="21"/>
      <x:c r="Y216" s="21"/>
      <x:c r="Z216" s="21"/>
      <x:c r="AA216" s="29" t="str">
        <x:f>IF(A216="","",IF(OR(B216="",C216="",D216="",H216="",K216="",L216=""),"Thiếu dữ liệu",IF(M216&lt;&gt;N216+O216,"Sai cân đối SL",IF(AND(O216&gt;0,P216=""),"Thiếu mã lỗi","Hợp lệ"))))</x:f>
      </x:c>
    </x:row>
    <x:row r="217">
      <x:c r="A217" s="21"/>
      <x:c r="B217" s="43"/>
      <x:c r="C217" s="21"/>
      <x:c r="D217" s="21"/>
      <x:c r="E217" s="21"/>
      <x:c r="F217" s="21"/>
      <x:c r="G217" s="29" t="str">
        <x:f>IF(OR(C217="",D217=""),"",C217&amp;"|"&amp;D217&amp;"|"&amp;IF(E217="","00",E217)&amp;"|"&amp;IF(F217="","01",F217))</x:f>
      </x:c>
      <x:c r="H217" s="21"/>
      <x:c r="I217" s="29" t="str">
        <x:f>IF(OR(G217="",H217=""),"",G217&amp;"|"&amp;TEXT(H217,"000"))</x:f>
      </x:c>
      <x:c r="J217" s="21"/>
      <x:c r="K217" s="21"/>
      <x:c r="L217" s="21"/>
      <x:c r="M217" s="23"/>
      <x:c r="N217" s="23"/>
      <x:c r="O217" s="23"/>
      <x:c r="P217" s="21"/>
      <x:c r="Q217" s="29" t="str">
        <x:f>IF(P217="","",IFERROR(INDEX(DM_MA_LOI!$B$6:$B$105,MATCH(P217,DM_MA_LOI!$A$6:$A$105,0)),""))</x:f>
      </x:c>
      <x:c r="R217" s="29" t="str">
        <x:f>IF(P217="","",IFERROR(INDEX(DM_MA_LOI!$E$6:$E$105,MATCH(P217,DM_MA_LOI!$A$6:$A$105,0)),""))</x:f>
      </x:c>
      <x:c r="S217" s="29" t="str">
        <x:f>IF(P217="","",IFERROR(INDEX(DM_MA_LOI!$F$6:$F$105,MATCH(P217,DM_MA_LOI!$A$6:$A$105,0)),""))</x:f>
      </x:c>
      <x:c r="T217" s="21"/>
      <x:c r="U217" s="21"/>
      <x:c r="V217" s="21"/>
      <x:c r="W217" s="21"/>
      <x:c r="X217" s="21"/>
      <x:c r="Y217" s="21"/>
      <x:c r="Z217" s="21"/>
      <x:c r="AA217" s="29" t="str">
        <x:f>IF(A217="","",IF(OR(B217="",C217="",D217="",H217="",K217="",L217=""),"Thiếu dữ liệu",IF(M217&lt;&gt;N217+O217,"Sai cân đối SL",IF(AND(O217&gt;0,P217=""),"Thiếu mã lỗi","Hợp lệ"))))</x:f>
      </x:c>
    </x:row>
    <x:row r="218">
      <x:c r="A218" s="21"/>
      <x:c r="B218" s="43"/>
      <x:c r="C218" s="21"/>
      <x:c r="D218" s="21"/>
      <x:c r="E218" s="21"/>
      <x:c r="F218" s="21"/>
      <x:c r="G218" s="29" t="str">
        <x:f>IF(OR(C218="",D218=""),"",C218&amp;"|"&amp;D218&amp;"|"&amp;IF(E218="","00",E218)&amp;"|"&amp;IF(F218="","01",F218))</x:f>
      </x:c>
      <x:c r="H218" s="21"/>
      <x:c r="I218" s="29" t="str">
        <x:f>IF(OR(G218="",H218=""),"",G218&amp;"|"&amp;TEXT(H218,"000"))</x:f>
      </x:c>
      <x:c r="J218" s="21"/>
      <x:c r="K218" s="21"/>
      <x:c r="L218" s="21"/>
      <x:c r="M218" s="23"/>
      <x:c r="N218" s="23"/>
      <x:c r="O218" s="23"/>
      <x:c r="P218" s="21"/>
      <x:c r="Q218" s="29" t="str">
        <x:f>IF(P218="","",IFERROR(INDEX(DM_MA_LOI!$B$6:$B$105,MATCH(P218,DM_MA_LOI!$A$6:$A$105,0)),""))</x:f>
      </x:c>
      <x:c r="R218" s="29" t="str">
        <x:f>IF(P218="","",IFERROR(INDEX(DM_MA_LOI!$E$6:$E$105,MATCH(P218,DM_MA_LOI!$A$6:$A$105,0)),""))</x:f>
      </x:c>
      <x:c r="S218" s="29" t="str">
        <x:f>IF(P218="","",IFERROR(INDEX(DM_MA_LOI!$F$6:$F$105,MATCH(P218,DM_MA_LOI!$A$6:$A$105,0)),""))</x:f>
      </x:c>
      <x:c r="T218" s="21"/>
      <x:c r="U218" s="21"/>
      <x:c r="V218" s="21"/>
      <x:c r="W218" s="21"/>
      <x:c r="X218" s="21"/>
      <x:c r="Y218" s="21"/>
      <x:c r="Z218" s="21"/>
      <x:c r="AA218" s="29" t="str">
        <x:f>IF(A218="","",IF(OR(B218="",C218="",D218="",H218="",K218="",L218=""),"Thiếu dữ liệu",IF(M218&lt;&gt;N218+O218,"Sai cân đối SL",IF(AND(O218&gt;0,P218=""),"Thiếu mã lỗi","Hợp lệ"))))</x:f>
      </x:c>
    </x:row>
    <x:row r="219">
      <x:c r="A219" s="21"/>
      <x:c r="B219" s="43"/>
      <x:c r="C219" s="21"/>
      <x:c r="D219" s="21"/>
      <x:c r="E219" s="21"/>
      <x:c r="F219" s="21"/>
      <x:c r="G219" s="29" t="str">
        <x:f>IF(OR(C219="",D219=""),"",C219&amp;"|"&amp;D219&amp;"|"&amp;IF(E219="","00",E219)&amp;"|"&amp;IF(F219="","01",F219))</x:f>
      </x:c>
      <x:c r="H219" s="21"/>
      <x:c r="I219" s="29" t="str">
        <x:f>IF(OR(G219="",H219=""),"",G219&amp;"|"&amp;TEXT(H219,"000"))</x:f>
      </x:c>
      <x:c r="J219" s="21"/>
      <x:c r="K219" s="21"/>
      <x:c r="L219" s="21"/>
      <x:c r="M219" s="23"/>
      <x:c r="N219" s="23"/>
      <x:c r="O219" s="23"/>
      <x:c r="P219" s="21"/>
      <x:c r="Q219" s="29" t="str">
        <x:f>IF(P219="","",IFERROR(INDEX(DM_MA_LOI!$B$6:$B$105,MATCH(P219,DM_MA_LOI!$A$6:$A$105,0)),""))</x:f>
      </x:c>
      <x:c r="R219" s="29" t="str">
        <x:f>IF(P219="","",IFERROR(INDEX(DM_MA_LOI!$E$6:$E$105,MATCH(P219,DM_MA_LOI!$A$6:$A$105,0)),""))</x:f>
      </x:c>
      <x:c r="S219" s="29" t="str">
        <x:f>IF(P219="","",IFERROR(INDEX(DM_MA_LOI!$F$6:$F$105,MATCH(P219,DM_MA_LOI!$A$6:$A$105,0)),""))</x:f>
      </x:c>
      <x:c r="T219" s="21"/>
      <x:c r="U219" s="21"/>
      <x:c r="V219" s="21"/>
      <x:c r="W219" s="21"/>
      <x:c r="X219" s="21"/>
      <x:c r="Y219" s="21"/>
      <x:c r="Z219" s="21"/>
      <x:c r="AA219" s="29" t="str">
        <x:f>IF(A219="","",IF(OR(B219="",C219="",D219="",H219="",K219="",L219=""),"Thiếu dữ liệu",IF(M219&lt;&gt;N219+O219,"Sai cân đối SL",IF(AND(O219&gt;0,P219=""),"Thiếu mã lỗi","Hợp lệ"))))</x:f>
      </x:c>
    </x:row>
    <x:row r="220">
      <x:c r="A220" s="21"/>
      <x:c r="B220" s="43"/>
      <x:c r="C220" s="21"/>
      <x:c r="D220" s="21"/>
      <x:c r="E220" s="21"/>
      <x:c r="F220" s="21"/>
      <x:c r="G220" s="29" t="str">
        <x:f>IF(OR(C220="",D220=""),"",C220&amp;"|"&amp;D220&amp;"|"&amp;IF(E220="","00",E220)&amp;"|"&amp;IF(F220="","01",F220))</x:f>
      </x:c>
      <x:c r="H220" s="21"/>
      <x:c r="I220" s="29" t="str">
        <x:f>IF(OR(G220="",H220=""),"",G220&amp;"|"&amp;TEXT(H220,"000"))</x:f>
      </x:c>
      <x:c r="J220" s="21"/>
      <x:c r="K220" s="21"/>
      <x:c r="L220" s="21"/>
      <x:c r="M220" s="23"/>
      <x:c r="N220" s="23"/>
      <x:c r="O220" s="23"/>
      <x:c r="P220" s="21"/>
      <x:c r="Q220" s="29" t="str">
        <x:f>IF(P220="","",IFERROR(INDEX(DM_MA_LOI!$B$6:$B$105,MATCH(P220,DM_MA_LOI!$A$6:$A$105,0)),""))</x:f>
      </x:c>
      <x:c r="R220" s="29" t="str">
        <x:f>IF(P220="","",IFERROR(INDEX(DM_MA_LOI!$E$6:$E$105,MATCH(P220,DM_MA_LOI!$A$6:$A$105,0)),""))</x:f>
      </x:c>
      <x:c r="S220" s="29" t="str">
        <x:f>IF(P220="","",IFERROR(INDEX(DM_MA_LOI!$F$6:$F$105,MATCH(P220,DM_MA_LOI!$A$6:$A$105,0)),""))</x:f>
      </x:c>
      <x:c r="T220" s="21"/>
      <x:c r="U220" s="21"/>
      <x:c r="V220" s="21"/>
      <x:c r="W220" s="21"/>
      <x:c r="X220" s="21"/>
      <x:c r="Y220" s="21"/>
      <x:c r="Z220" s="21"/>
      <x:c r="AA220" s="29" t="str">
        <x:f>IF(A220="","",IF(OR(B220="",C220="",D220="",H220="",K220="",L220=""),"Thiếu dữ liệu",IF(M220&lt;&gt;N220+O220,"Sai cân đối SL",IF(AND(O220&gt;0,P220=""),"Thiếu mã lỗi","Hợp lệ"))))</x:f>
      </x:c>
    </x:row>
    <x:row r="221">
      <x:c r="A221" s="21"/>
      <x:c r="B221" s="43"/>
      <x:c r="C221" s="21"/>
      <x:c r="D221" s="21"/>
      <x:c r="E221" s="21"/>
      <x:c r="F221" s="21"/>
      <x:c r="G221" s="29" t="str">
        <x:f>IF(OR(C221="",D221=""),"",C221&amp;"|"&amp;D221&amp;"|"&amp;IF(E221="","00",E221)&amp;"|"&amp;IF(F221="","01",F221))</x:f>
      </x:c>
      <x:c r="H221" s="21"/>
      <x:c r="I221" s="29" t="str">
        <x:f>IF(OR(G221="",H221=""),"",G221&amp;"|"&amp;TEXT(H221,"000"))</x:f>
      </x:c>
      <x:c r="J221" s="21"/>
      <x:c r="K221" s="21"/>
      <x:c r="L221" s="21"/>
      <x:c r="M221" s="23"/>
      <x:c r="N221" s="23"/>
      <x:c r="O221" s="23"/>
      <x:c r="P221" s="21"/>
      <x:c r="Q221" s="29" t="str">
        <x:f>IF(P221="","",IFERROR(INDEX(DM_MA_LOI!$B$6:$B$105,MATCH(P221,DM_MA_LOI!$A$6:$A$105,0)),""))</x:f>
      </x:c>
      <x:c r="R221" s="29" t="str">
        <x:f>IF(P221="","",IFERROR(INDEX(DM_MA_LOI!$E$6:$E$105,MATCH(P221,DM_MA_LOI!$A$6:$A$105,0)),""))</x:f>
      </x:c>
      <x:c r="S221" s="29" t="str">
        <x:f>IF(P221="","",IFERROR(INDEX(DM_MA_LOI!$F$6:$F$105,MATCH(P221,DM_MA_LOI!$A$6:$A$105,0)),""))</x:f>
      </x:c>
      <x:c r="T221" s="21"/>
      <x:c r="U221" s="21"/>
      <x:c r="V221" s="21"/>
      <x:c r="W221" s="21"/>
      <x:c r="X221" s="21"/>
      <x:c r="Y221" s="21"/>
      <x:c r="Z221" s="21"/>
      <x:c r="AA221" s="29" t="str">
        <x:f>IF(A221="","",IF(OR(B221="",C221="",D221="",H221="",K221="",L221=""),"Thiếu dữ liệu",IF(M221&lt;&gt;N221+O221,"Sai cân đối SL",IF(AND(O221&gt;0,P221=""),"Thiếu mã lỗi","Hợp lệ"))))</x:f>
      </x:c>
    </x:row>
    <x:row r="222">
      <x:c r="A222" s="21"/>
      <x:c r="B222" s="43"/>
      <x:c r="C222" s="21"/>
      <x:c r="D222" s="21"/>
      <x:c r="E222" s="21"/>
      <x:c r="F222" s="21"/>
      <x:c r="G222" s="29" t="str">
        <x:f>IF(OR(C222="",D222=""),"",C222&amp;"|"&amp;D222&amp;"|"&amp;IF(E222="","00",E222)&amp;"|"&amp;IF(F222="","01",F222))</x:f>
      </x:c>
      <x:c r="H222" s="21"/>
      <x:c r="I222" s="29" t="str">
        <x:f>IF(OR(G222="",H222=""),"",G222&amp;"|"&amp;TEXT(H222,"000"))</x:f>
      </x:c>
      <x:c r="J222" s="21"/>
      <x:c r="K222" s="21"/>
      <x:c r="L222" s="21"/>
      <x:c r="M222" s="23"/>
      <x:c r="N222" s="23"/>
      <x:c r="O222" s="23"/>
      <x:c r="P222" s="21"/>
      <x:c r="Q222" s="29" t="str">
        <x:f>IF(P222="","",IFERROR(INDEX(DM_MA_LOI!$B$6:$B$105,MATCH(P222,DM_MA_LOI!$A$6:$A$105,0)),""))</x:f>
      </x:c>
      <x:c r="R222" s="29" t="str">
        <x:f>IF(P222="","",IFERROR(INDEX(DM_MA_LOI!$E$6:$E$105,MATCH(P222,DM_MA_LOI!$A$6:$A$105,0)),""))</x:f>
      </x:c>
      <x:c r="S222" s="29" t="str">
        <x:f>IF(P222="","",IFERROR(INDEX(DM_MA_LOI!$F$6:$F$105,MATCH(P222,DM_MA_LOI!$A$6:$A$105,0)),""))</x:f>
      </x:c>
      <x:c r="T222" s="21"/>
      <x:c r="U222" s="21"/>
      <x:c r="V222" s="21"/>
      <x:c r="W222" s="21"/>
      <x:c r="X222" s="21"/>
      <x:c r="Y222" s="21"/>
      <x:c r="Z222" s="21"/>
      <x:c r="AA222" s="29" t="str">
        <x:f>IF(A222="","",IF(OR(B222="",C222="",D222="",H222="",K222="",L222=""),"Thiếu dữ liệu",IF(M222&lt;&gt;N222+O222,"Sai cân đối SL",IF(AND(O222&gt;0,P222=""),"Thiếu mã lỗi","Hợp lệ"))))</x:f>
      </x:c>
    </x:row>
    <x:row r="223">
      <x:c r="A223" s="21"/>
      <x:c r="B223" s="43"/>
      <x:c r="C223" s="21"/>
      <x:c r="D223" s="21"/>
      <x:c r="E223" s="21"/>
      <x:c r="F223" s="21"/>
      <x:c r="G223" s="29" t="str">
        <x:f>IF(OR(C223="",D223=""),"",C223&amp;"|"&amp;D223&amp;"|"&amp;IF(E223="","00",E223)&amp;"|"&amp;IF(F223="","01",F223))</x:f>
      </x:c>
      <x:c r="H223" s="21"/>
      <x:c r="I223" s="29" t="str">
        <x:f>IF(OR(G223="",H223=""),"",G223&amp;"|"&amp;TEXT(H223,"000"))</x:f>
      </x:c>
      <x:c r="J223" s="21"/>
      <x:c r="K223" s="21"/>
      <x:c r="L223" s="21"/>
      <x:c r="M223" s="23"/>
      <x:c r="N223" s="23"/>
      <x:c r="O223" s="23"/>
      <x:c r="P223" s="21"/>
      <x:c r="Q223" s="29" t="str">
        <x:f>IF(P223="","",IFERROR(INDEX(DM_MA_LOI!$B$6:$B$105,MATCH(P223,DM_MA_LOI!$A$6:$A$105,0)),""))</x:f>
      </x:c>
      <x:c r="R223" s="29" t="str">
        <x:f>IF(P223="","",IFERROR(INDEX(DM_MA_LOI!$E$6:$E$105,MATCH(P223,DM_MA_LOI!$A$6:$A$105,0)),""))</x:f>
      </x:c>
      <x:c r="S223" s="29" t="str">
        <x:f>IF(P223="","",IFERROR(INDEX(DM_MA_LOI!$F$6:$F$105,MATCH(P223,DM_MA_LOI!$A$6:$A$105,0)),""))</x:f>
      </x:c>
      <x:c r="T223" s="21"/>
      <x:c r="U223" s="21"/>
      <x:c r="V223" s="21"/>
      <x:c r="W223" s="21"/>
      <x:c r="X223" s="21"/>
      <x:c r="Y223" s="21"/>
      <x:c r="Z223" s="21"/>
      <x:c r="AA223" s="29" t="str">
        <x:f>IF(A223="","",IF(OR(B223="",C223="",D223="",H223="",K223="",L223=""),"Thiếu dữ liệu",IF(M223&lt;&gt;N223+O223,"Sai cân đối SL",IF(AND(O223&gt;0,P223=""),"Thiếu mã lỗi","Hợp lệ"))))</x:f>
      </x:c>
    </x:row>
    <x:row r="224">
      <x:c r="A224" s="21"/>
      <x:c r="B224" s="43"/>
      <x:c r="C224" s="21"/>
      <x:c r="D224" s="21"/>
      <x:c r="E224" s="21"/>
      <x:c r="F224" s="21"/>
      <x:c r="G224" s="29" t="str">
        <x:f>IF(OR(C224="",D224=""),"",C224&amp;"|"&amp;D224&amp;"|"&amp;IF(E224="","00",E224)&amp;"|"&amp;IF(F224="","01",F224))</x:f>
      </x:c>
      <x:c r="H224" s="21"/>
      <x:c r="I224" s="29" t="str">
        <x:f>IF(OR(G224="",H224=""),"",G224&amp;"|"&amp;TEXT(H224,"000"))</x:f>
      </x:c>
      <x:c r="J224" s="21"/>
      <x:c r="K224" s="21"/>
      <x:c r="L224" s="21"/>
      <x:c r="M224" s="23"/>
      <x:c r="N224" s="23"/>
      <x:c r="O224" s="23"/>
      <x:c r="P224" s="21"/>
      <x:c r="Q224" s="29" t="str">
        <x:f>IF(P224="","",IFERROR(INDEX(DM_MA_LOI!$B$6:$B$105,MATCH(P224,DM_MA_LOI!$A$6:$A$105,0)),""))</x:f>
      </x:c>
      <x:c r="R224" s="29" t="str">
        <x:f>IF(P224="","",IFERROR(INDEX(DM_MA_LOI!$E$6:$E$105,MATCH(P224,DM_MA_LOI!$A$6:$A$105,0)),""))</x:f>
      </x:c>
      <x:c r="S224" s="29" t="str">
        <x:f>IF(P224="","",IFERROR(INDEX(DM_MA_LOI!$F$6:$F$105,MATCH(P224,DM_MA_LOI!$A$6:$A$105,0)),""))</x:f>
      </x:c>
      <x:c r="T224" s="21"/>
      <x:c r="U224" s="21"/>
      <x:c r="V224" s="21"/>
      <x:c r="W224" s="21"/>
      <x:c r="X224" s="21"/>
      <x:c r="Y224" s="21"/>
      <x:c r="Z224" s="21"/>
      <x:c r="AA224" s="29" t="str">
        <x:f>IF(A224="","",IF(OR(B224="",C224="",D224="",H224="",K224="",L224=""),"Thiếu dữ liệu",IF(M224&lt;&gt;N224+O224,"Sai cân đối SL",IF(AND(O224&gt;0,P224=""),"Thiếu mã lỗi","Hợp lệ"))))</x:f>
      </x:c>
    </x:row>
    <x:row r="225">
      <x:c r="A225" s="21"/>
      <x:c r="B225" s="43"/>
      <x:c r="C225" s="21"/>
      <x:c r="D225" s="21"/>
      <x:c r="E225" s="21"/>
      <x:c r="F225" s="21"/>
      <x:c r="G225" s="29" t="str">
        <x:f>IF(OR(C225="",D225=""),"",C225&amp;"|"&amp;D225&amp;"|"&amp;IF(E225="","00",E225)&amp;"|"&amp;IF(F225="","01",F225))</x:f>
      </x:c>
      <x:c r="H225" s="21"/>
      <x:c r="I225" s="29" t="str">
        <x:f>IF(OR(G225="",H225=""),"",G225&amp;"|"&amp;TEXT(H225,"000"))</x:f>
      </x:c>
      <x:c r="J225" s="21"/>
      <x:c r="K225" s="21"/>
      <x:c r="L225" s="21"/>
      <x:c r="M225" s="23"/>
      <x:c r="N225" s="23"/>
      <x:c r="O225" s="23"/>
      <x:c r="P225" s="21"/>
      <x:c r="Q225" s="29" t="str">
        <x:f>IF(P225="","",IFERROR(INDEX(DM_MA_LOI!$B$6:$B$105,MATCH(P225,DM_MA_LOI!$A$6:$A$105,0)),""))</x:f>
      </x:c>
      <x:c r="R225" s="29" t="str">
        <x:f>IF(P225="","",IFERROR(INDEX(DM_MA_LOI!$E$6:$E$105,MATCH(P225,DM_MA_LOI!$A$6:$A$105,0)),""))</x:f>
      </x:c>
      <x:c r="S225" s="29" t="str">
        <x:f>IF(P225="","",IFERROR(INDEX(DM_MA_LOI!$F$6:$F$105,MATCH(P225,DM_MA_LOI!$A$6:$A$105,0)),""))</x:f>
      </x:c>
      <x:c r="T225" s="21"/>
      <x:c r="U225" s="21"/>
      <x:c r="V225" s="21"/>
      <x:c r="W225" s="21"/>
      <x:c r="X225" s="21"/>
      <x:c r="Y225" s="21"/>
      <x:c r="Z225" s="21"/>
      <x:c r="AA225" s="29" t="str">
        <x:f>IF(A225="","",IF(OR(B225="",C225="",D225="",H225="",K225="",L225=""),"Thiếu dữ liệu",IF(M225&lt;&gt;N225+O225,"Sai cân đối SL",IF(AND(O225&gt;0,P225=""),"Thiếu mã lỗi","Hợp lệ"))))</x:f>
      </x:c>
    </x:row>
    <x:row r="226">
      <x:c r="A226" s="21"/>
      <x:c r="B226" s="43"/>
      <x:c r="C226" s="21"/>
      <x:c r="D226" s="21"/>
      <x:c r="E226" s="21"/>
      <x:c r="F226" s="21"/>
      <x:c r="G226" s="29" t="str">
        <x:f>IF(OR(C226="",D226=""),"",C226&amp;"|"&amp;D226&amp;"|"&amp;IF(E226="","00",E226)&amp;"|"&amp;IF(F226="","01",F226))</x:f>
      </x:c>
      <x:c r="H226" s="21"/>
      <x:c r="I226" s="29" t="str">
        <x:f>IF(OR(G226="",H226=""),"",G226&amp;"|"&amp;TEXT(H226,"000"))</x:f>
      </x:c>
      <x:c r="J226" s="21"/>
      <x:c r="K226" s="21"/>
      <x:c r="L226" s="21"/>
      <x:c r="M226" s="23"/>
      <x:c r="N226" s="23"/>
      <x:c r="O226" s="23"/>
      <x:c r="P226" s="21"/>
      <x:c r="Q226" s="29" t="str">
        <x:f>IF(P226="","",IFERROR(INDEX(DM_MA_LOI!$B$6:$B$105,MATCH(P226,DM_MA_LOI!$A$6:$A$105,0)),""))</x:f>
      </x:c>
      <x:c r="R226" s="29" t="str">
        <x:f>IF(P226="","",IFERROR(INDEX(DM_MA_LOI!$E$6:$E$105,MATCH(P226,DM_MA_LOI!$A$6:$A$105,0)),""))</x:f>
      </x:c>
      <x:c r="S226" s="29" t="str">
        <x:f>IF(P226="","",IFERROR(INDEX(DM_MA_LOI!$F$6:$F$105,MATCH(P226,DM_MA_LOI!$A$6:$A$105,0)),""))</x:f>
      </x:c>
      <x:c r="T226" s="21"/>
      <x:c r="U226" s="21"/>
      <x:c r="V226" s="21"/>
      <x:c r="W226" s="21"/>
      <x:c r="X226" s="21"/>
      <x:c r="Y226" s="21"/>
      <x:c r="Z226" s="21"/>
      <x:c r="AA226" s="29" t="str">
        <x:f>IF(A226="","",IF(OR(B226="",C226="",D226="",H226="",K226="",L226=""),"Thiếu dữ liệu",IF(M226&lt;&gt;N226+O226,"Sai cân đối SL",IF(AND(O226&gt;0,P226=""),"Thiếu mã lỗi","Hợp lệ"))))</x:f>
      </x:c>
    </x:row>
    <x:row r="227">
      <x:c r="A227" s="21"/>
      <x:c r="B227" s="43"/>
      <x:c r="C227" s="21"/>
      <x:c r="D227" s="21"/>
      <x:c r="E227" s="21"/>
      <x:c r="F227" s="21"/>
      <x:c r="G227" s="29" t="str">
        <x:f>IF(OR(C227="",D227=""),"",C227&amp;"|"&amp;D227&amp;"|"&amp;IF(E227="","00",E227)&amp;"|"&amp;IF(F227="","01",F227))</x:f>
      </x:c>
      <x:c r="H227" s="21"/>
      <x:c r="I227" s="29" t="str">
        <x:f>IF(OR(G227="",H227=""),"",G227&amp;"|"&amp;TEXT(H227,"000"))</x:f>
      </x:c>
      <x:c r="J227" s="21"/>
      <x:c r="K227" s="21"/>
      <x:c r="L227" s="21"/>
      <x:c r="M227" s="23"/>
      <x:c r="N227" s="23"/>
      <x:c r="O227" s="23"/>
      <x:c r="P227" s="21"/>
      <x:c r="Q227" s="29" t="str">
        <x:f>IF(P227="","",IFERROR(INDEX(DM_MA_LOI!$B$6:$B$105,MATCH(P227,DM_MA_LOI!$A$6:$A$105,0)),""))</x:f>
      </x:c>
      <x:c r="R227" s="29" t="str">
        <x:f>IF(P227="","",IFERROR(INDEX(DM_MA_LOI!$E$6:$E$105,MATCH(P227,DM_MA_LOI!$A$6:$A$105,0)),""))</x:f>
      </x:c>
      <x:c r="S227" s="29" t="str">
        <x:f>IF(P227="","",IFERROR(INDEX(DM_MA_LOI!$F$6:$F$105,MATCH(P227,DM_MA_LOI!$A$6:$A$105,0)),""))</x:f>
      </x:c>
      <x:c r="T227" s="21"/>
      <x:c r="U227" s="21"/>
      <x:c r="V227" s="21"/>
      <x:c r="W227" s="21"/>
      <x:c r="X227" s="21"/>
      <x:c r="Y227" s="21"/>
      <x:c r="Z227" s="21"/>
      <x:c r="AA227" s="29" t="str">
        <x:f>IF(A227="","",IF(OR(B227="",C227="",D227="",H227="",K227="",L227=""),"Thiếu dữ liệu",IF(M227&lt;&gt;N227+O227,"Sai cân đối SL",IF(AND(O227&gt;0,P227=""),"Thiếu mã lỗi","Hợp lệ"))))</x:f>
      </x:c>
    </x:row>
    <x:row r="228">
      <x:c r="A228" s="21"/>
      <x:c r="B228" s="43"/>
      <x:c r="C228" s="21"/>
      <x:c r="D228" s="21"/>
      <x:c r="E228" s="21"/>
      <x:c r="F228" s="21"/>
      <x:c r="G228" s="29" t="str">
        <x:f>IF(OR(C228="",D228=""),"",C228&amp;"|"&amp;D228&amp;"|"&amp;IF(E228="","00",E228)&amp;"|"&amp;IF(F228="","01",F228))</x:f>
      </x:c>
      <x:c r="H228" s="21"/>
      <x:c r="I228" s="29" t="str">
        <x:f>IF(OR(G228="",H228=""),"",G228&amp;"|"&amp;TEXT(H228,"000"))</x:f>
      </x:c>
      <x:c r="J228" s="21"/>
      <x:c r="K228" s="21"/>
      <x:c r="L228" s="21"/>
      <x:c r="M228" s="23"/>
      <x:c r="N228" s="23"/>
      <x:c r="O228" s="23"/>
      <x:c r="P228" s="21"/>
      <x:c r="Q228" s="29" t="str">
        <x:f>IF(P228="","",IFERROR(INDEX(DM_MA_LOI!$B$6:$B$105,MATCH(P228,DM_MA_LOI!$A$6:$A$105,0)),""))</x:f>
      </x:c>
      <x:c r="R228" s="29" t="str">
        <x:f>IF(P228="","",IFERROR(INDEX(DM_MA_LOI!$E$6:$E$105,MATCH(P228,DM_MA_LOI!$A$6:$A$105,0)),""))</x:f>
      </x:c>
      <x:c r="S228" s="29" t="str">
        <x:f>IF(P228="","",IFERROR(INDEX(DM_MA_LOI!$F$6:$F$105,MATCH(P228,DM_MA_LOI!$A$6:$A$105,0)),""))</x:f>
      </x:c>
      <x:c r="T228" s="21"/>
      <x:c r="U228" s="21"/>
      <x:c r="V228" s="21"/>
      <x:c r="W228" s="21"/>
      <x:c r="X228" s="21"/>
      <x:c r="Y228" s="21"/>
      <x:c r="Z228" s="21"/>
      <x:c r="AA228" s="29" t="str">
        <x:f>IF(A228="","",IF(OR(B228="",C228="",D228="",H228="",K228="",L228=""),"Thiếu dữ liệu",IF(M228&lt;&gt;N228+O228,"Sai cân đối SL",IF(AND(O228&gt;0,P228=""),"Thiếu mã lỗi","Hợp lệ"))))</x:f>
      </x:c>
    </x:row>
    <x:row r="229">
      <x:c r="A229" s="21"/>
      <x:c r="B229" s="43"/>
      <x:c r="C229" s="21"/>
      <x:c r="D229" s="21"/>
      <x:c r="E229" s="21"/>
      <x:c r="F229" s="21"/>
      <x:c r="G229" s="29" t="str">
        <x:f>IF(OR(C229="",D229=""),"",C229&amp;"|"&amp;D229&amp;"|"&amp;IF(E229="","00",E229)&amp;"|"&amp;IF(F229="","01",F229))</x:f>
      </x:c>
      <x:c r="H229" s="21"/>
      <x:c r="I229" s="29" t="str">
        <x:f>IF(OR(G229="",H229=""),"",G229&amp;"|"&amp;TEXT(H229,"000"))</x:f>
      </x:c>
      <x:c r="J229" s="21"/>
      <x:c r="K229" s="21"/>
      <x:c r="L229" s="21"/>
      <x:c r="M229" s="23"/>
      <x:c r="N229" s="23"/>
      <x:c r="O229" s="23"/>
      <x:c r="P229" s="21"/>
      <x:c r="Q229" s="29" t="str">
        <x:f>IF(P229="","",IFERROR(INDEX(DM_MA_LOI!$B$6:$B$105,MATCH(P229,DM_MA_LOI!$A$6:$A$105,0)),""))</x:f>
      </x:c>
      <x:c r="R229" s="29" t="str">
        <x:f>IF(P229="","",IFERROR(INDEX(DM_MA_LOI!$E$6:$E$105,MATCH(P229,DM_MA_LOI!$A$6:$A$105,0)),""))</x:f>
      </x:c>
      <x:c r="S229" s="29" t="str">
        <x:f>IF(P229="","",IFERROR(INDEX(DM_MA_LOI!$F$6:$F$105,MATCH(P229,DM_MA_LOI!$A$6:$A$105,0)),""))</x:f>
      </x:c>
      <x:c r="T229" s="21"/>
      <x:c r="U229" s="21"/>
      <x:c r="V229" s="21"/>
      <x:c r="W229" s="21"/>
      <x:c r="X229" s="21"/>
      <x:c r="Y229" s="21"/>
      <x:c r="Z229" s="21"/>
      <x:c r="AA229" s="29" t="str">
        <x:f>IF(A229="","",IF(OR(B229="",C229="",D229="",H229="",K229="",L229=""),"Thiếu dữ liệu",IF(M229&lt;&gt;N229+O229,"Sai cân đối SL",IF(AND(O229&gt;0,P229=""),"Thiếu mã lỗi","Hợp lệ"))))</x:f>
      </x:c>
    </x:row>
    <x:row r="230">
      <x:c r="A230" s="21"/>
      <x:c r="B230" s="43"/>
      <x:c r="C230" s="21"/>
      <x:c r="D230" s="21"/>
      <x:c r="E230" s="21"/>
      <x:c r="F230" s="21"/>
      <x:c r="G230" s="29" t="str">
        <x:f>IF(OR(C230="",D230=""),"",C230&amp;"|"&amp;D230&amp;"|"&amp;IF(E230="","00",E230)&amp;"|"&amp;IF(F230="","01",F230))</x:f>
      </x:c>
      <x:c r="H230" s="21"/>
      <x:c r="I230" s="29" t="str">
        <x:f>IF(OR(G230="",H230=""),"",G230&amp;"|"&amp;TEXT(H230,"000"))</x:f>
      </x:c>
      <x:c r="J230" s="21"/>
      <x:c r="K230" s="21"/>
      <x:c r="L230" s="21"/>
      <x:c r="M230" s="23"/>
      <x:c r="N230" s="23"/>
      <x:c r="O230" s="23"/>
      <x:c r="P230" s="21"/>
      <x:c r="Q230" s="29" t="str">
        <x:f>IF(P230="","",IFERROR(INDEX(DM_MA_LOI!$B$6:$B$105,MATCH(P230,DM_MA_LOI!$A$6:$A$105,0)),""))</x:f>
      </x:c>
      <x:c r="R230" s="29" t="str">
        <x:f>IF(P230="","",IFERROR(INDEX(DM_MA_LOI!$E$6:$E$105,MATCH(P230,DM_MA_LOI!$A$6:$A$105,0)),""))</x:f>
      </x:c>
      <x:c r="S230" s="29" t="str">
        <x:f>IF(P230="","",IFERROR(INDEX(DM_MA_LOI!$F$6:$F$105,MATCH(P230,DM_MA_LOI!$A$6:$A$105,0)),""))</x:f>
      </x:c>
      <x:c r="T230" s="21"/>
      <x:c r="U230" s="21"/>
      <x:c r="V230" s="21"/>
      <x:c r="W230" s="21"/>
      <x:c r="X230" s="21"/>
      <x:c r="Y230" s="21"/>
      <x:c r="Z230" s="21"/>
      <x:c r="AA230" s="29" t="str">
        <x:f>IF(A230="","",IF(OR(B230="",C230="",D230="",H230="",K230="",L230=""),"Thiếu dữ liệu",IF(M230&lt;&gt;N230+O230,"Sai cân đối SL",IF(AND(O230&gt;0,P230=""),"Thiếu mã lỗi","Hợp lệ"))))</x:f>
      </x:c>
    </x:row>
    <x:row r="231">
      <x:c r="A231" s="21"/>
      <x:c r="B231" s="43"/>
      <x:c r="C231" s="21"/>
      <x:c r="D231" s="21"/>
      <x:c r="E231" s="21"/>
      <x:c r="F231" s="21"/>
      <x:c r="G231" s="29" t="str">
        <x:f>IF(OR(C231="",D231=""),"",C231&amp;"|"&amp;D231&amp;"|"&amp;IF(E231="","00",E231)&amp;"|"&amp;IF(F231="","01",F231))</x:f>
      </x:c>
      <x:c r="H231" s="21"/>
      <x:c r="I231" s="29" t="str">
        <x:f>IF(OR(G231="",H231=""),"",G231&amp;"|"&amp;TEXT(H231,"000"))</x:f>
      </x:c>
      <x:c r="J231" s="21"/>
      <x:c r="K231" s="21"/>
      <x:c r="L231" s="21"/>
      <x:c r="M231" s="23"/>
      <x:c r="N231" s="23"/>
      <x:c r="O231" s="23"/>
      <x:c r="P231" s="21"/>
      <x:c r="Q231" s="29" t="str">
        <x:f>IF(P231="","",IFERROR(INDEX(DM_MA_LOI!$B$6:$B$105,MATCH(P231,DM_MA_LOI!$A$6:$A$105,0)),""))</x:f>
      </x:c>
      <x:c r="R231" s="29" t="str">
        <x:f>IF(P231="","",IFERROR(INDEX(DM_MA_LOI!$E$6:$E$105,MATCH(P231,DM_MA_LOI!$A$6:$A$105,0)),""))</x:f>
      </x:c>
      <x:c r="S231" s="29" t="str">
        <x:f>IF(P231="","",IFERROR(INDEX(DM_MA_LOI!$F$6:$F$105,MATCH(P231,DM_MA_LOI!$A$6:$A$105,0)),""))</x:f>
      </x:c>
      <x:c r="T231" s="21"/>
      <x:c r="U231" s="21"/>
      <x:c r="V231" s="21"/>
      <x:c r="W231" s="21"/>
      <x:c r="X231" s="21"/>
      <x:c r="Y231" s="21"/>
      <x:c r="Z231" s="21"/>
      <x:c r="AA231" s="29" t="str">
        <x:f>IF(A231="","",IF(OR(B231="",C231="",D231="",H231="",K231="",L231=""),"Thiếu dữ liệu",IF(M231&lt;&gt;N231+O231,"Sai cân đối SL",IF(AND(O231&gt;0,P231=""),"Thiếu mã lỗi","Hợp lệ"))))</x:f>
      </x:c>
    </x:row>
    <x:row r="232">
      <x:c r="A232" s="21"/>
      <x:c r="B232" s="43"/>
      <x:c r="C232" s="21"/>
      <x:c r="D232" s="21"/>
      <x:c r="E232" s="21"/>
      <x:c r="F232" s="21"/>
      <x:c r="G232" s="29" t="str">
        <x:f>IF(OR(C232="",D232=""),"",C232&amp;"|"&amp;D232&amp;"|"&amp;IF(E232="","00",E232)&amp;"|"&amp;IF(F232="","01",F232))</x:f>
      </x:c>
      <x:c r="H232" s="21"/>
      <x:c r="I232" s="29" t="str">
        <x:f>IF(OR(G232="",H232=""),"",G232&amp;"|"&amp;TEXT(H232,"000"))</x:f>
      </x:c>
      <x:c r="J232" s="21"/>
      <x:c r="K232" s="21"/>
      <x:c r="L232" s="21"/>
      <x:c r="M232" s="23"/>
      <x:c r="N232" s="23"/>
      <x:c r="O232" s="23"/>
      <x:c r="P232" s="21"/>
      <x:c r="Q232" s="29" t="str">
        <x:f>IF(P232="","",IFERROR(INDEX(DM_MA_LOI!$B$6:$B$105,MATCH(P232,DM_MA_LOI!$A$6:$A$105,0)),""))</x:f>
      </x:c>
      <x:c r="R232" s="29" t="str">
        <x:f>IF(P232="","",IFERROR(INDEX(DM_MA_LOI!$E$6:$E$105,MATCH(P232,DM_MA_LOI!$A$6:$A$105,0)),""))</x:f>
      </x:c>
      <x:c r="S232" s="29" t="str">
        <x:f>IF(P232="","",IFERROR(INDEX(DM_MA_LOI!$F$6:$F$105,MATCH(P232,DM_MA_LOI!$A$6:$A$105,0)),""))</x:f>
      </x:c>
      <x:c r="T232" s="21"/>
      <x:c r="U232" s="21"/>
      <x:c r="V232" s="21"/>
      <x:c r="W232" s="21"/>
      <x:c r="X232" s="21"/>
      <x:c r="Y232" s="21"/>
      <x:c r="Z232" s="21"/>
      <x:c r="AA232" s="29" t="str">
        <x:f>IF(A232="","",IF(OR(B232="",C232="",D232="",H232="",K232="",L232=""),"Thiếu dữ liệu",IF(M232&lt;&gt;N232+O232,"Sai cân đối SL",IF(AND(O232&gt;0,P232=""),"Thiếu mã lỗi","Hợp lệ"))))</x:f>
      </x:c>
    </x:row>
    <x:row r="233">
      <x:c r="A233" s="21"/>
      <x:c r="B233" s="43"/>
      <x:c r="C233" s="21"/>
      <x:c r="D233" s="21"/>
      <x:c r="E233" s="21"/>
      <x:c r="F233" s="21"/>
      <x:c r="G233" s="29" t="str">
        <x:f>IF(OR(C233="",D233=""),"",C233&amp;"|"&amp;D233&amp;"|"&amp;IF(E233="","00",E233)&amp;"|"&amp;IF(F233="","01",F233))</x:f>
      </x:c>
      <x:c r="H233" s="21"/>
      <x:c r="I233" s="29" t="str">
        <x:f>IF(OR(G233="",H233=""),"",G233&amp;"|"&amp;TEXT(H233,"000"))</x:f>
      </x:c>
      <x:c r="J233" s="21"/>
      <x:c r="K233" s="21"/>
      <x:c r="L233" s="21"/>
      <x:c r="M233" s="23"/>
      <x:c r="N233" s="23"/>
      <x:c r="O233" s="23"/>
      <x:c r="P233" s="21"/>
      <x:c r="Q233" s="29" t="str">
        <x:f>IF(P233="","",IFERROR(INDEX(DM_MA_LOI!$B$6:$B$105,MATCH(P233,DM_MA_LOI!$A$6:$A$105,0)),""))</x:f>
      </x:c>
      <x:c r="R233" s="29" t="str">
        <x:f>IF(P233="","",IFERROR(INDEX(DM_MA_LOI!$E$6:$E$105,MATCH(P233,DM_MA_LOI!$A$6:$A$105,0)),""))</x:f>
      </x:c>
      <x:c r="S233" s="29" t="str">
        <x:f>IF(P233="","",IFERROR(INDEX(DM_MA_LOI!$F$6:$F$105,MATCH(P233,DM_MA_LOI!$A$6:$A$105,0)),""))</x:f>
      </x:c>
      <x:c r="T233" s="21"/>
      <x:c r="U233" s="21"/>
      <x:c r="V233" s="21"/>
      <x:c r="W233" s="21"/>
      <x:c r="X233" s="21"/>
      <x:c r="Y233" s="21"/>
      <x:c r="Z233" s="21"/>
      <x:c r="AA233" s="29" t="str">
        <x:f>IF(A233="","",IF(OR(B233="",C233="",D233="",H233="",K233="",L233=""),"Thiếu dữ liệu",IF(M233&lt;&gt;N233+O233,"Sai cân đối SL",IF(AND(O233&gt;0,P233=""),"Thiếu mã lỗi","Hợp lệ"))))</x:f>
      </x:c>
    </x:row>
    <x:row r="234">
      <x:c r="A234" s="21"/>
      <x:c r="B234" s="43"/>
      <x:c r="C234" s="21"/>
      <x:c r="D234" s="21"/>
      <x:c r="E234" s="21"/>
      <x:c r="F234" s="21"/>
      <x:c r="G234" s="29" t="str">
        <x:f>IF(OR(C234="",D234=""),"",C234&amp;"|"&amp;D234&amp;"|"&amp;IF(E234="","00",E234)&amp;"|"&amp;IF(F234="","01",F234))</x:f>
      </x:c>
      <x:c r="H234" s="21"/>
      <x:c r="I234" s="29" t="str">
        <x:f>IF(OR(G234="",H234=""),"",G234&amp;"|"&amp;TEXT(H234,"000"))</x:f>
      </x:c>
      <x:c r="J234" s="21"/>
      <x:c r="K234" s="21"/>
      <x:c r="L234" s="21"/>
      <x:c r="M234" s="23"/>
      <x:c r="N234" s="23"/>
      <x:c r="O234" s="23"/>
      <x:c r="P234" s="21"/>
      <x:c r="Q234" s="29" t="str">
        <x:f>IF(P234="","",IFERROR(INDEX(DM_MA_LOI!$B$6:$B$105,MATCH(P234,DM_MA_LOI!$A$6:$A$105,0)),""))</x:f>
      </x:c>
      <x:c r="R234" s="29" t="str">
        <x:f>IF(P234="","",IFERROR(INDEX(DM_MA_LOI!$E$6:$E$105,MATCH(P234,DM_MA_LOI!$A$6:$A$105,0)),""))</x:f>
      </x:c>
      <x:c r="S234" s="29" t="str">
        <x:f>IF(P234="","",IFERROR(INDEX(DM_MA_LOI!$F$6:$F$105,MATCH(P234,DM_MA_LOI!$A$6:$A$105,0)),""))</x:f>
      </x:c>
      <x:c r="T234" s="21"/>
      <x:c r="U234" s="21"/>
      <x:c r="V234" s="21"/>
      <x:c r="W234" s="21"/>
      <x:c r="X234" s="21"/>
      <x:c r="Y234" s="21"/>
      <x:c r="Z234" s="21"/>
      <x:c r="AA234" s="29" t="str">
        <x:f>IF(A234="","",IF(OR(B234="",C234="",D234="",H234="",K234="",L234=""),"Thiếu dữ liệu",IF(M234&lt;&gt;N234+O234,"Sai cân đối SL",IF(AND(O234&gt;0,P234=""),"Thiếu mã lỗi","Hợp lệ"))))</x:f>
      </x:c>
    </x:row>
    <x:row r="235">
      <x:c r="A235" s="21"/>
      <x:c r="B235" s="43"/>
      <x:c r="C235" s="21"/>
      <x:c r="D235" s="21"/>
      <x:c r="E235" s="21"/>
      <x:c r="F235" s="21"/>
      <x:c r="G235" s="29" t="str">
        <x:f>IF(OR(C235="",D235=""),"",C235&amp;"|"&amp;D235&amp;"|"&amp;IF(E235="","00",E235)&amp;"|"&amp;IF(F235="","01",F235))</x:f>
      </x:c>
      <x:c r="H235" s="21"/>
      <x:c r="I235" s="29" t="str">
        <x:f>IF(OR(G235="",H235=""),"",G235&amp;"|"&amp;TEXT(H235,"000"))</x:f>
      </x:c>
      <x:c r="J235" s="21"/>
      <x:c r="K235" s="21"/>
      <x:c r="L235" s="21"/>
      <x:c r="M235" s="23"/>
      <x:c r="N235" s="23"/>
      <x:c r="O235" s="23"/>
      <x:c r="P235" s="21"/>
      <x:c r="Q235" s="29" t="str">
        <x:f>IF(P235="","",IFERROR(INDEX(DM_MA_LOI!$B$6:$B$105,MATCH(P235,DM_MA_LOI!$A$6:$A$105,0)),""))</x:f>
      </x:c>
      <x:c r="R235" s="29" t="str">
        <x:f>IF(P235="","",IFERROR(INDEX(DM_MA_LOI!$E$6:$E$105,MATCH(P235,DM_MA_LOI!$A$6:$A$105,0)),""))</x:f>
      </x:c>
      <x:c r="S235" s="29" t="str">
        <x:f>IF(P235="","",IFERROR(INDEX(DM_MA_LOI!$F$6:$F$105,MATCH(P235,DM_MA_LOI!$A$6:$A$105,0)),""))</x:f>
      </x:c>
      <x:c r="T235" s="21"/>
      <x:c r="U235" s="21"/>
      <x:c r="V235" s="21"/>
      <x:c r="W235" s="21"/>
      <x:c r="X235" s="21"/>
      <x:c r="Y235" s="21"/>
      <x:c r="Z235" s="21"/>
      <x:c r="AA235" s="29" t="str">
        <x:f>IF(A235="","",IF(OR(B235="",C235="",D235="",H235="",K235="",L235=""),"Thiếu dữ liệu",IF(M235&lt;&gt;N235+O235,"Sai cân đối SL",IF(AND(O235&gt;0,P235=""),"Thiếu mã lỗi","Hợp lệ"))))</x:f>
      </x:c>
    </x:row>
    <x:row r="236">
      <x:c r="A236" s="21"/>
      <x:c r="B236" s="43"/>
      <x:c r="C236" s="21"/>
      <x:c r="D236" s="21"/>
      <x:c r="E236" s="21"/>
      <x:c r="F236" s="21"/>
      <x:c r="G236" s="29" t="str">
        <x:f>IF(OR(C236="",D236=""),"",C236&amp;"|"&amp;D236&amp;"|"&amp;IF(E236="","00",E236)&amp;"|"&amp;IF(F236="","01",F236))</x:f>
      </x:c>
      <x:c r="H236" s="21"/>
      <x:c r="I236" s="29" t="str">
        <x:f>IF(OR(G236="",H236=""),"",G236&amp;"|"&amp;TEXT(H236,"000"))</x:f>
      </x:c>
      <x:c r="J236" s="21"/>
      <x:c r="K236" s="21"/>
      <x:c r="L236" s="21"/>
      <x:c r="M236" s="23"/>
      <x:c r="N236" s="23"/>
      <x:c r="O236" s="23"/>
      <x:c r="P236" s="21"/>
      <x:c r="Q236" s="29" t="str">
        <x:f>IF(P236="","",IFERROR(INDEX(DM_MA_LOI!$B$6:$B$105,MATCH(P236,DM_MA_LOI!$A$6:$A$105,0)),""))</x:f>
      </x:c>
      <x:c r="R236" s="29" t="str">
        <x:f>IF(P236="","",IFERROR(INDEX(DM_MA_LOI!$E$6:$E$105,MATCH(P236,DM_MA_LOI!$A$6:$A$105,0)),""))</x:f>
      </x:c>
      <x:c r="S236" s="29" t="str">
        <x:f>IF(P236="","",IFERROR(INDEX(DM_MA_LOI!$F$6:$F$105,MATCH(P236,DM_MA_LOI!$A$6:$A$105,0)),""))</x:f>
      </x:c>
      <x:c r="T236" s="21"/>
      <x:c r="U236" s="21"/>
      <x:c r="V236" s="21"/>
      <x:c r="W236" s="21"/>
      <x:c r="X236" s="21"/>
      <x:c r="Y236" s="21"/>
      <x:c r="Z236" s="21"/>
      <x:c r="AA236" s="29" t="str">
        <x:f>IF(A236="","",IF(OR(B236="",C236="",D236="",H236="",K236="",L236=""),"Thiếu dữ liệu",IF(M236&lt;&gt;N236+O236,"Sai cân đối SL",IF(AND(O236&gt;0,P236=""),"Thiếu mã lỗi","Hợp lệ"))))</x:f>
      </x:c>
    </x:row>
    <x:row r="237">
      <x:c r="A237" s="21"/>
      <x:c r="B237" s="43"/>
      <x:c r="C237" s="21"/>
      <x:c r="D237" s="21"/>
      <x:c r="E237" s="21"/>
      <x:c r="F237" s="21"/>
      <x:c r="G237" s="29" t="str">
        <x:f>IF(OR(C237="",D237=""),"",C237&amp;"|"&amp;D237&amp;"|"&amp;IF(E237="","00",E237)&amp;"|"&amp;IF(F237="","01",F237))</x:f>
      </x:c>
      <x:c r="H237" s="21"/>
      <x:c r="I237" s="29" t="str">
        <x:f>IF(OR(G237="",H237=""),"",G237&amp;"|"&amp;TEXT(H237,"000"))</x:f>
      </x:c>
      <x:c r="J237" s="21"/>
      <x:c r="K237" s="21"/>
      <x:c r="L237" s="21"/>
      <x:c r="M237" s="23"/>
      <x:c r="N237" s="23"/>
      <x:c r="O237" s="23"/>
      <x:c r="P237" s="21"/>
      <x:c r="Q237" s="29" t="str">
        <x:f>IF(P237="","",IFERROR(INDEX(DM_MA_LOI!$B$6:$B$105,MATCH(P237,DM_MA_LOI!$A$6:$A$105,0)),""))</x:f>
      </x:c>
      <x:c r="R237" s="29" t="str">
        <x:f>IF(P237="","",IFERROR(INDEX(DM_MA_LOI!$E$6:$E$105,MATCH(P237,DM_MA_LOI!$A$6:$A$105,0)),""))</x:f>
      </x:c>
      <x:c r="S237" s="29" t="str">
        <x:f>IF(P237="","",IFERROR(INDEX(DM_MA_LOI!$F$6:$F$105,MATCH(P237,DM_MA_LOI!$A$6:$A$105,0)),""))</x:f>
      </x:c>
      <x:c r="T237" s="21"/>
      <x:c r="U237" s="21"/>
      <x:c r="V237" s="21"/>
      <x:c r="W237" s="21"/>
      <x:c r="X237" s="21"/>
      <x:c r="Y237" s="21"/>
      <x:c r="Z237" s="21"/>
      <x:c r="AA237" s="29" t="str">
        <x:f>IF(A237="","",IF(OR(B237="",C237="",D237="",H237="",K237="",L237=""),"Thiếu dữ liệu",IF(M237&lt;&gt;N237+O237,"Sai cân đối SL",IF(AND(O237&gt;0,P237=""),"Thiếu mã lỗi","Hợp lệ"))))</x:f>
      </x:c>
    </x:row>
    <x:row r="238">
      <x:c r="A238" s="21"/>
      <x:c r="B238" s="43"/>
      <x:c r="C238" s="21"/>
      <x:c r="D238" s="21"/>
      <x:c r="E238" s="21"/>
      <x:c r="F238" s="21"/>
      <x:c r="G238" s="29" t="str">
        <x:f>IF(OR(C238="",D238=""),"",C238&amp;"|"&amp;D238&amp;"|"&amp;IF(E238="","00",E238)&amp;"|"&amp;IF(F238="","01",F238))</x:f>
      </x:c>
      <x:c r="H238" s="21"/>
      <x:c r="I238" s="29" t="str">
        <x:f>IF(OR(G238="",H238=""),"",G238&amp;"|"&amp;TEXT(H238,"000"))</x:f>
      </x:c>
      <x:c r="J238" s="21"/>
      <x:c r="K238" s="21"/>
      <x:c r="L238" s="21"/>
      <x:c r="M238" s="23"/>
      <x:c r="N238" s="23"/>
      <x:c r="O238" s="23"/>
      <x:c r="P238" s="21"/>
      <x:c r="Q238" s="29" t="str">
        <x:f>IF(P238="","",IFERROR(INDEX(DM_MA_LOI!$B$6:$B$105,MATCH(P238,DM_MA_LOI!$A$6:$A$105,0)),""))</x:f>
      </x:c>
      <x:c r="R238" s="29" t="str">
        <x:f>IF(P238="","",IFERROR(INDEX(DM_MA_LOI!$E$6:$E$105,MATCH(P238,DM_MA_LOI!$A$6:$A$105,0)),""))</x:f>
      </x:c>
      <x:c r="S238" s="29" t="str">
        <x:f>IF(P238="","",IFERROR(INDEX(DM_MA_LOI!$F$6:$F$105,MATCH(P238,DM_MA_LOI!$A$6:$A$105,0)),""))</x:f>
      </x:c>
      <x:c r="T238" s="21"/>
      <x:c r="U238" s="21"/>
      <x:c r="V238" s="21"/>
      <x:c r="W238" s="21"/>
      <x:c r="X238" s="21"/>
      <x:c r="Y238" s="21"/>
      <x:c r="Z238" s="21"/>
      <x:c r="AA238" s="29" t="str">
        <x:f>IF(A238="","",IF(OR(B238="",C238="",D238="",H238="",K238="",L238=""),"Thiếu dữ liệu",IF(M238&lt;&gt;N238+O238,"Sai cân đối SL",IF(AND(O238&gt;0,P238=""),"Thiếu mã lỗi","Hợp lệ"))))</x:f>
      </x:c>
    </x:row>
    <x:row r="239">
      <x:c r="A239" s="21"/>
      <x:c r="B239" s="43"/>
      <x:c r="C239" s="21"/>
      <x:c r="D239" s="21"/>
      <x:c r="E239" s="21"/>
      <x:c r="F239" s="21"/>
      <x:c r="G239" s="29" t="str">
        <x:f>IF(OR(C239="",D239=""),"",C239&amp;"|"&amp;D239&amp;"|"&amp;IF(E239="","00",E239)&amp;"|"&amp;IF(F239="","01",F239))</x:f>
      </x:c>
      <x:c r="H239" s="21"/>
      <x:c r="I239" s="29" t="str">
        <x:f>IF(OR(G239="",H239=""),"",G239&amp;"|"&amp;TEXT(H239,"000"))</x:f>
      </x:c>
      <x:c r="J239" s="21"/>
      <x:c r="K239" s="21"/>
      <x:c r="L239" s="21"/>
      <x:c r="M239" s="23"/>
      <x:c r="N239" s="23"/>
      <x:c r="O239" s="23"/>
      <x:c r="P239" s="21"/>
      <x:c r="Q239" s="29" t="str">
        <x:f>IF(P239="","",IFERROR(INDEX(DM_MA_LOI!$B$6:$B$105,MATCH(P239,DM_MA_LOI!$A$6:$A$105,0)),""))</x:f>
      </x:c>
      <x:c r="R239" s="29" t="str">
        <x:f>IF(P239="","",IFERROR(INDEX(DM_MA_LOI!$E$6:$E$105,MATCH(P239,DM_MA_LOI!$A$6:$A$105,0)),""))</x:f>
      </x:c>
      <x:c r="S239" s="29" t="str">
        <x:f>IF(P239="","",IFERROR(INDEX(DM_MA_LOI!$F$6:$F$105,MATCH(P239,DM_MA_LOI!$A$6:$A$105,0)),""))</x:f>
      </x:c>
      <x:c r="T239" s="21"/>
      <x:c r="U239" s="21"/>
      <x:c r="V239" s="21"/>
      <x:c r="W239" s="21"/>
      <x:c r="X239" s="21"/>
      <x:c r="Y239" s="21"/>
      <x:c r="Z239" s="21"/>
      <x:c r="AA239" s="29" t="str">
        <x:f>IF(A239="","",IF(OR(B239="",C239="",D239="",H239="",K239="",L239=""),"Thiếu dữ liệu",IF(M239&lt;&gt;N239+O239,"Sai cân đối SL",IF(AND(O239&gt;0,P239=""),"Thiếu mã lỗi","Hợp lệ"))))</x:f>
      </x:c>
    </x:row>
    <x:row r="240">
      <x:c r="A240" s="21"/>
      <x:c r="B240" s="43"/>
      <x:c r="C240" s="21"/>
      <x:c r="D240" s="21"/>
      <x:c r="E240" s="21"/>
      <x:c r="F240" s="21"/>
      <x:c r="G240" s="29" t="str">
        <x:f>IF(OR(C240="",D240=""),"",C240&amp;"|"&amp;D240&amp;"|"&amp;IF(E240="","00",E240)&amp;"|"&amp;IF(F240="","01",F240))</x:f>
      </x:c>
      <x:c r="H240" s="21"/>
      <x:c r="I240" s="29" t="str">
        <x:f>IF(OR(G240="",H240=""),"",G240&amp;"|"&amp;TEXT(H240,"000"))</x:f>
      </x:c>
      <x:c r="J240" s="21"/>
      <x:c r="K240" s="21"/>
      <x:c r="L240" s="21"/>
      <x:c r="M240" s="23"/>
      <x:c r="N240" s="23"/>
      <x:c r="O240" s="23"/>
      <x:c r="P240" s="21"/>
      <x:c r="Q240" s="29" t="str">
        <x:f>IF(P240="","",IFERROR(INDEX(DM_MA_LOI!$B$6:$B$105,MATCH(P240,DM_MA_LOI!$A$6:$A$105,0)),""))</x:f>
      </x:c>
      <x:c r="R240" s="29" t="str">
        <x:f>IF(P240="","",IFERROR(INDEX(DM_MA_LOI!$E$6:$E$105,MATCH(P240,DM_MA_LOI!$A$6:$A$105,0)),""))</x:f>
      </x:c>
      <x:c r="S240" s="29" t="str">
        <x:f>IF(P240="","",IFERROR(INDEX(DM_MA_LOI!$F$6:$F$105,MATCH(P240,DM_MA_LOI!$A$6:$A$105,0)),""))</x:f>
      </x:c>
      <x:c r="T240" s="21"/>
      <x:c r="U240" s="21"/>
      <x:c r="V240" s="21"/>
      <x:c r="W240" s="21"/>
      <x:c r="X240" s="21"/>
      <x:c r="Y240" s="21"/>
      <x:c r="Z240" s="21"/>
      <x:c r="AA240" s="29" t="str">
        <x:f>IF(A240="","",IF(OR(B240="",C240="",D240="",H240="",K240="",L240=""),"Thiếu dữ liệu",IF(M240&lt;&gt;N240+O240,"Sai cân đối SL",IF(AND(O240&gt;0,P240=""),"Thiếu mã lỗi","Hợp lệ"))))</x:f>
      </x:c>
    </x:row>
    <x:row r="241">
      <x:c r="A241" s="21"/>
      <x:c r="B241" s="43"/>
      <x:c r="C241" s="21"/>
      <x:c r="D241" s="21"/>
      <x:c r="E241" s="21"/>
      <x:c r="F241" s="21"/>
      <x:c r="G241" s="29" t="str">
        <x:f>IF(OR(C241="",D241=""),"",C241&amp;"|"&amp;D241&amp;"|"&amp;IF(E241="","00",E241)&amp;"|"&amp;IF(F241="","01",F241))</x:f>
      </x:c>
      <x:c r="H241" s="21"/>
      <x:c r="I241" s="29" t="str">
        <x:f>IF(OR(G241="",H241=""),"",G241&amp;"|"&amp;TEXT(H241,"000"))</x:f>
      </x:c>
      <x:c r="J241" s="21"/>
      <x:c r="K241" s="21"/>
      <x:c r="L241" s="21"/>
      <x:c r="M241" s="23"/>
      <x:c r="N241" s="23"/>
      <x:c r="O241" s="23"/>
      <x:c r="P241" s="21"/>
      <x:c r="Q241" s="29" t="str">
        <x:f>IF(P241="","",IFERROR(INDEX(DM_MA_LOI!$B$6:$B$105,MATCH(P241,DM_MA_LOI!$A$6:$A$105,0)),""))</x:f>
      </x:c>
      <x:c r="R241" s="29" t="str">
        <x:f>IF(P241="","",IFERROR(INDEX(DM_MA_LOI!$E$6:$E$105,MATCH(P241,DM_MA_LOI!$A$6:$A$105,0)),""))</x:f>
      </x:c>
      <x:c r="S241" s="29" t="str">
        <x:f>IF(P241="","",IFERROR(INDEX(DM_MA_LOI!$F$6:$F$105,MATCH(P241,DM_MA_LOI!$A$6:$A$105,0)),""))</x:f>
      </x:c>
      <x:c r="T241" s="21"/>
      <x:c r="U241" s="21"/>
      <x:c r="V241" s="21"/>
      <x:c r="W241" s="21"/>
      <x:c r="X241" s="21"/>
      <x:c r="Y241" s="21"/>
      <x:c r="Z241" s="21"/>
      <x:c r="AA241" s="29" t="str">
        <x:f>IF(A241="","",IF(OR(B241="",C241="",D241="",H241="",K241="",L241=""),"Thiếu dữ liệu",IF(M241&lt;&gt;N241+O241,"Sai cân đối SL",IF(AND(O241&gt;0,P241=""),"Thiếu mã lỗi","Hợp lệ"))))</x:f>
      </x:c>
    </x:row>
    <x:row r="242">
      <x:c r="A242" s="21"/>
      <x:c r="B242" s="43"/>
      <x:c r="C242" s="21"/>
      <x:c r="D242" s="21"/>
      <x:c r="E242" s="21"/>
      <x:c r="F242" s="21"/>
      <x:c r="G242" s="29" t="str">
        <x:f>IF(OR(C242="",D242=""),"",C242&amp;"|"&amp;D242&amp;"|"&amp;IF(E242="","00",E242)&amp;"|"&amp;IF(F242="","01",F242))</x:f>
      </x:c>
      <x:c r="H242" s="21"/>
      <x:c r="I242" s="29" t="str">
        <x:f>IF(OR(G242="",H242=""),"",G242&amp;"|"&amp;TEXT(H242,"000"))</x:f>
      </x:c>
      <x:c r="J242" s="21"/>
      <x:c r="K242" s="21"/>
      <x:c r="L242" s="21"/>
      <x:c r="M242" s="23"/>
      <x:c r="N242" s="23"/>
      <x:c r="O242" s="23"/>
      <x:c r="P242" s="21"/>
      <x:c r="Q242" s="29" t="str">
        <x:f>IF(P242="","",IFERROR(INDEX(DM_MA_LOI!$B$6:$B$105,MATCH(P242,DM_MA_LOI!$A$6:$A$105,0)),""))</x:f>
      </x:c>
      <x:c r="R242" s="29" t="str">
        <x:f>IF(P242="","",IFERROR(INDEX(DM_MA_LOI!$E$6:$E$105,MATCH(P242,DM_MA_LOI!$A$6:$A$105,0)),""))</x:f>
      </x:c>
      <x:c r="S242" s="29" t="str">
        <x:f>IF(P242="","",IFERROR(INDEX(DM_MA_LOI!$F$6:$F$105,MATCH(P242,DM_MA_LOI!$A$6:$A$105,0)),""))</x:f>
      </x:c>
      <x:c r="T242" s="21"/>
      <x:c r="U242" s="21"/>
      <x:c r="V242" s="21"/>
      <x:c r="W242" s="21"/>
      <x:c r="X242" s="21"/>
      <x:c r="Y242" s="21"/>
      <x:c r="Z242" s="21"/>
      <x:c r="AA242" s="29" t="str">
        <x:f>IF(A242="","",IF(OR(B242="",C242="",D242="",H242="",K242="",L242=""),"Thiếu dữ liệu",IF(M242&lt;&gt;N242+O242,"Sai cân đối SL",IF(AND(O242&gt;0,P242=""),"Thiếu mã lỗi","Hợp lệ"))))</x:f>
      </x:c>
    </x:row>
    <x:row r="243">
      <x:c r="A243" s="21"/>
      <x:c r="B243" s="43"/>
      <x:c r="C243" s="21"/>
      <x:c r="D243" s="21"/>
      <x:c r="E243" s="21"/>
      <x:c r="F243" s="21"/>
      <x:c r="G243" s="29" t="str">
        <x:f>IF(OR(C243="",D243=""),"",C243&amp;"|"&amp;D243&amp;"|"&amp;IF(E243="","00",E243)&amp;"|"&amp;IF(F243="","01",F243))</x:f>
      </x:c>
      <x:c r="H243" s="21"/>
      <x:c r="I243" s="29" t="str">
        <x:f>IF(OR(G243="",H243=""),"",G243&amp;"|"&amp;TEXT(H243,"000"))</x:f>
      </x:c>
      <x:c r="J243" s="21"/>
      <x:c r="K243" s="21"/>
      <x:c r="L243" s="21"/>
      <x:c r="M243" s="23"/>
      <x:c r="N243" s="23"/>
      <x:c r="O243" s="23"/>
      <x:c r="P243" s="21"/>
      <x:c r="Q243" s="29" t="str">
        <x:f>IF(P243="","",IFERROR(INDEX(DM_MA_LOI!$B$6:$B$105,MATCH(P243,DM_MA_LOI!$A$6:$A$105,0)),""))</x:f>
      </x:c>
      <x:c r="R243" s="29" t="str">
        <x:f>IF(P243="","",IFERROR(INDEX(DM_MA_LOI!$E$6:$E$105,MATCH(P243,DM_MA_LOI!$A$6:$A$105,0)),""))</x:f>
      </x:c>
      <x:c r="S243" s="29" t="str">
        <x:f>IF(P243="","",IFERROR(INDEX(DM_MA_LOI!$F$6:$F$105,MATCH(P243,DM_MA_LOI!$A$6:$A$105,0)),""))</x:f>
      </x:c>
      <x:c r="T243" s="21"/>
      <x:c r="U243" s="21"/>
      <x:c r="V243" s="21"/>
      <x:c r="W243" s="21"/>
      <x:c r="X243" s="21"/>
      <x:c r="Y243" s="21"/>
      <x:c r="Z243" s="21"/>
      <x:c r="AA243" s="29" t="str">
        <x:f>IF(A243="","",IF(OR(B243="",C243="",D243="",H243="",K243="",L243=""),"Thiếu dữ liệu",IF(M243&lt;&gt;N243+O243,"Sai cân đối SL",IF(AND(O243&gt;0,P243=""),"Thiếu mã lỗi","Hợp lệ"))))</x:f>
      </x:c>
    </x:row>
    <x:row r="244">
      <x:c r="A244" s="21"/>
      <x:c r="B244" s="43"/>
      <x:c r="C244" s="21"/>
      <x:c r="D244" s="21"/>
      <x:c r="E244" s="21"/>
      <x:c r="F244" s="21"/>
      <x:c r="G244" s="29" t="str">
        <x:f>IF(OR(C244="",D244=""),"",C244&amp;"|"&amp;D244&amp;"|"&amp;IF(E244="","00",E244)&amp;"|"&amp;IF(F244="","01",F244))</x:f>
      </x:c>
      <x:c r="H244" s="21"/>
      <x:c r="I244" s="29" t="str">
        <x:f>IF(OR(G244="",H244=""),"",G244&amp;"|"&amp;TEXT(H244,"000"))</x:f>
      </x:c>
      <x:c r="J244" s="21"/>
      <x:c r="K244" s="21"/>
      <x:c r="L244" s="21"/>
      <x:c r="M244" s="23"/>
      <x:c r="N244" s="23"/>
      <x:c r="O244" s="23"/>
      <x:c r="P244" s="21"/>
      <x:c r="Q244" s="29" t="str">
        <x:f>IF(P244="","",IFERROR(INDEX(DM_MA_LOI!$B$6:$B$105,MATCH(P244,DM_MA_LOI!$A$6:$A$105,0)),""))</x:f>
      </x:c>
      <x:c r="R244" s="29" t="str">
        <x:f>IF(P244="","",IFERROR(INDEX(DM_MA_LOI!$E$6:$E$105,MATCH(P244,DM_MA_LOI!$A$6:$A$105,0)),""))</x:f>
      </x:c>
      <x:c r="S244" s="29" t="str">
        <x:f>IF(P244="","",IFERROR(INDEX(DM_MA_LOI!$F$6:$F$105,MATCH(P244,DM_MA_LOI!$A$6:$A$105,0)),""))</x:f>
      </x:c>
      <x:c r="T244" s="21"/>
      <x:c r="U244" s="21"/>
      <x:c r="V244" s="21"/>
      <x:c r="W244" s="21"/>
      <x:c r="X244" s="21"/>
      <x:c r="Y244" s="21"/>
      <x:c r="Z244" s="21"/>
      <x:c r="AA244" s="29" t="str">
        <x:f>IF(A244="","",IF(OR(B244="",C244="",D244="",H244="",K244="",L244=""),"Thiếu dữ liệu",IF(M244&lt;&gt;N244+O244,"Sai cân đối SL",IF(AND(O244&gt;0,P244=""),"Thiếu mã lỗi","Hợp lệ"))))</x:f>
      </x:c>
    </x:row>
    <x:row r="245">
      <x:c r="A245" s="21"/>
      <x:c r="B245" s="43"/>
      <x:c r="C245" s="21"/>
      <x:c r="D245" s="21"/>
      <x:c r="E245" s="21"/>
      <x:c r="F245" s="21"/>
      <x:c r="G245" s="29" t="str">
        <x:f>IF(OR(C245="",D245=""),"",C245&amp;"|"&amp;D245&amp;"|"&amp;IF(E245="","00",E245)&amp;"|"&amp;IF(F245="","01",F245))</x:f>
      </x:c>
      <x:c r="H245" s="21"/>
      <x:c r="I245" s="29" t="str">
        <x:f>IF(OR(G245="",H245=""),"",G245&amp;"|"&amp;TEXT(H245,"000"))</x:f>
      </x:c>
      <x:c r="J245" s="21"/>
      <x:c r="K245" s="21"/>
      <x:c r="L245" s="21"/>
      <x:c r="M245" s="23"/>
      <x:c r="N245" s="23"/>
      <x:c r="O245" s="23"/>
      <x:c r="P245" s="21"/>
      <x:c r="Q245" s="29" t="str">
        <x:f>IF(P245="","",IFERROR(INDEX(DM_MA_LOI!$B$6:$B$105,MATCH(P245,DM_MA_LOI!$A$6:$A$105,0)),""))</x:f>
      </x:c>
      <x:c r="R245" s="29" t="str">
        <x:f>IF(P245="","",IFERROR(INDEX(DM_MA_LOI!$E$6:$E$105,MATCH(P245,DM_MA_LOI!$A$6:$A$105,0)),""))</x:f>
      </x:c>
      <x:c r="S245" s="29" t="str">
        <x:f>IF(P245="","",IFERROR(INDEX(DM_MA_LOI!$F$6:$F$105,MATCH(P245,DM_MA_LOI!$A$6:$A$105,0)),""))</x:f>
      </x:c>
      <x:c r="T245" s="21"/>
      <x:c r="U245" s="21"/>
      <x:c r="V245" s="21"/>
      <x:c r="W245" s="21"/>
      <x:c r="X245" s="21"/>
      <x:c r="Y245" s="21"/>
      <x:c r="Z245" s="21"/>
      <x:c r="AA245" s="29" t="str">
        <x:f>IF(A245="","",IF(OR(B245="",C245="",D245="",H245="",K245="",L245=""),"Thiếu dữ liệu",IF(M245&lt;&gt;N245+O245,"Sai cân đối SL",IF(AND(O245&gt;0,P245=""),"Thiếu mã lỗi","Hợp lệ"))))</x:f>
      </x:c>
    </x:row>
    <x:row r="246">
      <x:c r="A246" s="21"/>
      <x:c r="B246" s="43"/>
      <x:c r="C246" s="21"/>
      <x:c r="D246" s="21"/>
      <x:c r="E246" s="21"/>
      <x:c r="F246" s="21"/>
      <x:c r="G246" s="29" t="str">
        <x:f>IF(OR(C246="",D246=""),"",C246&amp;"|"&amp;D246&amp;"|"&amp;IF(E246="","00",E246)&amp;"|"&amp;IF(F246="","01",F246))</x:f>
      </x:c>
      <x:c r="H246" s="21"/>
      <x:c r="I246" s="29" t="str">
        <x:f>IF(OR(G246="",H246=""),"",G246&amp;"|"&amp;TEXT(H246,"000"))</x:f>
      </x:c>
      <x:c r="J246" s="21"/>
      <x:c r="K246" s="21"/>
      <x:c r="L246" s="21"/>
      <x:c r="M246" s="23"/>
      <x:c r="N246" s="23"/>
      <x:c r="O246" s="23"/>
      <x:c r="P246" s="21"/>
      <x:c r="Q246" s="29" t="str">
        <x:f>IF(P246="","",IFERROR(INDEX(DM_MA_LOI!$B$6:$B$105,MATCH(P246,DM_MA_LOI!$A$6:$A$105,0)),""))</x:f>
      </x:c>
      <x:c r="R246" s="29" t="str">
        <x:f>IF(P246="","",IFERROR(INDEX(DM_MA_LOI!$E$6:$E$105,MATCH(P246,DM_MA_LOI!$A$6:$A$105,0)),""))</x:f>
      </x:c>
      <x:c r="S246" s="29" t="str">
        <x:f>IF(P246="","",IFERROR(INDEX(DM_MA_LOI!$F$6:$F$105,MATCH(P246,DM_MA_LOI!$A$6:$A$105,0)),""))</x:f>
      </x:c>
      <x:c r="T246" s="21"/>
      <x:c r="U246" s="21"/>
      <x:c r="V246" s="21"/>
      <x:c r="W246" s="21"/>
      <x:c r="X246" s="21"/>
      <x:c r="Y246" s="21"/>
      <x:c r="Z246" s="21"/>
      <x:c r="AA246" s="29" t="str">
        <x:f>IF(A246="","",IF(OR(B246="",C246="",D246="",H246="",K246="",L246=""),"Thiếu dữ liệu",IF(M246&lt;&gt;N246+O246,"Sai cân đối SL",IF(AND(O246&gt;0,P246=""),"Thiếu mã lỗi","Hợp lệ"))))</x:f>
      </x:c>
    </x:row>
    <x:row r="247">
      <x:c r="A247" s="21"/>
      <x:c r="B247" s="43"/>
      <x:c r="C247" s="21"/>
      <x:c r="D247" s="21"/>
      <x:c r="E247" s="21"/>
      <x:c r="F247" s="21"/>
      <x:c r="G247" s="29" t="str">
        <x:f>IF(OR(C247="",D247=""),"",C247&amp;"|"&amp;D247&amp;"|"&amp;IF(E247="","00",E247)&amp;"|"&amp;IF(F247="","01",F247))</x:f>
      </x:c>
      <x:c r="H247" s="21"/>
      <x:c r="I247" s="29" t="str">
        <x:f>IF(OR(G247="",H247=""),"",G247&amp;"|"&amp;TEXT(H247,"000"))</x:f>
      </x:c>
      <x:c r="J247" s="21"/>
      <x:c r="K247" s="21"/>
      <x:c r="L247" s="21"/>
      <x:c r="M247" s="23"/>
      <x:c r="N247" s="23"/>
      <x:c r="O247" s="23"/>
      <x:c r="P247" s="21"/>
      <x:c r="Q247" s="29" t="str">
        <x:f>IF(P247="","",IFERROR(INDEX(DM_MA_LOI!$B$6:$B$105,MATCH(P247,DM_MA_LOI!$A$6:$A$105,0)),""))</x:f>
      </x:c>
      <x:c r="R247" s="29" t="str">
        <x:f>IF(P247="","",IFERROR(INDEX(DM_MA_LOI!$E$6:$E$105,MATCH(P247,DM_MA_LOI!$A$6:$A$105,0)),""))</x:f>
      </x:c>
      <x:c r="S247" s="29" t="str">
        <x:f>IF(P247="","",IFERROR(INDEX(DM_MA_LOI!$F$6:$F$105,MATCH(P247,DM_MA_LOI!$A$6:$A$105,0)),""))</x:f>
      </x:c>
      <x:c r="T247" s="21"/>
      <x:c r="U247" s="21"/>
      <x:c r="V247" s="21"/>
      <x:c r="W247" s="21"/>
      <x:c r="X247" s="21"/>
      <x:c r="Y247" s="21"/>
      <x:c r="Z247" s="21"/>
      <x:c r="AA247" s="29" t="str">
        <x:f>IF(A247="","",IF(OR(B247="",C247="",D247="",H247="",K247="",L247=""),"Thiếu dữ liệu",IF(M247&lt;&gt;N247+O247,"Sai cân đối SL",IF(AND(O247&gt;0,P247=""),"Thiếu mã lỗi","Hợp lệ"))))</x:f>
      </x:c>
    </x:row>
    <x:row r="248">
      <x:c r="A248" s="21"/>
      <x:c r="B248" s="43"/>
      <x:c r="C248" s="21"/>
      <x:c r="D248" s="21"/>
      <x:c r="E248" s="21"/>
      <x:c r="F248" s="21"/>
      <x:c r="G248" s="29" t="str">
        <x:f>IF(OR(C248="",D248=""),"",C248&amp;"|"&amp;D248&amp;"|"&amp;IF(E248="","00",E248)&amp;"|"&amp;IF(F248="","01",F248))</x:f>
      </x:c>
      <x:c r="H248" s="21"/>
      <x:c r="I248" s="29" t="str">
        <x:f>IF(OR(G248="",H248=""),"",G248&amp;"|"&amp;TEXT(H248,"000"))</x:f>
      </x:c>
      <x:c r="J248" s="21"/>
      <x:c r="K248" s="21"/>
      <x:c r="L248" s="21"/>
      <x:c r="M248" s="23"/>
      <x:c r="N248" s="23"/>
      <x:c r="O248" s="23"/>
      <x:c r="P248" s="21"/>
      <x:c r="Q248" s="29" t="str">
        <x:f>IF(P248="","",IFERROR(INDEX(DM_MA_LOI!$B$6:$B$105,MATCH(P248,DM_MA_LOI!$A$6:$A$105,0)),""))</x:f>
      </x:c>
      <x:c r="R248" s="29" t="str">
        <x:f>IF(P248="","",IFERROR(INDEX(DM_MA_LOI!$E$6:$E$105,MATCH(P248,DM_MA_LOI!$A$6:$A$105,0)),""))</x:f>
      </x:c>
      <x:c r="S248" s="29" t="str">
        <x:f>IF(P248="","",IFERROR(INDEX(DM_MA_LOI!$F$6:$F$105,MATCH(P248,DM_MA_LOI!$A$6:$A$105,0)),""))</x:f>
      </x:c>
      <x:c r="T248" s="21"/>
      <x:c r="U248" s="21"/>
      <x:c r="V248" s="21"/>
      <x:c r="W248" s="21"/>
      <x:c r="X248" s="21"/>
      <x:c r="Y248" s="21"/>
      <x:c r="Z248" s="21"/>
      <x:c r="AA248" s="29" t="str">
        <x:f>IF(A248="","",IF(OR(B248="",C248="",D248="",H248="",K248="",L248=""),"Thiếu dữ liệu",IF(M248&lt;&gt;N248+O248,"Sai cân đối SL",IF(AND(O248&gt;0,P248=""),"Thiếu mã lỗi","Hợp lệ"))))</x:f>
      </x:c>
    </x:row>
    <x:row r="249">
      <x:c r="A249" s="21"/>
      <x:c r="B249" s="43"/>
      <x:c r="C249" s="21"/>
      <x:c r="D249" s="21"/>
      <x:c r="E249" s="21"/>
      <x:c r="F249" s="21"/>
      <x:c r="G249" s="29" t="str">
        <x:f>IF(OR(C249="",D249=""),"",C249&amp;"|"&amp;D249&amp;"|"&amp;IF(E249="","00",E249)&amp;"|"&amp;IF(F249="","01",F249))</x:f>
      </x:c>
      <x:c r="H249" s="21"/>
      <x:c r="I249" s="29" t="str">
        <x:f>IF(OR(G249="",H249=""),"",G249&amp;"|"&amp;TEXT(H249,"000"))</x:f>
      </x:c>
      <x:c r="J249" s="21"/>
      <x:c r="K249" s="21"/>
      <x:c r="L249" s="21"/>
      <x:c r="M249" s="23"/>
      <x:c r="N249" s="23"/>
      <x:c r="O249" s="23"/>
      <x:c r="P249" s="21"/>
      <x:c r="Q249" s="29" t="str">
        <x:f>IF(P249="","",IFERROR(INDEX(DM_MA_LOI!$B$6:$B$105,MATCH(P249,DM_MA_LOI!$A$6:$A$105,0)),""))</x:f>
      </x:c>
      <x:c r="R249" s="29" t="str">
        <x:f>IF(P249="","",IFERROR(INDEX(DM_MA_LOI!$E$6:$E$105,MATCH(P249,DM_MA_LOI!$A$6:$A$105,0)),""))</x:f>
      </x:c>
      <x:c r="S249" s="29" t="str">
        <x:f>IF(P249="","",IFERROR(INDEX(DM_MA_LOI!$F$6:$F$105,MATCH(P249,DM_MA_LOI!$A$6:$A$105,0)),""))</x:f>
      </x:c>
      <x:c r="T249" s="21"/>
      <x:c r="U249" s="21"/>
      <x:c r="V249" s="21"/>
      <x:c r="W249" s="21"/>
      <x:c r="X249" s="21"/>
      <x:c r="Y249" s="21"/>
      <x:c r="Z249" s="21"/>
      <x:c r="AA249" s="29" t="str">
        <x:f>IF(A249="","",IF(OR(B249="",C249="",D249="",H249="",K249="",L249=""),"Thiếu dữ liệu",IF(M249&lt;&gt;N249+O249,"Sai cân đối SL",IF(AND(O249&gt;0,P249=""),"Thiếu mã lỗi","Hợp lệ"))))</x:f>
      </x:c>
    </x:row>
    <x:row r="250">
      <x:c r="A250" s="21"/>
      <x:c r="B250" s="43"/>
      <x:c r="C250" s="21"/>
      <x:c r="D250" s="21"/>
      <x:c r="E250" s="21"/>
      <x:c r="F250" s="21"/>
      <x:c r="G250" s="29" t="str">
        <x:f>IF(OR(C250="",D250=""),"",C250&amp;"|"&amp;D250&amp;"|"&amp;IF(E250="","00",E250)&amp;"|"&amp;IF(F250="","01",F250))</x:f>
      </x:c>
      <x:c r="H250" s="21"/>
      <x:c r="I250" s="29" t="str">
        <x:f>IF(OR(G250="",H250=""),"",G250&amp;"|"&amp;TEXT(H250,"000"))</x:f>
      </x:c>
      <x:c r="J250" s="21"/>
      <x:c r="K250" s="21"/>
      <x:c r="L250" s="21"/>
      <x:c r="M250" s="23"/>
      <x:c r="N250" s="23"/>
      <x:c r="O250" s="23"/>
      <x:c r="P250" s="21"/>
      <x:c r="Q250" s="29" t="str">
        <x:f>IF(P250="","",IFERROR(INDEX(DM_MA_LOI!$B$6:$B$105,MATCH(P250,DM_MA_LOI!$A$6:$A$105,0)),""))</x:f>
      </x:c>
      <x:c r="R250" s="29" t="str">
        <x:f>IF(P250="","",IFERROR(INDEX(DM_MA_LOI!$E$6:$E$105,MATCH(P250,DM_MA_LOI!$A$6:$A$105,0)),""))</x:f>
      </x:c>
      <x:c r="S250" s="29" t="str">
        <x:f>IF(P250="","",IFERROR(INDEX(DM_MA_LOI!$F$6:$F$105,MATCH(P250,DM_MA_LOI!$A$6:$A$105,0)),""))</x:f>
      </x:c>
      <x:c r="T250" s="21"/>
      <x:c r="U250" s="21"/>
      <x:c r="V250" s="21"/>
      <x:c r="W250" s="21"/>
      <x:c r="X250" s="21"/>
      <x:c r="Y250" s="21"/>
      <x:c r="Z250" s="21"/>
      <x:c r="AA250" s="29" t="str">
        <x:f>IF(A250="","",IF(OR(B250="",C250="",D250="",H250="",K250="",L250=""),"Thiếu dữ liệu",IF(M250&lt;&gt;N250+O250,"Sai cân đối SL",IF(AND(O250&gt;0,P250=""),"Thiếu mã lỗi","Hợp lệ"))))</x:f>
      </x:c>
    </x:row>
    <x:row r="251">
      <x:c r="A251" s="21"/>
      <x:c r="B251" s="43"/>
      <x:c r="C251" s="21"/>
      <x:c r="D251" s="21"/>
      <x:c r="E251" s="21"/>
      <x:c r="F251" s="21"/>
      <x:c r="G251" s="29" t="str">
        <x:f>IF(OR(C251="",D251=""),"",C251&amp;"|"&amp;D251&amp;"|"&amp;IF(E251="","00",E251)&amp;"|"&amp;IF(F251="","01",F251))</x:f>
      </x:c>
      <x:c r="H251" s="21"/>
      <x:c r="I251" s="29" t="str">
        <x:f>IF(OR(G251="",H251=""),"",G251&amp;"|"&amp;TEXT(H251,"000"))</x:f>
      </x:c>
      <x:c r="J251" s="21"/>
      <x:c r="K251" s="21"/>
      <x:c r="L251" s="21"/>
      <x:c r="M251" s="23"/>
      <x:c r="N251" s="23"/>
      <x:c r="O251" s="23"/>
      <x:c r="P251" s="21"/>
      <x:c r="Q251" s="29" t="str">
        <x:f>IF(P251="","",IFERROR(INDEX(DM_MA_LOI!$B$6:$B$105,MATCH(P251,DM_MA_LOI!$A$6:$A$105,0)),""))</x:f>
      </x:c>
      <x:c r="R251" s="29" t="str">
        <x:f>IF(P251="","",IFERROR(INDEX(DM_MA_LOI!$E$6:$E$105,MATCH(P251,DM_MA_LOI!$A$6:$A$105,0)),""))</x:f>
      </x:c>
      <x:c r="S251" s="29" t="str">
        <x:f>IF(P251="","",IFERROR(INDEX(DM_MA_LOI!$F$6:$F$105,MATCH(P251,DM_MA_LOI!$A$6:$A$105,0)),""))</x:f>
      </x:c>
      <x:c r="T251" s="21"/>
      <x:c r="U251" s="21"/>
      <x:c r="V251" s="21"/>
      <x:c r="W251" s="21"/>
      <x:c r="X251" s="21"/>
      <x:c r="Y251" s="21"/>
      <x:c r="Z251" s="21"/>
      <x:c r="AA251" s="29" t="str">
        <x:f>IF(A251="","",IF(OR(B251="",C251="",D251="",H251="",K251="",L251=""),"Thiếu dữ liệu",IF(M251&lt;&gt;N251+O251,"Sai cân đối SL",IF(AND(O251&gt;0,P251=""),"Thiếu mã lỗi","Hợp lệ"))))</x:f>
      </x:c>
    </x:row>
    <x:row r="252">
      <x:c r="A252" s="21"/>
      <x:c r="B252" s="43"/>
      <x:c r="C252" s="21"/>
      <x:c r="D252" s="21"/>
      <x:c r="E252" s="21"/>
      <x:c r="F252" s="21"/>
      <x:c r="G252" s="29" t="str">
        <x:f>IF(OR(C252="",D252=""),"",C252&amp;"|"&amp;D252&amp;"|"&amp;IF(E252="","00",E252)&amp;"|"&amp;IF(F252="","01",F252))</x:f>
      </x:c>
      <x:c r="H252" s="21"/>
      <x:c r="I252" s="29" t="str">
        <x:f>IF(OR(G252="",H252=""),"",G252&amp;"|"&amp;TEXT(H252,"000"))</x:f>
      </x:c>
      <x:c r="J252" s="21"/>
      <x:c r="K252" s="21"/>
      <x:c r="L252" s="21"/>
      <x:c r="M252" s="23"/>
      <x:c r="N252" s="23"/>
      <x:c r="O252" s="23"/>
      <x:c r="P252" s="21"/>
      <x:c r="Q252" s="29" t="str">
        <x:f>IF(P252="","",IFERROR(INDEX(DM_MA_LOI!$B$6:$B$105,MATCH(P252,DM_MA_LOI!$A$6:$A$105,0)),""))</x:f>
      </x:c>
      <x:c r="R252" s="29" t="str">
        <x:f>IF(P252="","",IFERROR(INDEX(DM_MA_LOI!$E$6:$E$105,MATCH(P252,DM_MA_LOI!$A$6:$A$105,0)),""))</x:f>
      </x:c>
      <x:c r="S252" s="29" t="str">
        <x:f>IF(P252="","",IFERROR(INDEX(DM_MA_LOI!$F$6:$F$105,MATCH(P252,DM_MA_LOI!$A$6:$A$105,0)),""))</x:f>
      </x:c>
      <x:c r="T252" s="21"/>
      <x:c r="U252" s="21"/>
      <x:c r="V252" s="21"/>
      <x:c r="W252" s="21"/>
      <x:c r="X252" s="21"/>
      <x:c r="Y252" s="21"/>
      <x:c r="Z252" s="21"/>
      <x:c r="AA252" s="29" t="str">
        <x:f>IF(A252="","",IF(OR(B252="",C252="",D252="",H252="",K252="",L252=""),"Thiếu dữ liệu",IF(M252&lt;&gt;N252+O252,"Sai cân đối SL",IF(AND(O252&gt;0,P252=""),"Thiếu mã lỗi","Hợp lệ"))))</x:f>
      </x:c>
    </x:row>
    <x:row r="253">
      <x:c r="A253" s="21"/>
      <x:c r="B253" s="43"/>
      <x:c r="C253" s="21"/>
      <x:c r="D253" s="21"/>
      <x:c r="E253" s="21"/>
      <x:c r="F253" s="21"/>
      <x:c r="G253" s="29" t="str">
        <x:f>IF(OR(C253="",D253=""),"",C253&amp;"|"&amp;D253&amp;"|"&amp;IF(E253="","00",E253)&amp;"|"&amp;IF(F253="","01",F253))</x:f>
      </x:c>
      <x:c r="H253" s="21"/>
      <x:c r="I253" s="29" t="str">
        <x:f>IF(OR(G253="",H253=""),"",G253&amp;"|"&amp;TEXT(H253,"000"))</x:f>
      </x:c>
      <x:c r="J253" s="21"/>
      <x:c r="K253" s="21"/>
      <x:c r="L253" s="21"/>
      <x:c r="M253" s="23"/>
      <x:c r="N253" s="23"/>
      <x:c r="O253" s="23"/>
      <x:c r="P253" s="21"/>
      <x:c r="Q253" s="29" t="str">
        <x:f>IF(P253="","",IFERROR(INDEX(DM_MA_LOI!$B$6:$B$105,MATCH(P253,DM_MA_LOI!$A$6:$A$105,0)),""))</x:f>
      </x:c>
      <x:c r="R253" s="29" t="str">
        <x:f>IF(P253="","",IFERROR(INDEX(DM_MA_LOI!$E$6:$E$105,MATCH(P253,DM_MA_LOI!$A$6:$A$105,0)),""))</x:f>
      </x:c>
      <x:c r="S253" s="29" t="str">
        <x:f>IF(P253="","",IFERROR(INDEX(DM_MA_LOI!$F$6:$F$105,MATCH(P253,DM_MA_LOI!$A$6:$A$105,0)),""))</x:f>
      </x:c>
      <x:c r="T253" s="21"/>
      <x:c r="U253" s="21"/>
      <x:c r="V253" s="21"/>
      <x:c r="W253" s="21"/>
      <x:c r="X253" s="21"/>
      <x:c r="Y253" s="21"/>
      <x:c r="Z253" s="21"/>
      <x:c r="AA253" s="29" t="str">
        <x:f>IF(A253="","",IF(OR(B253="",C253="",D253="",H253="",K253="",L253=""),"Thiếu dữ liệu",IF(M253&lt;&gt;N253+O253,"Sai cân đối SL",IF(AND(O253&gt;0,P253=""),"Thiếu mã lỗi","Hợp lệ"))))</x:f>
      </x:c>
    </x:row>
    <x:row r="254">
      <x:c r="A254" s="21"/>
      <x:c r="B254" s="43"/>
      <x:c r="C254" s="21"/>
      <x:c r="D254" s="21"/>
      <x:c r="E254" s="21"/>
      <x:c r="F254" s="21"/>
      <x:c r="G254" s="29" t="str">
        <x:f>IF(OR(C254="",D254=""),"",C254&amp;"|"&amp;D254&amp;"|"&amp;IF(E254="","00",E254)&amp;"|"&amp;IF(F254="","01",F254))</x:f>
      </x:c>
      <x:c r="H254" s="21"/>
      <x:c r="I254" s="29" t="str">
        <x:f>IF(OR(G254="",H254=""),"",G254&amp;"|"&amp;TEXT(H254,"000"))</x:f>
      </x:c>
      <x:c r="J254" s="21"/>
      <x:c r="K254" s="21"/>
      <x:c r="L254" s="21"/>
      <x:c r="M254" s="23"/>
      <x:c r="N254" s="23"/>
      <x:c r="O254" s="23"/>
      <x:c r="P254" s="21"/>
      <x:c r="Q254" s="29" t="str">
        <x:f>IF(P254="","",IFERROR(INDEX(DM_MA_LOI!$B$6:$B$105,MATCH(P254,DM_MA_LOI!$A$6:$A$105,0)),""))</x:f>
      </x:c>
      <x:c r="R254" s="29" t="str">
        <x:f>IF(P254="","",IFERROR(INDEX(DM_MA_LOI!$E$6:$E$105,MATCH(P254,DM_MA_LOI!$A$6:$A$105,0)),""))</x:f>
      </x:c>
      <x:c r="S254" s="29" t="str">
        <x:f>IF(P254="","",IFERROR(INDEX(DM_MA_LOI!$F$6:$F$105,MATCH(P254,DM_MA_LOI!$A$6:$A$105,0)),""))</x:f>
      </x:c>
      <x:c r="T254" s="21"/>
      <x:c r="U254" s="21"/>
      <x:c r="V254" s="21"/>
      <x:c r="W254" s="21"/>
      <x:c r="X254" s="21"/>
      <x:c r="Y254" s="21"/>
      <x:c r="Z254" s="21"/>
      <x:c r="AA254" s="29" t="str">
        <x:f>IF(A254="","",IF(OR(B254="",C254="",D254="",H254="",K254="",L254=""),"Thiếu dữ liệu",IF(M254&lt;&gt;N254+O254,"Sai cân đối SL",IF(AND(O254&gt;0,P254=""),"Thiếu mã lỗi","Hợp lệ"))))</x:f>
      </x:c>
    </x:row>
    <x:row r="255">
      <x:c r="A255" s="21"/>
      <x:c r="B255" s="43"/>
      <x:c r="C255" s="21"/>
      <x:c r="D255" s="21"/>
      <x:c r="E255" s="21"/>
      <x:c r="F255" s="21"/>
      <x:c r="G255" s="29" t="str">
        <x:f>IF(OR(C255="",D255=""),"",C255&amp;"|"&amp;D255&amp;"|"&amp;IF(E255="","00",E255)&amp;"|"&amp;IF(F255="","01",F255))</x:f>
      </x:c>
      <x:c r="H255" s="21"/>
      <x:c r="I255" s="29" t="str">
        <x:f>IF(OR(G255="",H255=""),"",G255&amp;"|"&amp;TEXT(H255,"000"))</x:f>
      </x:c>
      <x:c r="J255" s="21"/>
      <x:c r="K255" s="21"/>
      <x:c r="L255" s="21"/>
      <x:c r="M255" s="23"/>
      <x:c r="N255" s="23"/>
      <x:c r="O255" s="23"/>
      <x:c r="P255" s="21"/>
      <x:c r="Q255" s="29" t="str">
        <x:f>IF(P255="","",IFERROR(INDEX(DM_MA_LOI!$B$6:$B$105,MATCH(P255,DM_MA_LOI!$A$6:$A$105,0)),""))</x:f>
      </x:c>
      <x:c r="R255" s="29" t="str">
        <x:f>IF(P255="","",IFERROR(INDEX(DM_MA_LOI!$E$6:$E$105,MATCH(P255,DM_MA_LOI!$A$6:$A$105,0)),""))</x:f>
      </x:c>
      <x:c r="S255" s="29" t="str">
        <x:f>IF(P255="","",IFERROR(INDEX(DM_MA_LOI!$F$6:$F$105,MATCH(P255,DM_MA_LOI!$A$6:$A$105,0)),""))</x:f>
      </x:c>
      <x:c r="T255" s="21"/>
      <x:c r="U255" s="21"/>
      <x:c r="V255" s="21"/>
      <x:c r="W255" s="21"/>
      <x:c r="X255" s="21"/>
      <x:c r="Y255" s="21"/>
      <x:c r="Z255" s="21"/>
      <x:c r="AA255" s="29" t="str">
        <x:f>IF(A255="","",IF(OR(B255="",C255="",D255="",H255="",K255="",L255=""),"Thiếu dữ liệu",IF(M255&lt;&gt;N255+O255,"Sai cân đối SL",IF(AND(O255&gt;0,P255=""),"Thiếu mã lỗi","Hợp lệ"))))</x:f>
      </x:c>
    </x:row>
    <x:row r="256">
      <x:c r="A256" s="21"/>
      <x:c r="B256" s="43"/>
      <x:c r="C256" s="21"/>
      <x:c r="D256" s="21"/>
      <x:c r="E256" s="21"/>
      <x:c r="F256" s="21"/>
      <x:c r="G256" s="29" t="str">
        <x:f>IF(OR(C256="",D256=""),"",C256&amp;"|"&amp;D256&amp;"|"&amp;IF(E256="","00",E256)&amp;"|"&amp;IF(F256="","01",F256))</x:f>
      </x:c>
      <x:c r="H256" s="21"/>
      <x:c r="I256" s="29" t="str">
        <x:f>IF(OR(G256="",H256=""),"",G256&amp;"|"&amp;TEXT(H256,"000"))</x:f>
      </x:c>
      <x:c r="J256" s="21"/>
      <x:c r="K256" s="21"/>
      <x:c r="L256" s="21"/>
      <x:c r="M256" s="23"/>
      <x:c r="N256" s="23"/>
      <x:c r="O256" s="23"/>
      <x:c r="P256" s="21"/>
      <x:c r="Q256" s="29" t="str">
        <x:f>IF(P256="","",IFERROR(INDEX(DM_MA_LOI!$B$6:$B$105,MATCH(P256,DM_MA_LOI!$A$6:$A$105,0)),""))</x:f>
      </x:c>
      <x:c r="R256" s="29" t="str">
        <x:f>IF(P256="","",IFERROR(INDEX(DM_MA_LOI!$E$6:$E$105,MATCH(P256,DM_MA_LOI!$A$6:$A$105,0)),""))</x:f>
      </x:c>
      <x:c r="S256" s="29" t="str">
        <x:f>IF(P256="","",IFERROR(INDEX(DM_MA_LOI!$F$6:$F$105,MATCH(P256,DM_MA_LOI!$A$6:$A$105,0)),""))</x:f>
      </x:c>
      <x:c r="T256" s="21"/>
      <x:c r="U256" s="21"/>
      <x:c r="V256" s="21"/>
      <x:c r="W256" s="21"/>
      <x:c r="X256" s="21"/>
      <x:c r="Y256" s="21"/>
      <x:c r="Z256" s="21"/>
      <x:c r="AA256" s="29" t="str">
        <x:f>IF(A256="","",IF(OR(B256="",C256="",D256="",H256="",K256="",L256=""),"Thiếu dữ liệu",IF(M256&lt;&gt;N256+O256,"Sai cân đối SL",IF(AND(O256&gt;0,P256=""),"Thiếu mã lỗi","Hợp lệ"))))</x:f>
      </x:c>
    </x:row>
    <x:row r="257">
      <x:c r="A257" s="21"/>
      <x:c r="B257" s="43"/>
      <x:c r="C257" s="21"/>
      <x:c r="D257" s="21"/>
      <x:c r="E257" s="21"/>
      <x:c r="F257" s="21"/>
      <x:c r="G257" s="29" t="str">
        <x:f>IF(OR(C257="",D257=""),"",C257&amp;"|"&amp;D257&amp;"|"&amp;IF(E257="","00",E257)&amp;"|"&amp;IF(F257="","01",F257))</x:f>
      </x:c>
      <x:c r="H257" s="21"/>
      <x:c r="I257" s="29" t="str">
        <x:f>IF(OR(G257="",H257=""),"",G257&amp;"|"&amp;TEXT(H257,"000"))</x:f>
      </x:c>
      <x:c r="J257" s="21"/>
      <x:c r="K257" s="21"/>
      <x:c r="L257" s="21"/>
      <x:c r="M257" s="23"/>
      <x:c r="N257" s="23"/>
      <x:c r="O257" s="23"/>
      <x:c r="P257" s="21"/>
      <x:c r="Q257" s="29" t="str">
        <x:f>IF(P257="","",IFERROR(INDEX(DM_MA_LOI!$B$6:$B$105,MATCH(P257,DM_MA_LOI!$A$6:$A$105,0)),""))</x:f>
      </x:c>
      <x:c r="R257" s="29" t="str">
        <x:f>IF(P257="","",IFERROR(INDEX(DM_MA_LOI!$E$6:$E$105,MATCH(P257,DM_MA_LOI!$A$6:$A$105,0)),""))</x:f>
      </x:c>
      <x:c r="S257" s="29" t="str">
        <x:f>IF(P257="","",IFERROR(INDEX(DM_MA_LOI!$F$6:$F$105,MATCH(P257,DM_MA_LOI!$A$6:$A$105,0)),""))</x:f>
      </x:c>
      <x:c r="T257" s="21"/>
      <x:c r="U257" s="21"/>
      <x:c r="V257" s="21"/>
      <x:c r="W257" s="21"/>
      <x:c r="X257" s="21"/>
      <x:c r="Y257" s="21"/>
      <x:c r="Z257" s="21"/>
      <x:c r="AA257" s="29" t="str">
        <x:f>IF(A257="","",IF(OR(B257="",C257="",D257="",H257="",K257="",L257=""),"Thiếu dữ liệu",IF(M257&lt;&gt;N257+O257,"Sai cân đối SL",IF(AND(O257&gt;0,P257=""),"Thiếu mã lỗi","Hợp lệ"))))</x:f>
      </x:c>
    </x:row>
    <x:row r="258">
      <x:c r="A258" s="21"/>
      <x:c r="B258" s="43"/>
      <x:c r="C258" s="21"/>
      <x:c r="D258" s="21"/>
      <x:c r="E258" s="21"/>
      <x:c r="F258" s="21"/>
      <x:c r="G258" s="29" t="str">
        <x:f>IF(OR(C258="",D258=""),"",C258&amp;"|"&amp;D258&amp;"|"&amp;IF(E258="","00",E258)&amp;"|"&amp;IF(F258="","01",F258))</x:f>
      </x:c>
      <x:c r="H258" s="21"/>
      <x:c r="I258" s="29" t="str">
        <x:f>IF(OR(G258="",H258=""),"",G258&amp;"|"&amp;TEXT(H258,"000"))</x:f>
      </x:c>
      <x:c r="J258" s="21"/>
      <x:c r="K258" s="21"/>
      <x:c r="L258" s="21"/>
      <x:c r="M258" s="23"/>
      <x:c r="N258" s="23"/>
      <x:c r="O258" s="23"/>
      <x:c r="P258" s="21"/>
      <x:c r="Q258" s="29" t="str">
        <x:f>IF(P258="","",IFERROR(INDEX(DM_MA_LOI!$B$6:$B$105,MATCH(P258,DM_MA_LOI!$A$6:$A$105,0)),""))</x:f>
      </x:c>
      <x:c r="R258" s="29" t="str">
        <x:f>IF(P258="","",IFERROR(INDEX(DM_MA_LOI!$E$6:$E$105,MATCH(P258,DM_MA_LOI!$A$6:$A$105,0)),""))</x:f>
      </x:c>
      <x:c r="S258" s="29" t="str">
        <x:f>IF(P258="","",IFERROR(INDEX(DM_MA_LOI!$F$6:$F$105,MATCH(P258,DM_MA_LOI!$A$6:$A$105,0)),""))</x:f>
      </x:c>
      <x:c r="T258" s="21"/>
      <x:c r="U258" s="21"/>
      <x:c r="V258" s="21"/>
      <x:c r="W258" s="21"/>
      <x:c r="X258" s="21"/>
      <x:c r="Y258" s="21"/>
      <x:c r="Z258" s="21"/>
      <x:c r="AA258" s="29" t="str">
        <x:f>IF(A258="","",IF(OR(B258="",C258="",D258="",H258="",K258="",L258=""),"Thiếu dữ liệu",IF(M258&lt;&gt;N258+O258,"Sai cân đối SL",IF(AND(O258&gt;0,P258=""),"Thiếu mã lỗi","Hợp lệ"))))</x:f>
      </x:c>
    </x:row>
    <x:row r="259">
      <x:c r="A259" s="21"/>
      <x:c r="B259" s="43"/>
      <x:c r="C259" s="21"/>
      <x:c r="D259" s="21"/>
      <x:c r="E259" s="21"/>
      <x:c r="F259" s="21"/>
      <x:c r="G259" s="29" t="str">
        <x:f>IF(OR(C259="",D259=""),"",C259&amp;"|"&amp;D259&amp;"|"&amp;IF(E259="","00",E259)&amp;"|"&amp;IF(F259="","01",F259))</x:f>
      </x:c>
      <x:c r="H259" s="21"/>
      <x:c r="I259" s="29" t="str">
        <x:f>IF(OR(G259="",H259=""),"",G259&amp;"|"&amp;TEXT(H259,"000"))</x:f>
      </x:c>
      <x:c r="J259" s="21"/>
      <x:c r="K259" s="21"/>
      <x:c r="L259" s="21"/>
      <x:c r="M259" s="23"/>
      <x:c r="N259" s="23"/>
      <x:c r="O259" s="23"/>
      <x:c r="P259" s="21"/>
      <x:c r="Q259" s="29" t="str">
        <x:f>IF(P259="","",IFERROR(INDEX(DM_MA_LOI!$B$6:$B$105,MATCH(P259,DM_MA_LOI!$A$6:$A$105,0)),""))</x:f>
      </x:c>
      <x:c r="R259" s="29" t="str">
        <x:f>IF(P259="","",IFERROR(INDEX(DM_MA_LOI!$E$6:$E$105,MATCH(P259,DM_MA_LOI!$A$6:$A$105,0)),""))</x:f>
      </x:c>
      <x:c r="S259" s="29" t="str">
        <x:f>IF(P259="","",IFERROR(INDEX(DM_MA_LOI!$F$6:$F$105,MATCH(P259,DM_MA_LOI!$A$6:$A$105,0)),""))</x:f>
      </x:c>
      <x:c r="T259" s="21"/>
      <x:c r="U259" s="21"/>
      <x:c r="V259" s="21"/>
      <x:c r="W259" s="21"/>
      <x:c r="X259" s="21"/>
      <x:c r="Y259" s="21"/>
      <x:c r="Z259" s="21"/>
      <x:c r="AA259" s="29" t="str">
        <x:f>IF(A259="","",IF(OR(B259="",C259="",D259="",H259="",K259="",L259=""),"Thiếu dữ liệu",IF(M259&lt;&gt;N259+O259,"Sai cân đối SL",IF(AND(O259&gt;0,P259=""),"Thiếu mã lỗi","Hợp lệ"))))</x:f>
      </x:c>
    </x:row>
    <x:row r="260">
      <x:c r="A260" s="21"/>
      <x:c r="B260" s="43"/>
      <x:c r="C260" s="21"/>
      <x:c r="D260" s="21"/>
      <x:c r="E260" s="21"/>
      <x:c r="F260" s="21"/>
      <x:c r="G260" s="29" t="str">
        <x:f>IF(OR(C260="",D260=""),"",C260&amp;"|"&amp;D260&amp;"|"&amp;IF(E260="","00",E260)&amp;"|"&amp;IF(F260="","01",F260))</x:f>
      </x:c>
      <x:c r="H260" s="21"/>
      <x:c r="I260" s="29" t="str">
        <x:f>IF(OR(G260="",H260=""),"",G260&amp;"|"&amp;TEXT(H260,"000"))</x:f>
      </x:c>
      <x:c r="J260" s="21"/>
      <x:c r="K260" s="21"/>
      <x:c r="L260" s="21"/>
      <x:c r="M260" s="23"/>
      <x:c r="N260" s="23"/>
      <x:c r="O260" s="23"/>
      <x:c r="P260" s="21"/>
      <x:c r="Q260" s="29" t="str">
        <x:f>IF(P260="","",IFERROR(INDEX(DM_MA_LOI!$B$6:$B$105,MATCH(P260,DM_MA_LOI!$A$6:$A$105,0)),""))</x:f>
      </x:c>
      <x:c r="R260" s="29" t="str">
        <x:f>IF(P260="","",IFERROR(INDEX(DM_MA_LOI!$E$6:$E$105,MATCH(P260,DM_MA_LOI!$A$6:$A$105,0)),""))</x:f>
      </x:c>
      <x:c r="S260" s="29" t="str">
        <x:f>IF(P260="","",IFERROR(INDEX(DM_MA_LOI!$F$6:$F$105,MATCH(P260,DM_MA_LOI!$A$6:$A$105,0)),""))</x:f>
      </x:c>
      <x:c r="T260" s="21"/>
      <x:c r="U260" s="21"/>
      <x:c r="V260" s="21"/>
      <x:c r="W260" s="21"/>
      <x:c r="X260" s="21"/>
      <x:c r="Y260" s="21"/>
      <x:c r="Z260" s="21"/>
      <x:c r="AA260" s="29" t="str">
        <x:f>IF(A260="","",IF(OR(B260="",C260="",D260="",H260="",K260="",L260=""),"Thiếu dữ liệu",IF(M260&lt;&gt;N260+O260,"Sai cân đối SL",IF(AND(O260&gt;0,P260=""),"Thiếu mã lỗi","Hợp lệ"))))</x:f>
      </x:c>
    </x:row>
    <x:row r="261">
      <x:c r="A261" s="21"/>
      <x:c r="B261" s="43"/>
      <x:c r="C261" s="21"/>
      <x:c r="D261" s="21"/>
      <x:c r="E261" s="21"/>
      <x:c r="F261" s="21"/>
      <x:c r="G261" s="29" t="str">
        <x:f>IF(OR(C261="",D261=""),"",C261&amp;"|"&amp;D261&amp;"|"&amp;IF(E261="","00",E261)&amp;"|"&amp;IF(F261="","01",F261))</x:f>
      </x:c>
      <x:c r="H261" s="21"/>
      <x:c r="I261" s="29" t="str">
        <x:f>IF(OR(G261="",H261=""),"",G261&amp;"|"&amp;TEXT(H261,"000"))</x:f>
      </x:c>
      <x:c r="J261" s="21"/>
      <x:c r="K261" s="21"/>
      <x:c r="L261" s="21"/>
      <x:c r="M261" s="23"/>
      <x:c r="N261" s="23"/>
      <x:c r="O261" s="23"/>
      <x:c r="P261" s="21"/>
      <x:c r="Q261" s="29" t="str">
        <x:f>IF(P261="","",IFERROR(INDEX(DM_MA_LOI!$B$6:$B$105,MATCH(P261,DM_MA_LOI!$A$6:$A$105,0)),""))</x:f>
      </x:c>
      <x:c r="R261" s="29" t="str">
        <x:f>IF(P261="","",IFERROR(INDEX(DM_MA_LOI!$E$6:$E$105,MATCH(P261,DM_MA_LOI!$A$6:$A$105,0)),""))</x:f>
      </x:c>
      <x:c r="S261" s="29" t="str">
        <x:f>IF(P261="","",IFERROR(INDEX(DM_MA_LOI!$F$6:$F$105,MATCH(P261,DM_MA_LOI!$A$6:$A$105,0)),""))</x:f>
      </x:c>
      <x:c r="T261" s="21"/>
      <x:c r="U261" s="21"/>
      <x:c r="V261" s="21"/>
      <x:c r="W261" s="21"/>
      <x:c r="X261" s="21"/>
      <x:c r="Y261" s="21"/>
      <x:c r="Z261" s="21"/>
      <x:c r="AA261" s="29" t="str">
        <x:f>IF(A261="","",IF(OR(B261="",C261="",D261="",H261="",K261="",L261=""),"Thiếu dữ liệu",IF(M261&lt;&gt;N261+O261,"Sai cân đối SL",IF(AND(O261&gt;0,P261=""),"Thiếu mã lỗi","Hợp lệ"))))</x:f>
      </x:c>
    </x:row>
    <x:row r="262">
      <x:c r="A262" s="21"/>
      <x:c r="B262" s="43"/>
      <x:c r="C262" s="21"/>
      <x:c r="D262" s="21"/>
      <x:c r="E262" s="21"/>
      <x:c r="F262" s="21"/>
      <x:c r="G262" s="29" t="str">
        <x:f>IF(OR(C262="",D262=""),"",C262&amp;"|"&amp;D262&amp;"|"&amp;IF(E262="","00",E262)&amp;"|"&amp;IF(F262="","01",F262))</x:f>
      </x:c>
      <x:c r="H262" s="21"/>
      <x:c r="I262" s="29" t="str">
        <x:f>IF(OR(G262="",H262=""),"",G262&amp;"|"&amp;TEXT(H262,"000"))</x:f>
      </x:c>
      <x:c r="J262" s="21"/>
      <x:c r="K262" s="21"/>
      <x:c r="L262" s="21"/>
      <x:c r="M262" s="23"/>
      <x:c r="N262" s="23"/>
      <x:c r="O262" s="23"/>
      <x:c r="P262" s="21"/>
      <x:c r="Q262" s="29" t="str">
        <x:f>IF(P262="","",IFERROR(INDEX(DM_MA_LOI!$B$6:$B$105,MATCH(P262,DM_MA_LOI!$A$6:$A$105,0)),""))</x:f>
      </x:c>
      <x:c r="R262" s="29" t="str">
        <x:f>IF(P262="","",IFERROR(INDEX(DM_MA_LOI!$E$6:$E$105,MATCH(P262,DM_MA_LOI!$A$6:$A$105,0)),""))</x:f>
      </x:c>
      <x:c r="S262" s="29" t="str">
        <x:f>IF(P262="","",IFERROR(INDEX(DM_MA_LOI!$F$6:$F$105,MATCH(P262,DM_MA_LOI!$A$6:$A$105,0)),""))</x:f>
      </x:c>
      <x:c r="T262" s="21"/>
      <x:c r="U262" s="21"/>
      <x:c r="V262" s="21"/>
      <x:c r="W262" s="21"/>
      <x:c r="X262" s="21"/>
      <x:c r="Y262" s="21"/>
      <x:c r="Z262" s="21"/>
      <x:c r="AA262" s="29" t="str">
        <x:f>IF(A262="","",IF(OR(B262="",C262="",D262="",H262="",K262="",L262=""),"Thiếu dữ liệu",IF(M262&lt;&gt;N262+O262,"Sai cân đối SL",IF(AND(O262&gt;0,P262=""),"Thiếu mã lỗi","Hợp lệ"))))</x:f>
      </x:c>
    </x:row>
    <x:row r="263">
      <x:c r="A263" s="21"/>
      <x:c r="B263" s="43"/>
      <x:c r="C263" s="21"/>
      <x:c r="D263" s="21"/>
      <x:c r="E263" s="21"/>
      <x:c r="F263" s="21"/>
      <x:c r="G263" s="29" t="str">
        <x:f>IF(OR(C263="",D263=""),"",C263&amp;"|"&amp;D263&amp;"|"&amp;IF(E263="","00",E263)&amp;"|"&amp;IF(F263="","01",F263))</x:f>
      </x:c>
      <x:c r="H263" s="21"/>
      <x:c r="I263" s="29" t="str">
        <x:f>IF(OR(G263="",H263=""),"",G263&amp;"|"&amp;TEXT(H263,"000"))</x:f>
      </x:c>
      <x:c r="J263" s="21"/>
      <x:c r="K263" s="21"/>
      <x:c r="L263" s="21"/>
      <x:c r="M263" s="23"/>
      <x:c r="N263" s="23"/>
      <x:c r="O263" s="23"/>
      <x:c r="P263" s="21"/>
      <x:c r="Q263" s="29" t="str">
        <x:f>IF(P263="","",IFERROR(INDEX(DM_MA_LOI!$B$6:$B$105,MATCH(P263,DM_MA_LOI!$A$6:$A$105,0)),""))</x:f>
      </x:c>
      <x:c r="R263" s="29" t="str">
        <x:f>IF(P263="","",IFERROR(INDEX(DM_MA_LOI!$E$6:$E$105,MATCH(P263,DM_MA_LOI!$A$6:$A$105,0)),""))</x:f>
      </x:c>
      <x:c r="S263" s="29" t="str">
        <x:f>IF(P263="","",IFERROR(INDEX(DM_MA_LOI!$F$6:$F$105,MATCH(P263,DM_MA_LOI!$A$6:$A$105,0)),""))</x:f>
      </x:c>
      <x:c r="T263" s="21"/>
      <x:c r="U263" s="21"/>
      <x:c r="V263" s="21"/>
      <x:c r="W263" s="21"/>
      <x:c r="X263" s="21"/>
      <x:c r="Y263" s="21"/>
      <x:c r="Z263" s="21"/>
      <x:c r="AA263" s="29" t="str">
        <x:f>IF(A263="","",IF(OR(B263="",C263="",D263="",H263="",K263="",L263=""),"Thiếu dữ liệu",IF(M263&lt;&gt;N263+O263,"Sai cân đối SL",IF(AND(O263&gt;0,P263=""),"Thiếu mã lỗi","Hợp lệ"))))</x:f>
      </x:c>
    </x:row>
    <x:row r="264">
      <x:c r="A264" s="21"/>
      <x:c r="B264" s="43"/>
      <x:c r="C264" s="21"/>
      <x:c r="D264" s="21"/>
      <x:c r="E264" s="21"/>
      <x:c r="F264" s="21"/>
      <x:c r="G264" s="29" t="str">
        <x:f>IF(OR(C264="",D264=""),"",C264&amp;"|"&amp;D264&amp;"|"&amp;IF(E264="","00",E264)&amp;"|"&amp;IF(F264="","01",F264))</x:f>
      </x:c>
      <x:c r="H264" s="21"/>
      <x:c r="I264" s="29" t="str">
        <x:f>IF(OR(G264="",H264=""),"",G264&amp;"|"&amp;TEXT(H264,"000"))</x:f>
      </x:c>
      <x:c r="J264" s="21"/>
      <x:c r="K264" s="21"/>
      <x:c r="L264" s="21"/>
      <x:c r="M264" s="23"/>
      <x:c r="N264" s="23"/>
      <x:c r="O264" s="23"/>
      <x:c r="P264" s="21"/>
      <x:c r="Q264" s="29" t="str">
        <x:f>IF(P264="","",IFERROR(INDEX(DM_MA_LOI!$B$6:$B$105,MATCH(P264,DM_MA_LOI!$A$6:$A$105,0)),""))</x:f>
      </x:c>
      <x:c r="R264" s="29" t="str">
        <x:f>IF(P264="","",IFERROR(INDEX(DM_MA_LOI!$E$6:$E$105,MATCH(P264,DM_MA_LOI!$A$6:$A$105,0)),""))</x:f>
      </x:c>
      <x:c r="S264" s="29" t="str">
        <x:f>IF(P264="","",IFERROR(INDEX(DM_MA_LOI!$F$6:$F$105,MATCH(P264,DM_MA_LOI!$A$6:$A$105,0)),""))</x:f>
      </x:c>
      <x:c r="T264" s="21"/>
      <x:c r="U264" s="21"/>
      <x:c r="V264" s="21"/>
      <x:c r="W264" s="21"/>
      <x:c r="X264" s="21"/>
      <x:c r="Y264" s="21"/>
      <x:c r="Z264" s="21"/>
      <x:c r="AA264" s="29" t="str">
        <x:f>IF(A264="","",IF(OR(B264="",C264="",D264="",H264="",K264="",L264=""),"Thiếu dữ liệu",IF(M264&lt;&gt;N264+O264,"Sai cân đối SL",IF(AND(O264&gt;0,P264=""),"Thiếu mã lỗi","Hợp lệ"))))</x:f>
      </x:c>
    </x:row>
    <x:row r="265">
      <x:c r="A265" s="21"/>
      <x:c r="B265" s="43"/>
      <x:c r="C265" s="21"/>
      <x:c r="D265" s="21"/>
      <x:c r="E265" s="21"/>
      <x:c r="F265" s="21"/>
      <x:c r="G265" s="29" t="str">
        <x:f>IF(OR(C265="",D265=""),"",C265&amp;"|"&amp;D265&amp;"|"&amp;IF(E265="","00",E265)&amp;"|"&amp;IF(F265="","01",F265))</x:f>
      </x:c>
      <x:c r="H265" s="21"/>
      <x:c r="I265" s="29" t="str">
        <x:f>IF(OR(G265="",H265=""),"",G265&amp;"|"&amp;TEXT(H265,"000"))</x:f>
      </x:c>
      <x:c r="J265" s="21"/>
      <x:c r="K265" s="21"/>
      <x:c r="L265" s="21"/>
      <x:c r="M265" s="23"/>
      <x:c r="N265" s="23"/>
      <x:c r="O265" s="23"/>
      <x:c r="P265" s="21"/>
      <x:c r="Q265" s="29" t="str">
        <x:f>IF(P265="","",IFERROR(INDEX(DM_MA_LOI!$B$6:$B$105,MATCH(P265,DM_MA_LOI!$A$6:$A$105,0)),""))</x:f>
      </x:c>
      <x:c r="R265" s="29" t="str">
        <x:f>IF(P265="","",IFERROR(INDEX(DM_MA_LOI!$E$6:$E$105,MATCH(P265,DM_MA_LOI!$A$6:$A$105,0)),""))</x:f>
      </x:c>
      <x:c r="S265" s="29" t="str">
        <x:f>IF(P265="","",IFERROR(INDEX(DM_MA_LOI!$F$6:$F$105,MATCH(P265,DM_MA_LOI!$A$6:$A$105,0)),""))</x:f>
      </x:c>
      <x:c r="T265" s="21"/>
      <x:c r="U265" s="21"/>
      <x:c r="V265" s="21"/>
      <x:c r="W265" s="21"/>
      <x:c r="X265" s="21"/>
      <x:c r="Y265" s="21"/>
      <x:c r="Z265" s="21"/>
      <x:c r="AA265" s="29" t="str">
        <x:f>IF(A265="","",IF(OR(B265="",C265="",D265="",H265="",K265="",L265=""),"Thiếu dữ liệu",IF(M265&lt;&gt;N265+O265,"Sai cân đối SL",IF(AND(O265&gt;0,P265=""),"Thiếu mã lỗi","Hợp lệ"))))</x:f>
      </x:c>
    </x:row>
    <x:row r="266">
      <x:c r="A266" s="21"/>
      <x:c r="B266" s="43"/>
      <x:c r="C266" s="21"/>
      <x:c r="D266" s="21"/>
      <x:c r="E266" s="21"/>
      <x:c r="F266" s="21"/>
      <x:c r="G266" s="29" t="str">
        <x:f>IF(OR(C266="",D266=""),"",C266&amp;"|"&amp;D266&amp;"|"&amp;IF(E266="","00",E266)&amp;"|"&amp;IF(F266="","01",F266))</x:f>
      </x:c>
      <x:c r="H266" s="21"/>
      <x:c r="I266" s="29" t="str">
        <x:f>IF(OR(G266="",H266=""),"",G266&amp;"|"&amp;TEXT(H266,"000"))</x:f>
      </x:c>
      <x:c r="J266" s="21"/>
      <x:c r="K266" s="21"/>
      <x:c r="L266" s="21"/>
      <x:c r="M266" s="23"/>
      <x:c r="N266" s="23"/>
      <x:c r="O266" s="23"/>
      <x:c r="P266" s="21"/>
      <x:c r="Q266" s="29" t="str">
        <x:f>IF(P266="","",IFERROR(INDEX(DM_MA_LOI!$B$6:$B$105,MATCH(P266,DM_MA_LOI!$A$6:$A$105,0)),""))</x:f>
      </x:c>
      <x:c r="R266" s="29" t="str">
        <x:f>IF(P266="","",IFERROR(INDEX(DM_MA_LOI!$E$6:$E$105,MATCH(P266,DM_MA_LOI!$A$6:$A$105,0)),""))</x:f>
      </x:c>
      <x:c r="S266" s="29" t="str">
        <x:f>IF(P266="","",IFERROR(INDEX(DM_MA_LOI!$F$6:$F$105,MATCH(P266,DM_MA_LOI!$A$6:$A$105,0)),""))</x:f>
      </x:c>
      <x:c r="T266" s="21"/>
      <x:c r="U266" s="21"/>
      <x:c r="V266" s="21"/>
      <x:c r="W266" s="21"/>
      <x:c r="X266" s="21"/>
      <x:c r="Y266" s="21"/>
      <x:c r="Z266" s="21"/>
      <x:c r="AA266" s="29" t="str">
        <x:f>IF(A266="","",IF(OR(B266="",C266="",D266="",H266="",K266="",L266=""),"Thiếu dữ liệu",IF(M266&lt;&gt;N266+O266,"Sai cân đối SL",IF(AND(O266&gt;0,P266=""),"Thiếu mã lỗi","Hợp lệ"))))</x:f>
      </x:c>
    </x:row>
    <x:row r="267">
      <x:c r="A267" s="21"/>
      <x:c r="B267" s="43"/>
      <x:c r="C267" s="21"/>
      <x:c r="D267" s="21"/>
      <x:c r="E267" s="21"/>
      <x:c r="F267" s="21"/>
      <x:c r="G267" s="29" t="str">
        <x:f>IF(OR(C267="",D267=""),"",C267&amp;"|"&amp;D267&amp;"|"&amp;IF(E267="","00",E267)&amp;"|"&amp;IF(F267="","01",F267))</x:f>
      </x:c>
      <x:c r="H267" s="21"/>
      <x:c r="I267" s="29" t="str">
        <x:f>IF(OR(G267="",H267=""),"",G267&amp;"|"&amp;TEXT(H267,"000"))</x:f>
      </x:c>
      <x:c r="J267" s="21"/>
      <x:c r="K267" s="21"/>
      <x:c r="L267" s="21"/>
      <x:c r="M267" s="23"/>
      <x:c r="N267" s="23"/>
      <x:c r="O267" s="23"/>
      <x:c r="P267" s="21"/>
      <x:c r="Q267" s="29" t="str">
        <x:f>IF(P267="","",IFERROR(INDEX(DM_MA_LOI!$B$6:$B$105,MATCH(P267,DM_MA_LOI!$A$6:$A$105,0)),""))</x:f>
      </x:c>
      <x:c r="R267" s="29" t="str">
        <x:f>IF(P267="","",IFERROR(INDEX(DM_MA_LOI!$E$6:$E$105,MATCH(P267,DM_MA_LOI!$A$6:$A$105,0)),""))</x:f>
      </x:c>
      <x:c r="S267" s="29" t="str">
        <x:f>IF(P267="","",IFERROR(INDEX(DM_MA_LOI!$F$6:$F$105,MATCH(P267,DM_MA_LOI!$A$6:$A$105,0)),""))</x:f>
      </x:c>
      <x:c r="T267" s="21"/>
      <x:c r="U267" s="21"/>
      <x:c r="V267" s="21"/>
      <x:c r="W267" s="21"/>
      <x:c r="X267" s="21"/>
      <x:c r="Y267" s="21"/>
      <x:c r="Z267" s="21"/>
      <x:c r="AA267" s="29" t="str">
        <x:f>IF(A267="","",IF(OR(B267="",C267="",D267="",H267="",K267="",L267=""),"Thiếu dữ liệu",IF(M267&lt;&gt;N267+O267,"Sai cân đối SL",IF(AND(O267&gt;0,P267=""),"Thiếu mã lỗi","Hợp lệ"))))</x:f>
      </x:c>
    </x:row>
    <x:row r="268">
      <x:c r="A268" s="21"/>
      <x:c r="B268" s="43"/>
      <x:c r="C268" s="21"/>
      <x:c r="D268" s="21"/>
      <x:c r="E268" s="21"/>
      <x:c r="F268" s="21"/>
      <x:c r="G268" s="29" t="str">
        <x:f>IF(OR(C268="",D268=""),"",C268&amp;"|"&amp;D268&amp;"|"&amp;IF(E268="","00",E268)&amp;"|"&amp;IF(F268="","01",F268))</x:f>
      </x:c>
      <x:c r="H268" s="21"/>
      <x:c r="I268" s="29" t="str">
        <x:f>IF(OR(G268="",H268=""),"",G268&amp;"|"&amp;TEXT(H268,"000"))</x:f>
      </x:c>
      <x:c r="J268" s="21"/>
      <x:c r="K268" s="21"/>
      <x:c r="L268" s="21"/>
      <x:c r="M268" s="23"/>
      <x:c r="N268" s="23"/>
      <x:c r="O268" s="23"/>
      <x:c r="P268" s="21"/>
      <x:c r="Q268" s="29" t="str">
        <x:f>IF(P268="","",IFERROR(INDEX(DM_MA_LOI!$B$6:$B$105,MATCH(P268,DM_MA_LOI!$A$6:$A$105,0)),""))</x:f>
      </x:c>
      <x:c r="R268" s="29" t="str">
        <x:f>IF(P268="","",IFERROR(INDEX(DM_MA_LOI!$E$6:$E$105,MATCH(P268,DM_MA_LOI!$A$6:$A$105,0)),""))</x:f>
      </x:c>
      <x:c r="S268" s="29" t="str">
        <x:f>IF(P268="","",IFERROR(INDEX(DM_MA_LOI!$F$6:$F$105,MATCH(P268,DM_MA_LOI!$A$6:$A$105,0)),""))</x:f>
      </x:c>
      <x:c r="T268" s="21"/>
      <x:c r="U268" s="21"/>
      <x:c r="V268" s="21"/>
      <x:c r="W268" s="21"/>
      <x:c r="X268" s="21"/>
      <x:c r="Y268" s="21"/>
      <x:c r="Z268" s="21"/>
      <x:c r="AA268" s="29" t="str">
        <x:f>IF(A268="","",IF(OR(B268="",C268="",D268="",H268="",K268="",L268=""),"Thiếu dữ liệu",IF(M268&lt;&gt;N268+O268,"Sai cân đối SL",IF(AND(O268&gt;0,P268=""),"Thiếu mã lỗi","Hợp lệ"))))</x:f>
      </x:c>
    </x:row>
    <x:row r="269">
      <x:c r="A269" s="21"/>
      <x:c r="B269" s="43"/>
      <x:c r="C269" s="21"/>
      <x:c r="D269" s="21"/>
      <x:c r="E269" s="21"/>
      <x:c r="F269" s="21"/>
      <x:c r="G269" s="29" t="str">
        <x:f>IF(OR(C269="",D269=""),"",C269&amp;"|"&amp;D269&amp;"|"&amp;IF(E269="","00",E269)&amp;"|"&amp;IF(F269="","01",F269))</x:f>
      </x:c>
      <x:c r="H269" s="21"/>
      <x:c r="I269" s="29" t="str">
        <x:f>IF(OR(G269="",H269=""),"",G269&amp;"|"&amp;TEXT(H269,"000"))</x:f>
      </x:c>
      <x:c r="J269" s="21"/>
      <x:c r="K269" s="21"/>
      <x:c r="L269" s="21"/>
      <x:c r="M269" s="23"/>
      <x:c r="N269" s="23"/>
      <x:c r="O269" s="23"/>
      <x:c r="P269" s="21"/>
      <x:c r="Q269" s="29" t="str">
        <x:f>IF(P269="","",IFERROR(INDEX(DM_MA_LOI!$B$6:$B$105,MATCH(P269,DM_MA_LOI!$A$6:$A$105,0)),""))</x:f>
      </x:c>
      <x:c r="R269" s="29" t="str">
        <x:f>IF(P269="","",IFERROR(INDEX(DM_MA_LOI!$E$6:$E$105,MATCH(P269,DM_MA_LOI!$A$6:$A$105,0)),""))</x:f>
      </x:c>
      <x:c r="S269" s="29" t="str">
        <x:f>IF(P269="","",IFERROR(INDEX(DM_MA_LOI!$F$6:$F$105,MATCH(P269,DM_MA_LOI!$A$6:$A$105,0)),""))</x:f>
      </x:c>
      <x:c r="T269" s="21"/>
      <x:c r="U269" s="21"/>
      <x:c r="V269" s="21"/>
      <x:c r="W269" s="21"/>
      <x:c r="X269" s="21"/>
      <x:c r="Y269" s="21"/>
      <x:c r="Z269" s="21"/>
      <x:c r="AA269" s="29" t="str">
        <x:f>IF(A269="","",IF(OR(B269="",C269="",D269="",H269="",K269="",L269=""),"Thiếu dữ liệu",IF(M269&lt;&gt;N269+O269,"Sai cân đối SL",IF(AND(O269&gt;0,P269=""),"Thiếu mã lỗi","Hợp lệ"))))</x:f>
      </x:c>
    </x:row>
    <x:row r="270">
      <x:c r="A270" s="21"/>
      <x:c r="B270" s="43"/>
      <x:c r="C270" s="21"/>
      <x:c r="D270" s="21"/>
      <x:c r="E270" s="21"/>
      <x:c r="F270" s="21"/>
      <x:c r="G270" s="29" t="str">
        <x:f>IF(OR(C270="",D270=""),"",C270&amp;"|"&amp;D270&amp;"|"&amp;IF(E270="","00",E270)&amp;"|"&amp;IF(F270="","01",F270))</x:f>
      </x:c>
      <x:c r="H270" s="21"/>
      <x:c r="I270" s="29" t="str">
        <x:f>IF(OR(G270="",H270=""),"",G270&amp;"|"&amp;TEXT(H270,"000"))</x:f>
      </x:c>
      <x:c r="J270" s="21"/>
      <x:c r="K270" s="21"/>
      <x:c r="L270" s="21"/>
      <x:c r="M270" s="23"/>
      <x:c r="N270" s="23"/>
      <x:c r="O270" s="23"/>
      <x:c r="P270" s="21"/>
      <x:c r="Q270" s="29" t="str">
        <x:f>IF(P270="","",IFERROR(INDEX(DM_MA_LOI!$B$6:$B$105,MATCH(P270,DM_MA_LOI!$A$6:$A$105,0)),""))</x:f>
      </x:c>
      <x:c r="R270" s="29" t="str">
        <x:f>IF(P270="","",IFERROR(INDEX(DM_MA_LOI!$E$6:$E$105,MATCH(P270,DM_MA_LOI!$A$6:$A$105,0)),""))</x:f>
      </x:c>
      <x:c r="S270" s="29" t="str">
        <x:f>IF(P270="","",IFERROR(INDEX(DM_MA_LOI!$F$6:$F$105,MATCH(P270,DM_MA_LOI!$A$6:$A$105,0)),""))</x:f>
      </x:c>
      <x:c r="T270" s="21"/>
      <x:c r="U270" s="21"/>
      <x:c r="V270" s="21"/>
      <x:c r="W270" s="21"/>
      <x:c r="X270" s="21"/>
      <x:c r="Y270" s="21"/>
      <x:c r="Z270" s="21"/>
      <x:c r="AA270" s="29" t="str">
        <x:f>IF(A270="","",IF(OR(B270="",C270="",D270="",H270="",K270="",L270=""),"Thiếu dữ liệu",IF(M270&lt;&gt;N270+O270,"Sai cân đối SL",IF(AND(O270&gt;0,P270=""),"Thiếu mã lỗi","Hợp lệ"))))</x:f>
      </x:c>
    </x:row>
    <x:row r="271">
      <x:c r="A271" s="21"/>
      <x:c r="B271" s="43"/>
      <x:c r="C271" s="21"/>
      <x:c r="D271" s="21"/>
      <x:c r="E271" s="21"/>
      <x:c r="F271" s="21"/>
      <x:c r="G271" s="29" t="str">
        <x:f>IF(OR(C271="",D271=""),"",C271&amp;"|"&amp;D271&amp;"|"&amp;IF(E271="","00",E271)&amp;"|"&amp;IF(F271="","01",F271))</x:f>
      </x:c>
      <x:c r="H271" s="21"/>
      <x:c r="I271" s="29" t="str">
        <x:f>IF(OR(G271="",H271=""),"",G271&amp;"|"&amp;TEXT(H271,"000"))</x:f>
      </x:c>
      <x:c r="J271" s="21"/>
      <x:c r="K271" s="21"/>
      <x:c r="L271" s="21"/>
      <x:c r="M271" s="23"/>
      <x:c r="N271" s="23"/>
      <x:c r="O271" s="23"/>
      <x:c r="P271" s="21"/>
      <x:c r="Q271" s="29" t="str">
        <x:f>IF(P271="","",IFERROR(INDEX(DM_MA_LOI!$B$6:$B$105,MATCH(P271,DM_MA_LOI!$A$6:$A$105,0)),""))</x:f>
      </x:c>
      <x:c r="R271" s="29" t="str">
        <x:f>IF(P271="","",IFERROR(INDEX(DM_MA_LOI!$E$6:$E$105,MATCH(P271,DM_MA_LOI!$A$6:$A$105,0)),""))</x:f>
      </x:c>
      <x:c r="S271" s="29" t="str">
        <x:f>IF(P271="","",IFERROR(INDEX(DM_MA_LOI!$F$6:$F$105,MATCH(P271,DM_MA_LOI!$A$6:$A$105,0)),""))</x:f>
      </x:c>
      <x:c r="T271" s="21"/>
      <x:c r="U271" s="21"/>
      <x:c r="V271" s="21"/>
      <x:c r="W271" s="21"/>
      <x:c r="X271" s="21"/>
      <x:c r="Y271" s="21"/>
      <x:c r="Z271" s="21"/>
      <x:c r="AA271" s="29" t="str">
        <x:f>IF(A271="","",IF(OR(B271="",C271="",D271="",H271="",K271="",L271=""),"Thiếu dữ liệu",IF(M271&lt;&gt;N271+O271,"Sai cân đối SL",IF(AND(O271&gt;0,P271=""),"Thiếu mã lỗi","Hợp lệ"))))</x:f>
      </x:c>
    </x:row>
    <x:row r="272">
      <x:c r="A272" s="21"/>
      <x:c r="B272" s="43"/>
      <x:c r="C272" s="21"/>
      <x:c r="D272" s="21"/>
      <x:c r="E272" s="21"/>
      <x:c r="F272" s="21"/>
      <x:c r="G272" s="29" t="str">
        <x:f>IF(OR(C272="",D272=""),"",C272&amp;"|"&amp;D272&amp;"|"&amp;IF(E272="","00",E272)&amp;"|"&amp;IF(F272="","01",F272))</x:f>
      </x:c>
      <x:c r="H272" s="21"/>
      <x:c r="I272" s="29" t="str">
        <x:f>IF(OR(G272="",H272=""),"",G272&amp;"|"&amp;TEXT(H272,"000"))</x:f>
      </x:c>
      <x:c r="J272" s="21"/>
      <x:c r="K272" s="21"/>
      <x:c r="L272" s="21"/>
      <x:c r="M272" s="23"/>
      <x:c r="N272" s="23"/>
      <x:c r="O272" s="23"/>
      <x:c r="P272" s="21"/>
      <x:c r="Q272" s="29" t="str">
        <x:f>IF(P272="","",IFERROR(INDEX(DM_MA_LOI!$B$6:$B$105,MATCH(P272,DM_MA_LOI!$A$6:$A$105,0)),""))</x:f>
      </x:c>
      <x:c r="R272" s="29" t="str">
        <x:f>IF(P272="","",IFERROR(INDEX(DM_MA_LOI!$E$6:$E$105,MATCH(P272,DM_MA_LOI!$A$6:$A$105,0)),""))</x:f>
      </x:c>
      <x:c r="S272" s="29" t="str">
        <x:f>IF(P272="","",IFERROR(INDEX(DM_MA_LOI!$F$6:$F$105,MATCH(P272,DM_MA_LOI!$A$6:$A$105,0)),""))</x:f>
      </x:c>
      <x:c r="T272" s="21"/>
      <x:c r="U272" s="21"/>
      <x:c r="V272" s="21"/>
      <x:c r="W272" s="21"/>
      <x:c r="X272" s="21"/>
      <x:c r="Y272" s="21"/>
      <x:c r="Z272" s="21"/>
      <x:c r="AA272" s="29" t="str">
        <x:f>IF(A272="","",IF(OR(B272="",C272="",D272="",H272="",K272="",L272=""),"Thiếu dữ liệu",IF(M272&lt;&gt;N272+O272,"Sai cân đối SL",IF(AND(O272&gt;0,P272=""),"Thiếu mã lỗi","Hợp lệ"))))</x:f>
      </x:c>
    </x:row>
    <x:row r="273">
      <x:c r="A273" s="21"/>
      <x:c r="B273" s="43"/>
      <x:c r="C273" s="21"/>
      <x:c r="D273" s="21"/>
      <x:c r="E273" s="21"/>
      <x:c r="F273" s="21"/>
      <x:c r="G273" s="29" t="str">
        <x:f>IF(OR(C273="",D273=""),"",C273&amp;"|"&amp;D273&amp;"|"&amp;IF(E273="","00",E273)&amp;"|"&amp;IF(F273="","01",F273))</x:f>
      </x:c>
      <x:c r="H273" s="21"/>
      <x:c r="I273" s="29" t="str">
        <x:f>IF(OR(G273="",H273=""),"",G273&amp;"|"&amp;TEXT(H273,"000"))</x:f>
      </x:c>
      <x:c r="J273" s="21"/>
      <x:c r="K273" s="21"/>
      <x:c r="L273" s="21"/>
      <x:c r="M273" s="23"/>
      <x:c r="N273" s="23"/>
      <x:c r="O273" s="23"/>
      <x:c r="P273" s="21"/>
      <x:c r="Q273" s="29" t="str">
        <x:f>IF(P273="","",IFERROR(INDEX(DM_MA_LOI!$B$6:$B$105,MATCH(P273,DM_MA_LOI!$A$6:$A$105,0)),""))</x:f>
      </x:c>
      <x:c r="R273" s="29" t="str">
        <x:f>IF(P273="","",IFERROR(INDEX(DM_MA_LOI!$E$6:$E$105,MATCH(P273,DM_MA_LOI!$A$6:$A$105,0)),""))</x:f>
      </x:c>
      <x:c r="S273" s="29" t="str">
        <x:f>IF(P273="","",IFERROR(INDEX(DM_MA_LOI!$F$6:$F$105,MATCH(P273,DM_MA_LOI!$A$6:$A$105,0)),""))</x:f>
      </x:c>
      <x:c r="T273" s="21"/>
      <x:c r="U273" s="21"/>
      <x:c r="V273" s="21"/>
      <x:c r="W273" s="21"/>
      <x:c r="X273" s="21"/>
      <x:c r="Y273" s="21"/>
      <x:c r="Z273" s="21"/>
      <x:c r="AA273" s="29" t="str">
        <x:f>IF(A273="","",IF(OR(B273="",C273="",D273="",H273="",K273="",L273=""),"Thiếu dữ liệu",IF(M273&lt;&gt;N273+O273,"Sai cân đối SL",IF(AND(O273&gt;0,P273=""),"Thiếu mã lỗi","Hợp lệ"))))</x:f>
      </x:c>
    </x:row>
    <x:row r="274">
      <x:c r="A274" s="21"/>
      <x:c r="B274" s="43"/>
      <x:c r="C274" s="21"/>
      <x:c r="D274" s="21"/>
      <x:c r="E274" s="21"/>
      <x:c r="F274" s="21"/>
      <x:c r="G274" s="29" t="str">
        <x:f>IF(OR(C274="",D274=""),"",C274&amp;"|"&amp;D274&amp;"|"&amp;IF(E274="","00",E274)&amp;"|"&amp;IF(F274="","01",F274))</x:f>
      </x:c>
      <x:c r="H274" s="21"/>
      <x:c r="I274" s="29" t="str">
        <x:f>IF(OR(G274="",H274=""),"",G274&amp;"|"&amp;TEXT(H274,"000"))</x:f>
      </x:c>
      <x:c r="J274" s="21"/>
      <x:c r="K274" s="21"/>
      <x:c r="L274" s="21"/>
      <x:c r="M274" s="23"/>
      <x:c r="N274" s="23"/>
      <x:c r="O274" s="23"/>
      <x:c r="P274" s="21"/>
      <x:c r="Q274" s="29" t="str">
        <x:f>IF(P274="","",IFERROR(INDEX(DM_MA_LOI!$B$6:$B$105,MATCH(P274,DM_MA_LOI!$A$6:$A$105,0)),""))</x:f>
      </x:c>
      <x:c r="R274" s="29" t="str">
        <x:f>IF(P274="","",IFERROR(INDEX(DM_MA_LOI!$E$6:$E$105,MATCH(P274,DM_MA_LOI!$A$6:$A$105,0)),""))</x:f>
      </x:c>
      <x:c r="S274" s="29" t="str">
        <x:f>IF(P274="","",IFERROR(INDEX(DM_MA_LOI!$F$6:$F$105,MATCH(P274,DM_MA_LOI!$A$6:$A$105,0)),""))</x:f>
      </x:c>
      <x:c r="T274" s="21"/>
      <x:c r="U274" s="21"/>
      <x:c r="V274" s="21"/>
      <x:c r="W274" s="21"/>
      <x:c r="X274" s="21"/>
      <x:c r="Y274" s="21"/>
      <x:c r="Z274" s="21"/>
      <x:c r="AA274" s="29" t="str">
        <x:f>IF(A274="","",IF(OR(B274="",C274="",D274="",H274="",K274="",L274=""),"Thiếu dữ liệu",IF(M274&lt;&gt;N274+O274,"Sai cân đối SL",IF(AND(O274&gt;0,P274=""),"Thiếu mã lỗi","Hợp lệ"))))</x:f>
      </x:c>
    </x:row>
    <x:row r="275">
      <x:c r="A275" s="21"/>
      <x:c r="B275" s="43"/>
      <x:c r="C275" s="21"/>
      <x:c r="D275" s="21"/>
      <x:c r="E275" s="21"/>
      <x:c r="F275" s="21"/>
      <x:c r="G275" s="29" t="str">
        <x:f>IF(OR(C275="",D275=""),"",C275&amp;"|"&amp;D275&amp;"|"&amp;IF(E275="","00",E275)&amp;"|"&amp;IF(F275="","01",F275))</x:f>
      </x:c>
      <x:c r="H275" s="21"/>
      <x:c r="I275" s="29" t="str">
        <x:f>IF(OR(G275="",H275=""),"",G275&amp;"|"&amp;TEXT(H275,"000"))</x:f>
      </x:c>
      <x:c r="J275" s="21"/>
      <x:c r="K275" s="21"/>
      <x:c r="L275" s="21"/>
      <x:c r="M275" s="23"/>
      <x:c r="N275" s="23"/>
      <x:c r="O275" s="23"/>
      <x:c r="P275" s="21"/>
      <x:c r="Q275" s="29" t="str">
        <x:f>IF(P275="","",IFERROR(INDEX(DM_MA_LOI!$B$6:$B$105,MATCH(P275,DM_MA_LOI!$A$6:$A$105,0)),""))</x:f>
      </x:c>
      <x:c r="R275" s="29" t="str">
        <x:f>IF(P275="","",IFERROR(INDEX(DM_MA_LOI!$E$6:$E$105,MATCH(P275,DM_MA_LOI!$A$6:$A$105,0)),""))</x:f>
      </x:c>
      <x:c r="S275" s="29" t="str">
        <x:f>IF(P275="","",IFERROR(INDEX(DM_MA_LOI!$F$6:$F$105,MATCH(P275,DM_MA_LOI!$A$6:$A$105,0)),""))</x:f>
      </x:c>
      <x:c r="T275" s="21"/>
      <x:c r="U275" s="21"/>
      <x:c r="V275" s="21"/>
      <x:c r="W275" s="21"/>
      <x:c r="X275" s="21"/>
      <x:c r="Y275" s="21"/>
      <x:c r="Z275" s="21"/>
      <x:c r="AA275" s="29" t="str">
        <x:f>IF(A275="","",IF(OR(B275="",C275="",D275="",H275="",K275="",L275=""),"Thiếu dữ liệu",IF(M275&lt;&gt;N275+O275,"Sai cân đối SL",IF(AND(O275&gt;0,P275=""),"Thiếu mã lỗi","Hợp lệ"))))</x:f>
      </x:c>
    </x:row>
    <x:row r="276">
      <x:c r="A276" s="21"/>
      <x:c r="B276" s="43"/>
      <x:c r="C276" s="21"/>
      <x:c r="D276" s="21"/>
      <x:c r="E276" s="21"/>
      <x:c r="F276" s="21"/>
      <x:c r="G276" s="29" t="str">
        <x:f>IF(OR(C276="",D276=""),"",C276&amp;"|"&amp;D276&amp;"|"&amp;IF(E276="","00",E276)&amp;"|"&amp;IF(F276="","01",F276))</x:f>
      </x:c>
      <x:c r="H276" s="21"/>
      <x:c r="I276" s="29" t="str">
        <x:f>IF(OR(G276="",H276=""),"",G276&amp;"|"&amp;TEXT(H276,"000"))</x:f>
      </x:c>
      <x:c r="J276" s="21"/>
      <x:c r="K276" s="21"/>
      <x:c r="L276" s="21"/>
      <x:c r="M276" s="23"/>
      <x:c r="N276" s="23"/>
      <x:c r="O276" s="23"/>
      <x:c r="P276" s="21"/>
      <x:c r="Q276" s="29" t="str">
        <x:f>IF(P276="","",IFERROR(INDEX(DM_MA_LOI!$B$6:$B$105,MATCH(P276,DM_MA_LOI!$A$6:$A$105,0)),""))</x:f>
      </x:c>
      <x:c r="R276" s="29" t="str">
        <x:f>IF(P276="","",IFERROR(INDEX(DM_MA_LOI!$E$6:$E$105,MATCH(P276,DM_MA_LOI!$A$6:$A$105,0)),""))</x:f>
      </x:c>
      <x:c r="S276" s="29" t="str">
        <x:f>IF(P276="","",IFERROR(INDEX(DM_MA_LOI!$F$6:$F$105,MATCH(P276,DM_MA_LOI!$A$6:$A$105,0)),""))</x:f>
      </x:c>
      <x:c r="T276" s="21"/>
      <x:c r="U276" s="21"/>
      <x:c r="V276" s="21"/>
      <x:c r="W276" s="21"/>
      <x:c r="X276" s="21"/>
      <x:c r="Y276" s="21"/>
      <x:c r="Z276" s="21"/>
      <x:c r="AA276" s="29" t="str">
        <x:f>IF(A276="","",IF(OR(B276="",C276="",D276="",H276="",K276="",L276=""),"Thiếu dữ liệu",IF(M276&lt;&gt;N276+O276,"Sai cân đối SL",IF(AND(O276&gt;0,P276=""),"Thiếu mã lỗi","Hợp lệ"))))</x:f>
      </x:c>
    </x:row>
    <x:row r="277">
      <x:c r="A277" s="21"/>
      <x:c r="B277" s="43"/>
      <x:c r="C277" s="21"/>
      <x:c r="D277" s="21"/>
      <x:c r="E277" s="21"/>
      <x:c r="F277" s="21"/>
      <x:c r="G277" s="29" t="str">
        <x:f>IF(OR(C277="",D277=""),"",C277&amp;"|"&amp;D277&amp;"|"&amp;IF(E277="","00",E277)&amp;"|"&amp;IF(F277="","01",F277))</x:f>
      </x:c>
      <x:c r="H277" s="21"/>
      <x:c r="I277" s="29" t="str">
        <x:f>IF(OR(G277="",H277=""),"",G277&amp;"|"&amp;TEXT(H277,"000"))</x:f>
      </x:c>
      <x:c r="J277" s="21"/>
      <x:c r="K277" s="21"/>
      <x:c r="L277" s="21"/>
      <x:c r="M277" s="23"/>
      <x:c r="N277" s="23"/>
      <x:c r="O277" s="23"/>
      <x:c r="P277" s="21"/>
      <x:c r="Q277" s="29" t="str">
        <x:f>IF(P277="","",IFERROR(INDEX(DM_MA_LOI!$B$6:$B$105,MATCH(P277,DM_MA_LOI!$A$6:$A$105,0)),""))</x:f>
      </x:c>
      <x:c r="R277" s="29" t="str">
        <x:f>IF(P277="","",IFERROR(INDEX(DM_MA_LOI!$E$6:$E$105,MATCH(P277,DM_MA_LOI!$A$6:$A$105,0)),""))</x:f>
      </x:c>
      <x:c r="S277" s="29" t="str">
        <x:f>IF(P277="","",IFERROR(INDEX(DM_MA_LOI!$F$6:$F$105,MATCH(P277,DM_MA_LOI!$A$6:$A$105,0)),""))</x:f>
      </x:c>
      <x:c r="T277" s="21"/>
      <x:c r="U277" s="21"/>
      <x:c r="V277" s="21"/>
      <x:c r="W277" s="21"/>
      <x:c r="X277" s="21"/>
      <x:c r="Y277" s="21"/>
      <x:c r="Z277" s="21"/>
      <x:c r="AA277" s="29" t="str">
        <x:f>IF(A277="","",IF(OR(B277="",C277="",D277="",H277="",K277="",L277=""),"Thiếu dữ liệu",IF(M277&lt;&gt;N277+O277,"Sai cân đối SL",IF(AND(O277&gt;0,P277=""),"Thiếu mã lỗi","Hợp lệ"))))</x:f>
      </x:c>
    </x:row>
    <x:row r="278">
      <x:c r="A278" s="21"/>
      <x:c r="B278" s="43"/>
      <x:c r="C278" s="21"/>
      <x:c r="D278" s="21"/>
      <x:c r="E278" s="21"/>
      <x:c r="F278" s="21"/>
      <x:c r="G278" s="29" t="str">
        <x:f>IF(OR(C278="",D278=""),"",C278&amp;"|"&amp;D278&amp;"|"&amp;IF(E278="","00",E278)&amp;"|"&amp;IF(F278="","01",F278))</x:f>
      </x:c>
      <x:c r="H278" s="21"/>
      <x:c r="I278" s="29" t="str">
        <x:f>IF(OR(G278="",H278=""),"",G278&amp;"|"&amp;TEXT(H278,"000"))</x:f>
      </x:c>
      <x:c r="J278" s="21"/>
      <x:c r="K278" s="21"/>
      <x:c r="L278" s="21"/>
      <x:c r="M278" s="23"/>
      <x:c r="N278" s="23"/>
      <x:c r="O278" s="23"/>
      <x:c r="P278" s="21"/>
      <x:c r="Q278" s="29" t="str">
        <x:f>IF(P278="","",IFERROR(INDEX(DM_MA_LOI!$B$6:$B$105,MATCH(P278,DM_MA_LOI!$A$6:$A$105,0)),""))</x:f>
      </x:c>
      <x:c r="R278" s="29" t="str">
        <x:f>IF(P278="","",IFERROR(INDEX(DM_MA_LOI!$E$6:$E$105,MATCH(P278,DM_MA_LOI!$A$6:$A$105,0)),""))</x:f>
      </x:c>
      <x:c r="S278" s="29" t="str">
        <x:f>IF(P278="","",IFERROR(INDEX(DM_MA_LOI!$F$6:$F$105,MATCH(P278,DM_MA_LOI!$A$6:$A$105,0)),""))</x:f>
      </x:c>
      <x:c r="T278" s="21"/>
      <x:c r="U278" s="21"/>
      <x:c r="V278" s="21"/>
      <x:c r="W278" s="21"/>
      <x:c r="X278" s="21"/>
      <x:c r="Y278" s="21"/>
      <x:c r="Z278" s="21"/>
      <x:c r="AA278" s="29" t="str">
        <x:f>IF(A278="","",IF(OR(B278="",C278="",D278="",H278="",K278="",L278=""),"Thiếu dữ liệu",IF(M278&lt;&gt;N278+O278,"Sai cân đối SL",IF(AND(O278&gt;0,P278=""),"Thiếu mã lỗi","Hợp lệ"))))</x:f>
      </x:c>
    </x:row>
    <x:row r="279">
      <x:c r="A279" s="21"/>
      <x:c r="B279" s="43"/>
      <x:c r="C279" s="21"/>
      <x:c r="D279" s="21"/>
      <x:c r="E279" s="21"/>
      <x:c r="F279" s="21"/>
      <x:c r="G279" s="29" t="str">
        <x:f>IF(OR(C279="",D279=""),"",C279&amp;"|"&amp;D279&amp;"|"&amp;IF(E279="","00",E279)&amp;"|"&amp;IF(F279="","01",F279))</x:f>
      </x:c>
      <x:c r="H279" s="21"/>
      <x:c r="I279" s="29" t="str">
        <x:f>IF(OR(G279="",H279=""),"",G279&amp;"|"&amp;TEXT(H279,"000"))</x:f>
      </x:c>
      <x:c r="J279" s="21"/>
      <x:c r="K279" s="21"/>
      <x:c r="L279" s="21"/>
      <x:c r="M279" s="23"/>
      <x:c r="N279" s="23"/>
      <x:c r="O279" s="23"/>
      <x:c r="P279" s="21"/>
      <x:c r="Q279" s="29" t="str">
        <x:f>IF(P279="","",IFERROR(INDEX(DM_MA_LOI!$B$6:$B$105,MATCH(P279,DM_MA_LOI!$A$6:$A$105,0)),""))</x:f>
      </x:c>
      <x:c r="R279" s="29" t="str">
        <x:f>IF(P279="","",IFERROR(INDEX(DM_MA_LOI!$E$6:$E$105,MATCH(P279,DM_MA_LOI!$A$6:$A$105,0)),""))</x:f>
      </x:c>
      <x:c r="S279" s="29" t="str">
        <x:f>IF(P279="","",IFERROR(INDEX(DM_MA_LOI!$F$6:$F$105,MATCH(P279,DM_MA_LOI!$A$6:$A$105,0)),""))</x:f>
      </x:c>
      <x:c r="T279" s="21"/>
      <x:c r="U279" s="21"/>
      <x:c r="V279" s="21"/>
      <x:c r="W279" s="21"/>
      <x:c r="X279" s="21"/>
      <x:c r="Y279" s="21"/>
      <x:c r="Z279" s="21"/>
      <x:c r="AA279" s="29" t="str">
        <x:f>IF(A279="","",IF(OR(B279="",C279="",D279="",H279="",K279="",L279=""),"Thiếu dữ liệu",IF(M279&lt;&gt;N279+O279,"Sai cân đối SL",IF(AND(O279&gt;0,P279=""),"Thiếu mã lỗi","Hợp lệ"))))</x:f>
      </x:c>
    </x:row>
    <x:row r="280">
      <x:c r="A280" s="21"/>
      <x:c r="B280" s="43"/>
      <x:c r="C280" s="21"/>
      <x:c r="D280" s="21"/>
      <x:c r="E280" s="21"/>
      <x:c r="F280" s="21"/>
      <x:c r="G280" s="29" t="str">
        <x:f>IF(OR(C280="",D280=""),"",C280&amp;"|"&amp;D280&amp;"|"&amp;IF(E280="","00",E280)&amp;"|"&amp;IF(F280="","01",F280))</x:f>
      </x:c>
      <x:c r="H280" s="21"/>
      <x:c r="I280" s="29" t="str">
        <x:f>IF(OR(G280="",H280=""),"",G280&amp;"|"&amp;TEXT(H280,"000"))</x:f>
      </x:c>
      <x:c r="J280" s="21"/>
      <x:c r="K280" s="21"/>
      <x:c r="L280" s="21"/>
      <x:c r="M280" s="23"/>
      <x:c r="N280" s="23"/>
      <x:c r="O280" s="23"/>
      <x:c r="P280" s="21"/>
      <x:c r="Q280" s="29" t="str">
        <x:f>IF(P280="","",IFERROR(INDEX(DM_MA_LOI!$B$6:$B$105,MATCH(P280,DM_MA_LOI!$A$6:$A$105,0)),""))</x:f>
      </x:c>
      <x:c r="R280" s="29" t="str">
        <x:f>IF(P280="","",IFERROR(INDEX(DM_MA_LOI!$E$6:$E$105,MATCH(P280,DM_MA_LOI!$A$6:$A$105,0)),""))</x:f>
      </x:c>
      <x:c r="S280" s="29" t="str">
        <x:f>IF(P280="","",IFERROR(INDEX(DM_MA_LOI!$F$6:$F$105,MATCH(P280,DM_MA_LOI!$A$6:$A$105,0)),""))</x:f>
      </x:c>
      <x:c r="T280" s="21"/>
      <x:c r="U280" s="21"/>
      <x:c r="V280" s="21"/>
      <x:c r="W280" s="21"/>
      <x:c r="X280" s="21"/>
      <x:c r="Y280" s="21"/>
      <x:c r="Z280" s="21"/>
      <x:c r="AA280" s="29" t="str">
        <x:f>IF(A280="","",IF(OR(B280="",C280="",D280="",H280="",K280="",L280=""),"Thiếu dữ liệu",IF(M280&lt;&gt;N280+O280,"Sai cân đối SL",IF(AND(O280&gt;0,P280=""),"Thiếu mã lỗi","Hợp lệ"))))</x:f>
      </x:c>
    </x:row>
    <x:row r="281">
      <x:c r="A281" s="21"/>
      <x:c r="B281" s="43"/>
      <x:c r="C281" s="21"/>
      <x:c r="D281" s="21"/>
      <x:c r="E281" s="21"/>
      <x:c r="F281" s="21"/>
      <x:c r="G281" s="29" t="str">
        <x:f>IF(OR(C281="",D281=""),"",C281&amp;"|"&amp;D281&amp;"|"&amp;IF(E281="","00",E281)&amp;"|"&amp;IF(F281="","01",F281))</x:f>
      </x:c>
      <x:c r="H281" s="21"/>
      <x:c r="I281" s="29" t="str">
        <x:f>IF(OR(G281="",H281=""),"",G281&amp;"|"&amp;TEXT(H281,"000"))</x:f>
      </x:c>
      <x:c r="J281" s="21"/>
      <x:c r="K281" s="21"/>
      <x:c r="L281" s="21"/>
      <x:c r="M281" s="23"/>
      <x:c r="N281" s="23"/>
      <x:c r="O281" s="23"/>
      <x:c r="P281" s="21"/>
      <x:c r="Q281" s="29" t="str">
        <x:f>IF(P281="","",IFERROR(INDEX(DM_MA_LOI!$B$6:$B$105,MATCH(P281,DM_MA_LOI!$A$6:$A$105,0)),""))</x:f>
      </x:c>
      <x:c r="R281" s="29" t="str">
        <x:f>IF(P281="","",IFERROR(INDEX(DM_MA_LOI!$E$6:$E$105,MATCH(P281,DM_MA_LOI!$A$6:$A$105,0)),""))</x:f>
      </x:c>
      <x:c r="S281" s="29" t="str">
        <x:f>IF(P281="","",IFERROR(INDEX(DM_MA_LOI!$F$6:$F$105,MATCH(P281,DM_MA_LOI!$A$6:$A$105,0)),""))</x:f>
      </x:c>
      <x:c r="T281" s="21"/>
      <x:c r="U281" s="21"/>
      <x:c r="V281" s="21"/>
      <x:c r="W281" s="21"/>
      <x:c r="X281" s="21"/>
      <x:c r="Y281" s="21"/>
      <x:c r="Z281" s="21"/>
      <x:c r="AA281" s="29" t="str">
        <x:f>IF(A281="","",IF(OR(B281="",C281="",D281="",H281="",K281="",L281=""),"Thiếu dữ liệu",IF(M281&lt;&gt;N281+O281,"Sai cân đối SL",IF(AND(O281&gt;0,P281=""),"Thiếu mã lỗi","Hợp lệ"))))</x:f>
      </x:c>
    </x:row>
    <x:row r="282">
      <x:c r="A282" s="21"/>
      <x:c r="B282" s="43"/>
      <x:c r="C282" s="21"/>
      <x:c r="D282" s="21"/>
      <x:c r="E282" s="21"/>
      <x:c r="F282" s="21"/>
      <x:c r="G282" s="29" t="str">
        <x:f>IF(OR(C282="",D282=""),"",C282&amp;"|"&amp;D282&amp;"|"&amp;IF(E282="","00",E282)&amp;"|"&amp;IF(F282="","01",F282))</x:f>
      </x:c>
      <x:c r="H282" s="21"/>
      <x:c r="I282" s="29" t="str">
        <x:f>IF(OR(G282="",H282=""),"",G282&amp;"|"&amp;TEXT(H282,"000"))</x:f>
      </x:c>
      <x:c r="J282" s="21"/>
      <x:c r="K282" s="21"/>
      <x:c r="L282" s="21"/>
      <x:c r="M282" s="23"/>
      <x:c r="N282" s="23"/>
      <x:c r="O282" s="23"/>
      <x:c r="P282" s="21"/>
      <x:c r="Q282" s="29" t="str">
        <x:f>IF(P282="","",IFERROR(INDEX(DM_MA_LOI!$B$6:$B$105,MATCH(P282,DM_MA_LOI!$A$6:$A$105,0)),""))</x:f>
      </x:c>
      <x:c r="R282" s="29" t="str">
        <x:f>IF(P282="","",IFERROR(INDEX(DM_MA_LOI!$E$6:$E$105,MATCH(P282,DM_MA_LOI!$A$6:$A$105,0)),""))</x:f>
      </x:c>
      <x:c r="S282" s="29" t="str">
        <x:f>IF(P282="","",IFERROR(INDEX(DM_MA_LOI!$F$6:$F$105,MATCH(P282,DM_MA_LOI!$A$6:$A$105,0)),""))</x:f>
      </x:c>
      <x:c r="T282" s="21"/>
      <x:c r="U282" s="21"/>
      <x:c r="V282" s="21"/>
      <x:c r="W282" s="21"/>
      <x:c r="X282" s="21"/>
      <x:c r="Y282" s="21"/>
      <x:c r="Z282" s="21"/>
      <x:c r="AA282" s="29" t="str">
        <x:f>IF(A282="","",IF(OR(B282="",C282="",D282="",H282="",K282="",L282=""),"Thiếu dữ liệu",IF(M282&lt;&gt;N282+O282,"Sai cân đối SL",IF(AND(O282&gt;0,P282=""),"Thiếu mã lỗi","Hợp lệ"))))</x:f>
      </x:c>
    </x:row>
    <x:row r="283">
      <x:c r="A283" s="21"/>
      <x:c r="B283" s="43"/>
      <x:c r="C283" s="21"/>
      <x:c r="D283" s="21"/>
      <x:c r="E283" s="21"/>
      <x:c r="F283" s="21"/>
      <x:c r="G283" s="29" t="str">
        <x:f>IF(OR(C283="",D283=""),"",C283&amp;"|"&amp;D283&amp;"|"&amp;IF(E283="","00",E283)&amp;"|"&amp;IF(F283="","01",F283))</x:f>
      </x:c>
      <x:c r="H283" s="21"/>
      <x:c r="I283" s="29" t="str">
        <x:f>IF(OR(G283="",H283=""),"",G283&amp;"|"&amp;TEXT(H283,"000"))</x:f>
      </x:c>
      <x:c r="J283" s="21"/>
      <x:c r="K283" s="21"/>
      <x:c r="L283" s="21"/>
      <x:c r="M283" s="23"/>
      <x:c r="N283" s="23"/>
      <x:c r="O283" s="23"/>
      <x:c r="P283" s="21"/>
      <x:c r="Q283" s="29" t="str">
        <x:f>IF(P283="","",IFERROR(INDEX(DM_MA_LOI!$B$6:$B$105,MATCH(P283,DM_MA_LOI!$A$6:$A$105,0)),""))</x:f>
      </x:c>
      <x:c r="R283" s="29" t="str">
        <x:f>IF(P283="","",IFERROR(INDEX(DM_MA_LOI!$E$6:$E$105,MATCH(P283,DM_MA_LOI!$A$6:$A$105,0)),""))</x:f>
      </x:c>
      <x:c r="S283" s="29" t="str">
        <x:f>IF(P283="","",IFERROR(INDEX(DM_MA_LOI!$F$6:$F$105,MATCH(P283,DM_MA_LOI!$A$6:$A$105,0)),""))</x:f>
      </x:c>
      <x:c r="T283" s="21"/>
      <x:c r="U283" s="21"/>
      <x:c r="V283" s="21"/>
      <x:c r="W283" s="21"/>
      <x:c r="X283" s="21"/>
      <x:c r="Y283" s="21"/>
      <x:c r="Z283" s="21"/>
      <x:c r="AA283" s="29" t="str">
        <x:f>IF(A283="","",IF(OR(B283="",C283="",D283="",H283="",K283="",L283=""),"Thiếu dữ liệu",IF(M283&lt;&gt;N283+O283,"Sai cân đối SL",IF(AND(O283&gt;0,P283=""),"Thiếu mã lỗi","Hợp lệ"))))</x:f>
      </x:c>
    </x:row>
    <x:row r="284">
      <x:c r="A284" s="21"/>
      <x:c r="B284" s="43"/>
      <x:c r="C284" s="21"/>
      <x:c r="D284" s="21"/>
      <x:c r="E284" s="21"/>
      <x:c r="F284" s="21"/>
      <x:c r="G284" s="29" t="str">
        <x:f>IF(OR(C284="",D284=""),"",C284&amp;"|"&amp;D284&amp;"|"&amp;IF(E284="","00",E284)&amp;"|"&amp;IF(F284="","01",F284))</x:f>
      </x:c>
      <x:c r="H284" s="21"/>
      <x:c r="I284" s="29" t="str">
        <x:f>IF(OR(G284="",H284=""),"",G284&amp;"|"&amp;TEXT(H284,"000"))</x:f>
      </x:c>
      <x:c r="J284" s="21"/>
      <x:c r="K284" s="21"/>
      <x:c r="L284" s="21"/>
      <x:c r="M284" s="23"/>
      <x:c r="N284" s="23"/>
      <x:c r="O284" s="23"/>
      <x:c r="P284" s="21"/>
      <x:c r="Q284" s="29" t="str">
        <x:f>IF(P284="","",IFERROR(INDEX(DM_MA_LOI!$B$6:$B$105,MATCH(P284,DM_MA_LOI!$A$6:$A$105,0)),""))</x:f>
      </x:c>
      <x:c r="R284" s="29" t="str">
        <x:f>IF(P284="","",IFERROR(INDEX(DM_MA_LOI!$E$6:$E$105,MATCH(P284,DM_MA_LOI!$A$6:$A$105,0)),""))</x:f>
      </x:c>
      <x:c r="S284" s="29" t="str">
        <x:f>IF(P284="","",IFERROR(INDEX(DM_MA_LOI!$F$6:$F$105,MATCH(P284,DM_MA_LOI!$A$6:$A$105,0)),""))</x:f>
      </x:c>
      <x:c r="T284" s="21"/>
      <x:c r="U284" s="21"/>
      <x:c r="V284" s="21"/>
      <x:c r="W284" s="21"/>
      <x:c r="X284" s="21"/>
      <x:c r="Y284" s="21"/>
      <x:c r="Z284" s="21"/>
      <x:c r="AA284" s="29" t="str">
        <x:f>IF(A284="","",IF(OR(B284="",C284="",D284="",H284="",K284="",L284=""),"Thiếu dữ liệu",IF(M284&lt;&gt;N284+O284,"Sai cân đối SL",IF(AND(O284&gt;0,P284=""),"Thiếu mã lỗi","Hợp lệ"))))</x:f>
      </x:c>
    </x:row>
    <x:row r="285">
      <x:c r="A285" s="21"/>
      <x:c r="B285" s="43"/>
      <x:c r="C285" s="21"/>
      <x:c r="D285" s="21"/>
      <x:c r="E285" s="21"/>
      <x:c r="F285" s="21"/>
      <x:c r="G285" s="29" t="str">
        <x:f>IF(OR(C285="",D285=""),"",C285&amp;"|"&amp;D285&amp;"|"&amp;IF(E285="","00",E285)&amp;"|"&amp;IF(F285="","01",F285))</x:f>
      </x:c>
      <x:c r="H285" s="21"/>
      <x:c r="I285" s="29" t="str">
        <x:f>IF(OR(G285="",H285=""),"",G285&amp;"|"&amp;TEXT(H285,"000"))</x:f>
      </x:c>
      <x:c r="J285" s="21"/>
      <x:c r="K285" s="21"/>
      <x:c r="L285" s="21"/>
      <x:c r="M285" s="23"/>
      <x:c r="N285" s="23"/>
      <x:c r="O285" s="23"/>
      <x:c r="P285" s="21"/>
      <x:c r="Q285" s="29" t="str">
        <x:f>IF(P285="","",IFERROR(INDEX(DM_MA_LOI!$B$6:$B$105,MATCH(P285,DM_MA_LOI!$A$6:$A$105,0)),""))</x:f>
      </x:c>
      <x:c r="R285" s="29" t="str">
        <x:f>IF(P285="","",IFERROR(INDEX(DM_MA_LOI!$E$6:$E$105,MATCH(P285,DM_MA_LOI!$A$6:$A$105,0)),""))</x:f>
      </x:c>
      <x:c r="S285" s="29" t="str">
        <x:f>IF(P285="","",IFERROR(INDEX(DM_MA_LOI!$F$6:$F$105,MATCH(P285,DM_MA_LOI!$A$6:$A$105,0)),""))</x:f>
      </x:c>
      <x:c r="T285" s="21"/>
      <x:c r="U285" s="21"/>
      <x:c r="V285" s="21"/>
      <x:c r="W285" s="21"/>
      <x:c r="X285" s="21"/>
      <x:c r="Y285" s="21"/>
      <x:c r="Z285" s="21"/>
      <x:c r="AA285" s="29" t="str">
        <x:f>IF(A285="","",IF(OR(B285="",C285="",D285="",H285="",K285="",L285=""),"Thiếu dữ liệu",IF(M285&lt;&gt;N285+O285,"Sai cân đối SL",IF(AND(O285&gt;0,P285=""),"Thiếu mã lỗi","Hợp lệ"))))</x:f>
      </x:c>
    </x:row>
    <x:row r="286">
      <x:c r="A286" s="21"/>
      <x:c r="B286" s="43"/>
      <x:c r="C286" s="21"/>
      <x:c r="D286" s="21"/>
      <x:c r="E286" s="21"/>
      <x:c r="F286" s="21"/>
      <x:c r="G286" s="29" t="str">
        <x:f>IF(OR(C286="",D286=""),"",C286&amp;"|"&amp;D286&amp;"|"&amp;IF(E286="","00",E286)&amp;"|"&amp;IF(F286="","01",F286))</x:f>
      </x:c>
      <x:c r="H286" s="21"/>
      <x:c r="I286" s="29" t="str">
        <x:f>IF(OR(G286="",H286=""),"",G286&amp;"|"&amp;TEXT(H286,"000"))</x:f>
      </x:c>
      <x:c r="J286" s="21"/>
      <x:c r="K286" s="21"/>
      <x:c r="L286" s="21"/>
      <x:c r="M286" s="23"/>
      <x:c r="N286" s="23"/>
      <x:c r="O286" s="23"/>
      <x:c r="P286" s="21"/>
      <x:c r="Q286" s="29" t="str">
        <x:f>IF(P286="","",IFERROR(INDEX(DM_MA_LOI!$B$6:$B$105,MATCH(P286,DM_MA_LOI!$A$6:$A$105,0)),""))</x:f>
      </x:c>
      <x:c r="R286" s="29" t="str">
        <x:f>IF(P286="","",IFERROR(INDEX(DM_MA_LOI!$E$6:$E$105,MATCH(P286,DM_MA_LOI!$A$6:$A$105,0)),""))</x:f>
      </x:c>
      <x:c r="S286" s="29" t="str">
        <x:f>IF(P286="","",IFERROR(INDEX(DM_MA_LOI!$F$6:$F$105,MATCH(P286,DM_MA_LOI!$A$6:$A$105,0)),""))</x:f>
      </x:c>
      <x:c r="T286" s="21"/>
      <x:c r="U286" s="21"/>
      <x:c r="V286" s="21"/>
      <x:c r="W286" s="21"/>
      <x:c r="X286" s="21"/>
      <x:c r="Y286" s="21"/>
      <x:c r="Z286" s="21"/>
      <x:c r="AA286" s="29" t="str">
        <x:f>IF(A286="","",IF(OR(B286="",C286="",D286="",H286="",K286="",L286=""),"Thiếu dữ liệu",IF(M286&lt;&gt;N286+O286,"Sai cân đối SL",IF(AND(O286&gt;0,P286=""),"Thiếu mã lỗi","Hợp lệ"))))</x:f>
      </x:c>
    </x:row>
    <x:row r="287">
      <x:c r="A287" s="21"/>
      <x:c r="B287" s="43"/>
      <x:c r="C287" s="21"/>
      <x:c r="D287" s="21"/>
      <x:c r="E287" s="21"/>
      <x:c r="F287" s="21"/>
      <x:c r="G287" s="29" t="str">
        <x:f>IF(OR(C287="",D287=""),"",C287&amp;"|"&amp;D287&amp;"|"&amp;IF(E287="","00",E287)&amp;"|"&amp;IF(F287="","01",F287))</x:f>
      </x:c>
      <x:c r="H287" s="21"/>
      <x:c r="I287" s="29" t="str">
        <x:f>IF(OR(G287="",H287=""),"",G287&amp;"|"&amp;TEXT(H287,"000"))</x:f>
      </x:c>
      <x:c r="J287" s="21"/>
      <x:c r="K287" s="21"/>
      <x:c r="L287" s="21"/>
      <x:c r="M287" s="23"/>
      <x:c r="N287" s="23"/>
      <x:c r="O287" s="23"/>
      <x:c r="P287" s="21"/>
      <x:c r="Q287" s="29" t="str">
        <x:f>IF(P287="","",IFERROR(INDEX(DM_MA_LOI!$B$6:$B$105,MATCH(P287,DM_MA_LOI!$A$6:$A$105,0)),""))</x:f>
      </x:c>
      <x:c r="R287" s="29" t="str">
        <x:f>IF(P287="","",IFERROR(INDEX(DM_MA_LOI!$E$6:$E$105,MATCH(P287,DM_MA_LOI!$A$6:$A$105,0)),""))</x:f>
      </x:c>
      <x:c r="S287" s="29" t="str">
        <x:f>IF(P287="","",IFERROR(INDEX(DM_MA_LOI!$F$6:$F$105,MATCH(P287,DM_MA_LOI!$A$6:$A$105,0)),""))</x:f>
      </x:c>
      <x:c r="T287" s="21"/>
      <x:c r="U287" s="21"/>
      <x:c r="V287" s="21"/>
      <x:c r="W287" s="21"/>
      <x:c r="X287" s="21"/>
      <x:c r="Y287" s="21"/>
      <x:c r="Z287" s="21"/>
      <x:c r="AA287" s="29" t="str">
        <x:f>IF(A287="","",IF(OR(B287="",C287="",D287="",H287="",K287="",L287=""),"Thiếu dữ liệu",IF(M287&lt;&gt;N287+O287,"Sai cân đối SL",IF(AND(O287&gt;0,P287=""),"Thiếu mã lỗi","Hợp lệ"))))</x:f>
      </x:c>
    </x:row>
    <x:row r="288">
      <x:c r="A288" s="21"/>
      <x:c r="B288" s="43"/>
      <x:c r="C288" s="21"/>
      <x:c r="D288" s="21"/>
      <x:c r="E288" s="21"/>
      <x:c r="F288" s="21"/>
      <x:c r="G288" s="29" t="str">
        <x:f>IF(OR(C288="",D288=""),"",C288&amp;"|"&amp;D288&amp;"|"&amp;IF(E288="","00",E288)&amp;"|"&amp;IF(F288="","01",F288))</x:f>
      </x:c>
      <x:c r="H288" s="21"/>
      <x:c r="I288" s="29" t="str">
        <x:f>IF(OR(G288="",H288=""),"",G288&amp;"|"&amp;TEXT(H288,"000"))</x:f>
      </x:c>
      <x:c r="J288" s="21"/>
      <x:c r="K288" s="21"/>
      <x:c r="L288" s="21"/>
      <x:c r="M288" s="23"/>
      <x:c r="N288" s="23"/>
      <x:c r="O288" s="23"/>
      <x:c r="P288" s="21"/>
      <x:c r="Q288" s="29" t="str">
        <x:f>IF(P288="","",IFERROR(INDEX(DM_MA_LOI!$B$6:$B$105,MATCH(P288,DM_MA_LOI!$A$6:$A$105,0)),""))</x:f>
      </x:c>
      <x:c r="R288" s="29" t="str">
        <x:f>IF(P288="","",IFERROR(INDEX(DM_MA_LOI!$E$6:$E$105,MATCH(P288,DM_MA_LOI!$A$6:$A$105,0)),""))</x:f>
      </x:c>
      <x:c r="S288" s="29" t="str">
        <x:f>IF(P288="","",IFERROR(INDEX(DM_MA_LOI!$F$6:$F$105,MATCH(P288,DM_MA_LOI!$A$6:$A$105,0)),""))</x:f>
      </x:c>
      <x:c r="T288" s="21"/>
      <x:c r="U288" s="21"/>
      <x:c r="V288" s="21"/>
      <x:c r="W288" s="21"/>
      <x:c r="X288" s="21"/>
      <x:c r="Y288" s="21"/>
      <x:c r="Z288" s="21"/>
      <x:c r="AA288" s="29" t="str">
        <x:f>IF(A288="","",IF(OR(B288="",C288="",D288="",H288="",K288="",L288=""),"Thiếu dữ liệu",IF(M288&lt;&gt;N288+O288,"Sai cân đối SL",IF(AND(O288&gt;0,P288=""),"Thiếu mã lỗi","Hợp lệ"))))</x:f>
      </x:c>
    </x:row>
    <x:row r="289">
      <x:c r="A289" s="21"/>
      <x:c r="B289" s="43"/>
      <x:c r="C289" s="21"/>
      <x:c r="D289" s="21"/>
      <x:c r="E289" s="21"/>
      <x:c r="F289" s="21"/>
      <x:c r="G289" s="29" t="str">
        <x:f>IF(OR(C289="",D289=""),"",C289&amp;"|"&amp;D289&amp;"|"&amp;IF(E289="","00",E289)&amp;"|"&amp;IF(F289="","01",F289))</x:f>
      </x:c>
      <x:c r="H289" s="21"/>
      <x:c r="I289" s="29" t="str">
        <x:f>IF(OR(G289="",H289=""),"",G289&amp;"|"&amp;TEXT(H289,"000"))</x:f>
      </x:c>
      <x:c r="J289" s="21"/>
      <x:c r="K289" s="21"/>
      <x:c r="L289" s="21"/>
      <x:c r="M289" s="23"/>
      <x:c r="N289" s="23"/>
      <x:c r="O289" s="23"/>
      <x:c r="P289" s="21"/>
      <x:c r="Q289" s="29" t="str">
        <x:f>IF(P289="","",IFERROR(INDEX(DM_MA_LOI!$B$6:$B$105,MATCH(P289,DM_MA_LOI!$A$6:$A$105,0)),""))</x:f>
      </x:c>
      <x:c r="R289" s="29" t="str">
        <x:f>IF(P289="","",IFERROR(INDEX(DM_MA_LOI!$E$6:$E$105,MATCH(P289,DM_MA_LOI!$A$6:$A$105,0)),""))</x:f>
      </x:c>
      <x:c r="S289" s="29" t="str">
        <x:f>IF(P289="","",IFERROR(INDEX(DM_MA_LOI!$F$6:$F$105,MATCH(P289,DM_MA_LOI!$A$6:$A$105,0)),""))</x:f>
      </x:c>
      <x:c r="T289" s="21"/>
      <x:c r="U289" s="21"/>
      <x:c r="V289" s="21"/>
      <x:c r="W289" s="21"/>
      <x:c r="X289" s="21"/>
      <x:c r="Y289" s="21"/>
      <x:c r="Z289" s="21"/>
      <x:c r="AA289" s="29" t="str">
        <x:f>IF(A289="","",IF(OR(B289="",C289="",D289="",H289="",K289="",L289=""),"Thiếu dữ liệu",IF(M289&lt;&gt;N289+O289,"Sai cân đối SL",IF(AND(O289&gt;0,P289=""),"Thiếu mã lỗi","Hợp lệ"))))</x:f>
      </x:c>
    </x:row>
    <x:row r="290">
      <x:c r="A290" s="21"/>
      <x:c r="B290" s="43"/>
      <x:c r="C290" s="21"/>
      <x:c r="D290" s="21"/>
      <x:c r="E290" s="21"/>
      <x:c r="F290" s="21"/>
      <x:c r="G290" s="29" t="str">
        <x:f>IF(OR(C290="",D290=""),"",C290&amp;"|"&amp;D290&amp;"|"&amp;IF(E290="","00",E290)&amp;"|"&amp;IF(F290="","01",F290))</x:f>
      </x:c>
      <x:c r="H290" s="21"/>
      <x:c r="I290" s="29" t="str">
        <x:f>IF(OR(G290="",H290=""),"",G290&amp;"|"&amp;TEXT(H290,"000"))</x:f>
      </x:c>
      <x:c r="J290" s="21"/>
      <x:c r="K290" s="21"/>
      <x:c r="L290" s="21"/>
      <x:c r="M290" s="23"/>
      <x:c r="N290" s="23"/>
      <x:c r="O290" s="23"/>
      <x:c r="P290" s="21"/>
      <x:c r="Q290" s="29" t="str">
        <x:f>IF(P290="","",IFERROR(INDEX(DM_MA_LOI!$B$6:$B$105,MATCH(P290,DM_MA_LOI!$A$6:$A$105,0)),""))</x:f>
      </x:c>
      <x:c r="R290" s="29" t="str">
        <x:f>IF(P290="","",IFERROR(INDEX(DM_MA_LOI!$E$6:$E$105,MATCH(P290,DM_MA_LOI!$A$6:$A$105,0)),""))</x:f>
      </x:c>
      <x:c r="S290" s="29" t="str">
        <x:f>IF(P290="","",IFERROR(INDEX(DM_MA_LOI!$F$6:$F$105,MATCH(P290,DM_MA_LOI!$A$6:$A$105,0)),""))</x:f>
      </x:c>
      <x:c r="T290" s="21"/>
      <x:c r="U290" s="21"/>
      <x:c r="V290" s="21"/>
      <x:c r="W290" s="21"/>
      <x:c r="X290" s="21"/>
      <x:c r="Y290" s="21"/>
      <x:c r="Z290" s="21"/>
      <x:c r="AA290" s="29" t="str">
        <x:f>IF(A290="","",IF(OR(B290="",C290="",D290="",H290="",K290="",L290=""),"Thiếu dữ liệu",IF(M290&lt;&gt;N290+O290,"Sai cân đối SL",IF(AND(O290&gt;0,P290=""),"Thiếu mã lỗi","Hợp lệ"))))</x:f>
      </x:c>
    </x:row>
    <x:row r="291">
      <x:c r="A291" s="21"/>
      <x:c r="B291" s="43"/>
      <x:c r="C291" s="21"/>
      <x:c r="D291" s="21"/>
      <x:c r="E291" s="21"/>
      <x:c r="F291" s="21"/>
      <x:c r="G291" s="29" t="str">
        <x:f>IF(OR(C291="",D291=""),"",C291&amp;"|"&amp;D291&amp;"|"&amp;IF(E291="","00",E291)&amp;"|"&amp;IF(F291="","01",F291))</x:f>
      </x:c>
      <x:c r="H291" s="21"/>
      <x:c r="I291" s="29" t="str">
        <x:f>IF(OR(G291="",H291=""),"",G291&amp;"|"&amp;TEXT(H291,"000"))</x:f>
      </x:c>
      <x:c r="J291" s="21"/>
      <x:c r="K291" s="21"/>
      <x:c r="L291" s="21"/>
      <x:c r="M291" s="23"/>
      <x:c r="N291" s="23"/>
      <x:c r="O291" s="23"/>
      <x:c r="P291" s="21"/>
      <x:c r="Q291" s="29" t="str">
        <x:f>IF(P291="","",IFERROR(INDEX(DM_MA_LOI!$B$6:$B$105,MATCH(P291,DM_MA_LOI!$A$6:$A$105,0)),""))</x:f>
      </x:c>
      <x:c r="R291" s="29" t="str">
        <x:f>IF(P291="","",IFERROR(INDEX(DM_MA_LOI!$E$6:$E$105,MATCH(P291,DM_MA_LOI!$A$6:$A$105,0)),""))</x:f>
      </x:c>
      <x:c r="S291" s="29" t="str">
        <x:f>IF(P291="","",IFERROR(INDEX(DM_MA_LOI!$F$6:$F$105,MATCH(P291,DM_MA_LOI!$A$6:$A$105,0)),""))</x:f>
      </x:c>
      <x:c r="T291" s="21"/>
      <x:c r="U291" s="21"/>
      <x:c r="V291" s="21"/>
      <x:c r="W291" s="21"/>
      <x:c r="X291" s="21"/>
      <x:c r="Y291" s="21"/>
      <x:c r="Z291" s="21"/>
      <x:c r="AA291" s="29" t="str">
        <x:f>IF(A291="","",IF(OR(B291="",C291="",D291="",H291="",K291="",L291=""),"Thiếu dữ liệu",IF(M291&lt;&gt;N291+O291,"Sai cân đối SL",IF(AND(O291&gt;0,P291=""),"Thiếu mã lỗi","Hợp lệ"))))</x:f>
      </x:c>
    </x:row>
    <x:row r="292">
      <x:c r="A292" s="21"/>
      <x:c r="B292" s="43"/>
      <x:c r="C292" s="21"/>
      <x:c r="D292" s="21"/>
      <x:c r="E292" s="21"/>
      <x:c r="F292" s="21"/>
      <x:c r="G292" s="29" t="str">
        <x:f>IF(OR(C292="",D292=""),"",C292&amp;"|"&amp;D292&amp;"|"&amp;IF(E292="","00",E292)&amp;"|"&amp;IF(F292="","01",F292))</x:f>
      </x:c>
      <x:c r="H292" s="21"/>
      <x:c r="I292" s="29" t="str">
        <x:f>IF(OR(G292="",H292=""),"",G292&amp;"|"&amp;TEXT(H292,"000"))</x:f>
      </x:c>
      <x:c r="J292" s="21"/>
      <x:c r="K292" s="21"/>
      <x:c r="L292" s="21"/>
      <x:c r="M292" s="23"/>
      <x:c r="N292" s="23"/>
      <x:c r="O292" s="23"/>
      <x:c r="P292" s="21"/>
      <x:c r="Q292" s="29" t="str">
        <x:f>IF(P292="","",IFERROR(INDEX(DM_MA_LOI!$B$6:$B$105,MATCH(P292,DM_MA_LOI!$A$6:$A$105,0)),""))</x:f>
      </x:c>
      <x:c r="R292" s="29" t="str">
        <x:f>IF(P292="","",IFERROR(INDEX(DM_MA_LOI!$E$6:$E$105,MATCH(P292,DM_MA_LOI!$A$6:$A$105,0)),""))</x:f>
      </x:c>
      <x:c r="S292" s="29" t="str">
        <x:f>IF(P292="","",IFERROR(INDEX(DM_MA_LOI!$F$6:$F$105,MATCH(P292,DM_MA_LOI!$A$6:$A$105,0)),""))</x:f>
      </x:c>
      <x:c r="T292" s="21"/>
      <x:c r="U292" s="21"/>
      <x:c r="V292" s="21"/>
      <x:c r="W292" s="21"/>
      <x:c r="X292" s="21"/>
      <x:c r="Y292" s="21"/>
      <x:c r="Z292" s="21"/>
      <x:c r="AA292" s="29" t="str">
        <x:f>IF(A292="","",IF(OR(B292="",C292="",D292="",H292="",K292="",L292=""),"Thiếu dữ liệu",IF(M292&lt;&gt;N292+O292,"Sai cân đối SL",IF(AND(O292&gt;0,P292=""),"Thiếu mã lỗi","Hợp lệ"))))</x:f>
      </x:c>
    </x:row>
    <x:row r="293">
      <x:c r="A293" s="21"/>
      <x:c r="B293" s="43"/>
      <x:c r="C293" s="21"/>
      <x:c r="D293" s="21"/>
      <x:c r="E293" s="21"/>
      <x:c r="F293" s="21"/>
      <x:c r="G293" s="29" t="str">
        <x:f>IF(OR(C293="",D293=""),"",C293&amp;"|"&amp;D293&amp;"|"&amp;IF(E293="","00",E293)&amp;"|"&amp;IF(F293="","01",F293))</x:f>
      </x:c>
      <x:c r="H293" s="21"/>
      <x:c r="I293" s="29" t="str">
        <x:f>IF(OR(G293="",H293=""),"",G293&amp;"|"&amp;TEXT(H293,"000"))</x:f>
      </x:c>
      <x:c r="J293" s="21"/>
      <x:c r="K293" s="21"/>
      <x:c r="L293" s="21"/>
      <x:c r="M293" s="23"/>
      <x:c r="N293" s="23"/>
      <x:c r="O293" s="23"/>
      <x:c r="P293" s="21"/>
      <x:c r="Q293" s="29" t="str">
        <x:f>IF(P293="","",IFERROR(INDEX(DM_MA_LOI!$B$6:$B$105,MATCH(P293,DM_MA_LOI!$A$6:$A$105,0)),""))</x:f>
      </x:c>
      <x:c r="R293" s="29" t="str">
        <x:f>IF(P293="","",IFERROR(INDEX(DM_MA_LOI!$E$6:$E$105,MATCH(P293,DM_MA_LOI!$A$6:$A$105,0)),""))</x:f>
      </x:c>
      <x:c r="S293" s="29" t="str">
        <x:f>IF(P293="","",IFERROR(INDEX(DM_MA_LOI!$F$6:$F$105,MATCH(P293,DM_MA_LOI!$A$6:$A$105,0)),""))</x:f>
      </x:c>
      <x:c r="T293" s="21"/>
      <x:c r="U293" s="21"/>
      <x:c r="V293" s="21"/>
      <x:c r="W293" s="21"/>
      <x:c r="X293" s="21"/>
      <x:c r="Y293" s="21"/>
      <x:c r="Z293" s="21"/>
      <x:c r="AA293" s="29" t="str">
        <x:f>IF(A293="","",IF(OR(B293="",C293="",D293="",H293="",K293="",L293=""),"Thiếu dữ liệu",IF(M293&lt;&gt;N293+O293,"Sai cân đối SL",IF(AND(O293&gt;0,P293=""),"Thiếu mã lỗi","Hợp lệ"))))</x:f>
      </x:c>
    </x:row>
    <x:row r="294">
      <x:c r="A294" s="21"/>
      <x:c r="B294" s="43"/>
      <x:c r="C294" s="21"/>
      <x:c r="D294" s="21"/>
      <x:c r="E294" s="21"/>
      <x:c r="F294" s="21"/>
      <x:c r="G294" s="29" t="str">
        <x:f>IF(OR(C294="",D294=""),"",C294&amp;"|"&amp;D294&amp;"|"&amp;IF(E294="","00",E294)&amp;"|"&amp;IF(F294="","01",F294))</x:f>
      </x:c>
      <x:c r="H294" s="21"/>
      <x:c r="I294" s="29" t="str">
        <x:f>IF(OR(G294="",H294=""),"",G294&amp;"|"&amp;TEXT(H294,"000"))</x:f>
      </x:c>
      <x:c r="J294" s="21"/>
      <x:c r="K294" s="21"/>
      <x:c r="L294" s="21"/>
      <x:c r="M294" s="23"/>
      <x:c r="N294" s="23"/>
      <x:c r="O294" s="23"/>
      <x:c r="P294" s="21"/>
      <x:c r="Q294" s="29" t="str">
        <x:f>IF(P294="","",IFERROR(INDEX(DM_MA_LOI!$B$6:$B$105,MATCH(P294,DM_MA_LOI!$A$6:$A$105,0)),""))</x:f>
      </x:c>
      <x:c r="R294" s="29" t="str">
        <x:f>IF(P294="","",IFERROR(INDEX(DM_MA_LOI!$E$6:$E$105,MATCH(P294,DM_MA_LOI!$A$6:$A$105,0)),""))</x:f>
      </x:c>
      <x:c r="S294" s="29" t="str">
        <x:f>IF(P294="","",IFERROR(INDEX(DM_MA_LOI!$F$6:$F$105,MATCH(P294,DM_MA_LOI!$A$6:$A$105,0)),""))</x:f>
      </x:c>
      <x:c r="T294" s="21"/>
      <x:c r="U294" s="21"/>
      <x:c r="V294" s="21"/>
      <x:c r="W294" s="21"/>
      <x:c r="X294" s="21"/>
      <x:c r="Y294" s="21"/>
      <x:c r="Z294" s="21"/>
      <x:c r="AA294" s="29" t="str">
        <x:f>IF(A294="","",IF(OR(B294="",C294="",D294="",H294="",K294="",L294=""),"Thiếu dữ liệu",IF(M294&lt;&gt;N294+O294,"Sai cân đối SL",IF(AND(O294&gt;0,P294=""),"Thiếu mã lỗi","Hợp lệ"))))</x:f>
      </x:c>
    </x:row>
    <x:row r="295">
      <x:c r="A295" s="21"/>
      <x:c r="B295" s="43"/>
      <x:c r="C295" s="21"/>
      <x:c r="D295" s="21"/>
      <x:c r="E295" s="21"/>
      <x:c r="F295" s="21"/>
      <x:c r="G295" s="29" t="str">
        <x:f>IF(OR(C295="",D295=""),"",C295&amp;"|"&amp;D295&amp;"|"&amp;IF(E295="","00",E295)&amp;"|"&amp;IF(F295="","01",F295))</x:f>
      </x:c>
      <x:c r="H295" s="21"/>
      <x:c r="I295" s="29" t="str">
        <x:f>IF(OR(G295="",H295=""),"",G295&amp;"|"&amp;TEXT(H295,"000"))</x:f>
      </x:c>
      <x:c r="J295" s="21"/>
      <x:c r="K295" s="21"/>
      <x:c r="L295" s="21"/>
      <x:c r="M295" s="23"/>
      <x:c r="N295" s="23"/>
      <x:c r="O295" s="23"/>
      <x:c r="P295" s="21"/>
      <x:c r="Q295" s="29" t="str">
        <x:f>IF(P295="","",IFERROR(INDEX(DM_MA_LOI!$B$6:$B$105,MATCH(P295,DM_MA_LOI!$A$6:$A$105,0)),""))</x:f>
      </x:c>
      <x:c r="R295" s="29" t="str">
        <x:f>IF(P295="","",IFERROR(INDEX(DM_MA_LOI!$E$6:$E$105,MATCH(P295,DM_MA_LOI!$A$6:$A$105,0)),""))</x:f>
      </x:c>
      <x:c r="S295" s="29" t="str">
        <x:f>IF(P295="","",IFERROR(INDEX(DM_MA_LOI!$F$6:$F$105,MATCH(P295,DM_MA_LOI!$A$6:$A$105,0)),""))</x:f>
      </x:c>
      <x:c r="T295" s="21"/>
      <x:c r="U295" s="21"/>
      <x:c r="V295" s="21"/>
      <x:c r="W295" s="21"/>
      <x:c r="X295" s="21"/>
      <x:c r="Y295" s="21"/>
      <x:c r="Z295" s="21"/>
      <x:c r="AA295" s="29" t="str">
        <x:f>IF(A295="","",IF(OR(B295="",C295="",D295="",H295="",K295="",L295=""),"Thiếu dữ liệu",IF(M295&lt;&gt;N295+O295,"Sai cân đối SL",IF(AND(O295&gt;0,P295=""),"Thiếu mã lỗi","Hợp lệ"))))</x:f>
      </x:c>
    </x:row>
    <x:row r="296">
      <x:c r="A296" s="21"/>
      <x:c r="B296" s="43"/>
      <x:c r="C296" s="21"/>
      <x:c r="D296" s="21"/>
      <x:c r="E296" s="21"/>
      <x:c r="F296" s="21"/>
      <x:c r="G296" s="29" t="str">
        <x:f>IF(OR(C296="",D296=""),"",C296&amp;"|"&amp;D296&amp;"|"&amp;IF(E296="","00",E296)&amp;"|"&amp;IF(F296="","01",F296))</x:f>
      </x:c>
      <x:c r="H296" s="21"/>
      <x:c r="I296" s="29" t="str">
        <x:f>IF(OR(G296="",H296=""),"",G296&amp;"|"&amp;TEXT(H296,"000"))</x:f>
      </x:c>
      <x:c r="J296" s="21"/>
      <x:c r="K296" s="21"/>
      <x:c r="L296" s="21"/>
      <x:c r="M296" s="23"/>
      <x:c r="N296" s="23"/>
      <x:c r="O296" s="23"/>
      <x:c r="P296" s="21"/>
      <x:c r="Q296" s="29" t="str">
        <x:f>IF(P296="","",IFERROR(INDEX(DM_MA_LOI!$B$6:$B$105,MATCH(P296,DM_MA_LOI!$A$6:$A$105,0)),""))</x:f>
      </x:c>
      <x:c r="R296" s="29" t="str">
        <x:f>IF(P296="","",IFERROR(INDEX(DM_MA_LOI!$E$6:$E$105,MATCH(P296,DM_MA_LOI!$A$6:$A$105,0)),""))</x:f>
      </x:c>
      <x:c r="S296" s="29" t="str">
        <x:f>IF(P296="","",IFERROR(INDEX(DM_MA_LOI!$F$6:$F$105,MATCH(P296,DM_MA_LOI!$A$6:$A$105,0)),""))</x:f>
      </x:c>
      <x:c r="T296" s="21"/>
      <x:c r="U296" s="21"/>
      <x:c r="V296" s="21"/>
      <x:c r="W296" s="21"/>
      <x:c r="X296" s="21"/>
      <x:c r="Y296" s="21"/>
      <x:c r="Z296" s="21"/>
      <x:c r="AA296" s="29" t="str">
        <x:f>IF(A296="","",IF(OR(B296="",C296="",D296="",H296="",K296="",L296=""),"Thiếu dữ liệu",IF(M296&lt;&gt;N296+O296,"Sai cân đối SL",IF(AND(O296&gt;0,P296=""),"Thiếu mã lỗi","Hợp lệ"))))</x:f>
      </x:c>
    </x:row>
    <x:row r="297">
      <x:c r="A297" s="21"/>
      <x:c r="B297" s="43"/>
      <x:c r="C297" s="21"/>
      <x:c r="D297" s="21"/>
      <x:c r="E297" s="21"/>
      <x:c r="F297" s="21"/>
      <x:c r="G297" s="29" t="str">
        <x:f>IF(OR(C297="",D297=""),"",C297&amp;"|"&amp;D297&amp;"|"&amp;IF(E297="","00",E297)&amp;"|"&amp;IF(F297="","01",F297))</x:f>
      </x:c>
      <x:c r="H297" s="21"/>
      <x:c r="I297" s="29" t="str">
        <x:f>IF(OR(G297="",H297=""),"",G297&amp;"|"&amp;TEXT(H297,"000"))</x:f>
      </x:c>
      <x:c r="J297" s="21"/>
      <x:c r="K297" s="21"/>
      <x:c r="L297" s="21"/>
      <x:c r="M297" s="23"/>
      <x:c r="N297" s="23"/>
      <x:c r="O297" s="23"/>
      <x:c r="P297" s="21"/>
      <x:c r="Q297" s="29" t="str">
        <x:f>IF(P297="","",IFERROR(INDEX(DM_MA_LOI!$B$6:$B$105,MATCH(P297,DM_MA_LOI!$A$6:$A$105,0)),""))</x:f>
      </x:c>
      <x:c r="R297" s="29" t="str">
        <x:f>IF(P297="","",IFERROR(INDEX(DM_MA_LOI!$E$6:$E$105,MATCH(P297,DM_MA_LOI!$A$6:$A$105,0)),""))</x:f>
      </x:c>
      <x:c r="S297" s="29" t="str">
        <x:f>IF(P297="","",IFERROR(INDEX(DM_MA_LOI!$F$6:$F$105,MATCH(P297,DM_MA_LOI!$A$6:$A$105,0)),""))</x:f>
      </x:c>
      <x:c r="T297" s="21"/>
      <x:c r="U297" s="21"/>
      <x:c r="V297" s="21"/>
      <x:c r="W297" s="21"/>
      <x:c r="X297" s="21"/>
      <x:c r="Y297" s="21"/>
      <x:c r="Z297" s="21"/>
      <x:c r="AA297" s="29" t="str">
        <x:f>IF(A297="","",IF(OR(B297="",C297="",D297="",H297="",K297="",L297=""),"Thiếu dữ liệu",IF(M297&lt;&gt;N297+O297,"Sai cân đối SL",IF(AND(O297&gt;0,P297=""),"Thiếu mã lỗi","Hợp lệ"))))</x:f>
      </x:c>
    </x:row>
    <x:row r="298">
      <x:c r="A298" s="21"/>
      <x:c r="B298" s="43"/>
      <x:c r="C298" s="21"/>
      <x:c r="D298" s="21"/>
      <x:c r="E298" s="21"/>
      <x:c r="F298" s="21"/>
      <x:c r="G298" s="29" t="str">
        <x:f>IF(OR(C298="",D298=""),"",C298&amp;"|"&amp;D298&amp;"|"&amp;IF(E298="","00",E298)&amp;"|"&amp;IF(F298="","01",F298))</x:f>
      </x:c>
      <x:c r="H298" s="21"/>
      <x:c r="I298" s="29" t="str">
        <x:f>IF(OR(G298="",H298=""),"",G298&amp;"|"&amp;TEXT(H298,"000"))</x:f>
      </x:c>
      <x:c r="J298" s="21"/>
      <x:c r="K298" s="21"/>
      <x:c r="L298" s="21"/>
      <x:c r="M298" s="23"/>
      <x:c r="N298" s="23"/>
      <x:c r="O298" s="23"/>
      <x:c r="P298" s="21"/>
      <x:c r="Q298" s="29" t="str">
        <x:f>IF(P298="","",IFERROR(INDEX(DM_MA_LOI!$B$6:$B$105,MATCH(P298,DM_MA_LOI!$A$6:$A$105,0)),""))</x:f>
      </x:c>
      <x:c r="R298" s="29" t="str">
        <x:f>IF(P298="","",IFERROR(INDEX(DM_MA_LOI!$E$6:$E$105,MATCH(P298,DM_MA_LOI!$A$6:$A$105,0)),""))</x:f>
      </x:c>
      <x:c r="S298" s="29" t="str">
        <x:f>IF(P298="","",IFERROR(INDEX(DM_MA_LOI!$F$6:$F$105,MATCH(P298,DM_MA_LOI!$A$6:$A$105,0)),""))</x:f>
      </x:c>
      <x:c r="T298" s="21"/>
      <x:c r="U298" s="21"/>
      <x:c r="V298" s="21"/>
      <x:c r="W298" s="21"/>
      <x:c r="X298" s="21"/>
      <x:c r="Y298" s="21"/>
      <x:c r="Z298" s="21"/>
      <x:c r="AA298" s="29" t="str">
        <x:f>IF(A298="","",IF(OR(B298="",C298="",D298="",H298="",K298="",L298=""),"Thiếu dữ liệu",IF(M298&lt;&gt;N298+O298,"Sai cân đối SL",IF(AND(O298&gt;0,P298=""),"Thiếu mã lỗi","Hợp lệ"))))</x:f>
      </x:c>
    </x:row>
    <x:row r="299">
      <x:c r="A299" s="21"/>
      <x:c r="B299" s="43"/>
      <x:c r="C299" s="21"/>
      <x:c r="D299" s="21"/>
      <x:c r="E299" s="21"/>
      <x:c r="F299" s="21"/>
      <x:c r="G299" s="29" t="str">
        <x:f>IF(OR(C299="",D299=""),"",C299&amp;"|"&amp;D299&amp;"|"&amp;IF(E299="","00",E299)&amp;"|"&amp;IF(F299="","01",F299))</x:f>
      </x:c>
      <x:c r="H299" s="21"/>
      <x:c r="I299" s="29" t="str">
        <x:f>IF(OR(G299="",H299=""),"",G299&amp;"|"&amp;TEXT(H299,"000"))</x:f>
      </x:c>
      <x:c r="J299" s="21"/>
      <x:c r="K299" s="21"/>
      <x:c r="L299" s="21"/>
      <x:c r="M299" s="23"/>
      <x:c r="N299" s="23"/>
      <x:c r="O299" s="23"/>
      <x:c r="P299" s="21"/>
      <x:c r="Q299" s="29" t="str">
        <x:f>IF(P299="","",IFERROR(INDEX(DM_MA_LOI!$B$6:$B$105,MATCH(P299,DM_MA_LOI!$A$6:$A$105,0)),""))</x:f>
      </x:c>
      <x:c r="R299" s="29" t="str">
        <x:f>IF(P299="","",IFERROR(INDEX(DM_MA_LOI!$E$6:$E$105,MATCH(P299,DM_MA_LOI!$A$6:$A$105,0)),""))</x:f>
      </x:c>
      <x:c r="S299" s="29" t="str">
        <x:f>IF(P299="","",IFERROR(INDEX(DM_MA_LOI!$F$6:$F$105,MATCH(P299,DM_MA_LOI!$A$6:$A$105,0)),""))</x:f>
      </x:c>
      <x:c r="T299" s="21"/>
      <x:c r="U299" s="21"/>
      <x:c r="V299" s="21"/>
      <x:c r="W299" s="21"/>
      <x:c r="X299" s="21"/>
      <x:c r="Y299" s="21"/>
      <x:c r="Z299" s="21"/>
      <x:c r="AA299" s="29" t="str">
        <x:f>IF(A299="","",IF(OR(B299="",C299="",D299="",H299="",K299="",L299=""),"Thiếu dữ liệu",IF(M299&lt;&gt;N299+O299,"Sai cân đối SL",IF(AND(O299&gt;0,P299=""),"Thiếu mã lỗi","Hợp lệ"))))</x:f>
      </x:c>
    </x:row>
    <x:row r="300">
      <x:c r="A300" s="21"/>
      <x:c r="B300" s="43"/>
      <x:c r="C300" s="21"/>
      <x:c r="D300" s="21"/>
      <x:c r="E300" s="21"/>
      <x:c r="F300" s="21"/>
      <x:c r="G300" s="29" t="str">
        <x:f>IF(OR(C300="",D300=""),"",C300&amp;"|"&amp;D300&amp;"|"&amp;IF(E300="","00",E300)&amp;"|"&amp;IF(F300="","01",F300))</x:f>
      </x:c>
      <x:c r="H300" s="21"/>
      <x:c r="I300" s="29" t="str">
        <x:f>IF(OR(G300="",H300=""),"",G300&amp;"|"&amp;TEXT(H300,"000"))</x:f>
      </x:c>
      <x:c r="J300" s="21"/>
      <x:c r="K300" s="21"/>
      <x:c r="L300" s="21"/>
      <x:c r="M300" s="23"/>
      <x:c r="N300" s="23"/>
      <x:c r="O300" s="23"/>
      <x:c r="P300" s="21"/>
      <x:c r="Q300" s="29" t="str">
        <x:f>IF(P300="","",IFERROR(INDEX(DM_MA_LOI!$B$6:$B$105,MATCH(P300,DM_MA_LOI!$A$6:$A$105,0)),""))</x:f>
      </x:c>
      <x:c r="R300" s="29" t="str">
        <x:f>IF(P300="","",IFERROR(INDEX(DM_MA_LOI!$E$6:$E$105,MATCH(P300,DM_MA_LOI!$A$6:$A$105,0)),""))</x:f>
      </x:c>
      <x:c r="S300" s="29" t="str">
        <x:f>IF(P300="","",IFERROR(INDEX(DM_MA_LOI!$F$6:$F$105,MATCH(P300,DM_MA_LOI!$A$6:$A$105,0)),""))</x:f>
      </x:c>
      <x:c r="T300" s="21"/>
      <x:c r="U300" s="21"/>
      <x:c r="V300" s="21"/>
      <x:c r="W300" s="21"/>
      <x:c r="X300" s="21"/>
      <x:c r="Y300" s="21"/>
      <x:c r="Z300" s="21"/>
      <x:c r="AA300" s="29" t="str">
        <x:f>IF(A300="","",IF(OR(B300="",C300="",D300="",H300="",K300="",L300=""),"Thiếu dữ liệu",IF(M300&lt;&gt;N300+O300,"Sai cân đối SL",IF(AND(O300&gt;0,P300=""),"Thiếu mã lỗi","Hợp lệ"))))</x:f>
      </x:c>
    </x:row>
    <x:row r="301">
      <x:c r="A301" s="21"/>
      <x:c r="B301" s="43"/>
      <x:c r="C301" s="21"/>
      <x:c r="D301" s="21"/>
      <x:c r="E301" s="21"/>
      <x:c r="F301" s="21"/>
      <x:c r="G301" s="29" t="str">
        <x:f>IF(OR(C301="",D301=""),"",C301&amp;"|"&amp;D301&amp;"|"&amp;IF(E301="","00",E301)&amp;"|"&amp;IF(F301="","01",F301))</x:f>
      </x:c>
      <x:c r="H301" s="21"/>
      <x:c r="I301" s="29" t="str">
        <x:f>IF(OR(G301="",H301=""),"",G301&amp;"|"&amp;TEXT(H301,"000"))</x:f>
      </x:c>
      <x:c r="J301" s="21"/>
      <x:c r="K301" s="21"/>
      <x:c r="L301" s="21"/>
      <x:c r="M301" s="23"/>
      <x:c r="N301" s="23"/>
      <x:c r="O301" s="23"/>
      <x:c r="P301" s="21"/>
      <x:c r="Q301" s="29" t="str">
        <x:f>IF(P301="","",IFERROR(INDEX(DM_MA_LOI!$B$6:$B$105,MATCH(P301,DM_MA_LOI!$A$6:$A$105,0)),""))</x:f>
      </x:c>
      <x:c r="R301" s="29" t="str">
        <x:f>IF(P301="","",IFERROR(INDEX(DM_MA_LOI!$E$6:$E$105,MATCH(P301,DM_MA_LOI!$A$6:$A$105,0)),""))</x:f>
      </x:c>
      <x:c r="S301" s="29" t="str">
        <x:f>IF(P301="","",IFERROR(INDEX(DM_MA_LOI!$F$6:$F$105,MATCH(P301,DM_MA_LOI!$A$6:$A$105,0)),""))</x:f>
      </x:c>
      <x:c r="T301" s="21"/>
      <x:c r="U301" s="21"/>
      <x:c r="V301" s="21"/>
      <x:c r="W301" s="21"/>
      <x:c r="X301" s="21"/>
      <x:c r="Y301" s="21"/>
      <x:c r="Z301" s="21"/>
      <x:c r="AA301" s="29" t="str">
        <x:f>IF(A301="","",IF(OR(B301="",C301="",D301="",H301="",K301="",L301=""),"Thiếu dữ liệu",IF(M301&lt;&gt;N301+O301,"Sai cân đối SL",IF(AND(O301&gt;0,P301=""),"Thiếu mã lỗi","Hợp lệ"))))</x:f>
      </x:c>
    </x:row>
    <x:row r="302">
      <x:c r="A302" s="21"/>
      <x:c r="B302" s="43"/>
      <x:c r="C302" s="21"/>
      <x:c r="D302" s="21"/>
      <x:c r="E302" s="21"/>
      <x:c r="F302" s="21"/>
      <x:c r="G302" s="29" t="str">
        <x:f>IF(OR(C302="",D302=""),"",C302&amp;"|"&amp;D302&amp;"|"&amp;IF(E302="","00",E302)&amp;"|"&amp;IF(F302="","01",F302))</x:f>
      </x:c>
      <x:c r="H302" s="21"/>
      <x:c r="I302" s="29" t="str">
        <x:f>IF(OR(G302="",H302=""),"",G302&amp;"|"&amp;TEXT(H302,"000"))</x:f>
      </x:c>
      <x:c r="J302" s="21"/>
      <x:c r="K302" s="21"/>
      <x:c r="L302" s="21"/>
      <x:c r="M302" s="23"/>
      <x:c r="N302" s="23"/>
      <x:c r="O302" s="23"/>
      <x:c r="P302" s="21"/>
      <x:c r="Q302" s="29" t="str">
        <x:f>IF(P302="","",IFERROR(INDEX(DM_MA_LOI!$B$6:$B$105,MATCH(P302,DM_MA_LOI!$A$6:$A$105,0)),""))</x:f>
      </x:c>
      <x:c r="R302" s="29" t="str">
        <x:f>IF(P302="","",IFERROR(INDEX(DM_MA_LOI!$E$6:$E$105,MATCH(P302,DM_MA_LOI!$A$6:$A$105,0)),""))</x:f>
      </x:c>
      <x:c r="S302" s="29" t="str">
        <x:f>IF(P302="","",IFERROR(INDEX(DM_MA_LOI!$F$6:$F$105,MATCH(P302,DM_MA_LOI!$A$6:$A$105,0)),""))</x:f>
      </x:c>
      <x:c r="T302" s="21"/>
      <x:c r="U302" s="21"/>
      <x:c r="V302" s="21"/>
      <x:c r="W302" s="21"/>
      <x:c r="X302" s="21"/>
      <x:c r="Y302" s="21"/>
      <x:c r="Z302" s="21"/>
      <x:c r="AA302" s="29" t="str">
        <x:f>IF(A302="","",IF(OR(B302="",C302="",D302="",H302="",K302="",L302=""),"Thiếu dữ liệu",IF(M302&lt;&gt;N302+O302,"Sai cân đối SL",IF(AND(O302&gt;0,P302=""),"Thiếu mã lỗi","Hợp lệ"))))</x:f>
      </x:c>
    </x:row>
    <x:row r="303">
      <x:c r="A303" s="21"/>
      <x:c r="B303" s="43"/>
      <x:c r="C303" s="21"/>
      <x:c r="D303" s="21"/>
      <x:c r="E303" s="21"/>
      <x:c r="F303" s="21"/>
      <x:c r="G303" s="29" t="str">
        <x:f>IF(OR(C303="",D303=""),"",C303&amp;"|"&amp;D303&amp;"|"&amp;IF(E303="","00",E303)&amp;"|"&amp;IF(F303="","01",F303))</x:f>
      </x:c>
      <x:c r="H303" s="21"/>
      <x:c r="I303" s="29" t="str">
        <x:f>IF(OR(G303="",H303=""),"",G303&amp;"|"&amp;TEXT(H303,"000"))</x:f>
      </x:c>
      <x:c r="J303" s="21"/>
      <x:c r="K303" s="21"/>
      <x:c r="L303" s="21"/>
      <x:c r="M303" s="23"/>
      <x:c r="N303" s="23"/>
      <x:c r="O303" s="23"/>
      <x:c r="P303" s="21"/>
      <x:c r="Q303" s="29" t="str">
        <x:f>IF(P303="","",IFERROR(INDEX(DM_MA_LOI!$B$6:$B$105,MATCH(P303,DM_MA_LOI!$A$6:$A$105,0)),""))</x:f>
      </x:c>
      <x:c r="R303" s="29" t="str">
        <x:f>IF(P303="","",IFERROR(INDEX(DM_MA_LOI!$E$6:$E$105,MATCH(P303,DM_MA_LOI!$A$6:$A$105,0)),""))</x:f>
      </x:c>
      <x:c r="S303" s="29" t="str">
        <x:f>IF(P303="","",IFERROR(INDEX(DM_MA_LOI!$F$6:$F$105,MATCH(P303,DM_MA_LOI!$A$6:$A$105,0)),""))</x:f>
      </x:c>
      <x:c r="T303" s="21"/>
      <x:c r="U303" s="21"/>
      <x:c r="V303" s="21"/>
      <x:c r="W303" s="21"/>
      <x:c r="X303" s="21"/>
      <x:c r="Y303" s="21"/>
      <x:c r="Z303" s="21"/>
      <x:c r="AA303" s="29" t="str">
        <x:f>IF(A303="","",IF(OR(B303="",C303="",D303="",H303="",K303="",L303=""),"Thiếu dữ liệu",IF(M303&lt;&gt;N303+O303,"Sai cân đối SL",IF(AND(O303&gt;0,P303=""),"Thiếu mã lỗi","Hợp lệ"))))</x:f>
      </x:c>
    </x:row>
    <x:row r="304">
      <x:c r="A304" s="21"/>
      <x:c r="B304" s="43"/>
      <x:c r="C304" s="21"/>
      <x:c r="D304" s="21"/>
      <x:c r="E304" s="21"/>
      <x:c r="F304" s="21"/>
      <x:c r="G304" s="29" t="str">
        <x:f>IF(OR(C304="",D304=""),"",C304&amp;"|"&amp;D304&amp;"|"&amp;IF(E304="","00",E304)&amp;"|"&amp;IF(F304="","01",F304))</x:f>
      </x:c>
      <x:c r="H304" s="21"/>
      <x:c r="I304" s="29" t="str">
        <x:f>IF(OR(G304="",H304=""),"",G304&amp;"|"&amp;TEXT(H304,"000"))</x:f>
      </x:c>
      <x:c r="J304" s="21"/>
      <x:c r="K304" s="21"/>
      <x:c r="L304" s="21"/>
      <x:c r="M304" s="23"/>
      <x:c r="N304" s="23"/>
      <x:c r="O304" s="23"/>
      <x:c r="P304" s="21"/>
      <x:c r="Q304" s="29" t="str">
        <x:f>IF(P304="","",IFERROR(INDEX(DM_MA_LOI!$B$6:$B$105,MATCH(P304,DM_MA_LOI!$A$6:$A$105,0)),""))</x:f>
      </x:c>
      <x:c r="R304" s="29" t="str">
        <x:f>IF(P304="","",IFERROR(INDEX(DM_MA_LOI!$E$6:$E$105,MATCH(P304,DM_MA_LOI!$A$6:$A$105,0)),""))</x:f>
      </x:c>
      <x:c r="S304" s="29" t="str">
        <x:f>IF(P304="","",IFERROR(INDEX(DM_MA_LOI!$F$6:$F$105,MATCH(P304,DM_MA_LOI!$A$6:$A$105,0)),""))</x:f>
      </x:c>
      <x:c r="T304" s="21"/>
      <x:c r="U304" s="21"/>
      <x:c r="V304" s="21"/>
      <x:c r="W304" s="21"/>
      <x:c r="X304" s="21"/>
      <x:c r="Y304" s="21"/>
      <x:c r="Z304" s="21"/>
      <x:c r="AA304" s="29" t="str">
        <x:f>IF(A304="","",IF(OR(B304="",C304="",D304="",H304="",K304="",L304=""),"Thiếu dữ liệu",IF(M304&lt;&gt;N304+O304,"Sai cân đối SL",IF(AND(O304&gt;0,P304=""),"Thiếu mã lỗi","Hợp lệ"))))</x:f>
      </x:c>
    </x:row>
    <x:row r="305">
      <x:c r="A305" s="21"/>
      <x:c r="B305" s="43"/>
      <x:c r="C305" s="21"/>
      <x:c r="D305" s="21"/>
      <x:c r="E305" s="21"/>
      <x:c r="F305" s="21"/>
      <x:c r="G305" s="29" t="str">
        <x:f>IF(OR(C305="",D305=""),"",C305&amp;"|"&amp;D305&amp;"|"&amp;IF(E305="","00",E305)&amp;"|"&amp;IF(F305="","01",F305))</x:f>
      </x:c>
      <x:c r="H305" s="21"/>
      <x:c r="I305" s="29" t="str">
        <x:f>IF(OR(G305="",H305=""),"",G305&amp;"|"&amp;TEXT(H305,"000"))</x:f>
      </x:c>
      <x:c r="J305" s="21"/>
      <x:c r="K305" s="21"/>
      <x:c r="L305" s="21"/>
      <x:c r="M305" s="23"/>
      <x:c r="N305" s="23"/>
      <x:c r="O305" s="23"/>
      <x:c r="P305" s="21"/>
      <x:c r="Q305" s="29" t="str">
        <x:f>IF(P305="","",IFERROR(INDEX(DM_MA_LOI!$B$6:$B$105,MATCH(P305,DM_MA_LOI!$A$6:$A$105,0)),""))</x:f>
      </x:c>
      <x:c r="R305" s="29" t="str">
        <x:f>IF(P305="","",IFERROR(INDEX(DM_MA_LOI!$E$6:$E$105,MATCH(P305,DM_MA_LOI!$A$6:$A$105,0)),""))</x:f>
      </x:c>
      <x:c r="S305" s="29" t="str">
        <x:f>IF(P305="","",IFERROR(INDEX(DM_MA_LOI!$F$6:$F$105,MATCH(P305,DM_MA_LOI!$A$6:$A$105,0)),""))</x:f>
      </x:c>
      <x:c r="T305" s="21"/>
      <x:c r="U305" s="21"/>
      <x:c r="V305" s="21"/>
      <x:c r="W305" s="21"/>
      <x:c r="X305" s="21"/>
      <x:c r="Y305" s="21"/>
      <x:c r="Z305" s="21"/>
      <x:c r="AA305" s="29" t="str">
        <x:f>IF(A305="","",IF(OR(B305="",C305="",D305="",H305="",K305="",L305=""),"Thiếu dữ liệu",IF(M305&lt;&gt;N305+O305,"Sai cân đối SL",IF(AND(O305&gt;0,P305=""),"Thiếu mã lỗi","Hợp lệ"))))</x:f>
      </x:c>
    </x:row>
    <x:row r="306">
      <x:c r="A306" s="21"/>
      <x:c r="B306" s="43"/>
      <x:c r="C306" s="21"/>
      <x:c r="D306" s="21"/>
      <x:c r="E306" s="21"/>
      <x:c r="F306" s="21"/>
      <x:c r="G306" s="29" t="str">
        <x:f>IF(OR(C306="",D306=""),"",C306&amp;"|"&amp;D306&amp;"|"&amp;IF(E306="","00",E306)&amp;"|"&amp;IF(F306="","01",F306))</x:f>
      </x:c>
      <x:c r="H306" s="21"/>
      <x:c r="I306" s="29" t="str">
        <x:f>IF(OR(G306="",H306=""),"",G306&amp;"|"&amp;TEXT(H306,"000"))</x:f>
      </x:c>
      <x:c r="J306" s="21"/>
      <x:c r="K306" s="21"/>
      <x:c r="L306" s="21"/>
      <x:c r="M306" s="23"/>
      <x:c r="N306" s="23"/>
      <x:c r="O306" s="23"/>
      <x:c r="P306" s="21"/>
      <x:c r="Q306" s="29" t="str">
        <x:f>IF(P306="","",IFERROR(INDEX(DM_MA_LOI!$B$6:$B$105,MATCH(P306,DM_MA_LOI!$A$6:$A$105,0)),""))</x:f>
      </x:c>
      <x:c r="R306" s="29" t="str">
        <x:f>IF(P306="","",IFERROR(INDEX(DM_MA_LOI!$E$6:$E$105,MATCH(P306,DM_MA_LOI!$A$6:$A$105,0)),""))</x:f>
      </x:c>
      <x:c r="S306" s="29" t="str">
        <x:f>IF(P306="","",IFERROR(INDEX(DM_MA_LOI!$F$6:$F$105,MATCH(P306,DM_MA_LOI!$A$6:$A$105,0)),""))</x:f>
      </x:c>
      <x:c r="T306" s="21"/>
      <x:c r="U306" s="21"/>
      <x:c r="V306" s="21"/>
      <x:c r="W306" s="21"/>
      <x:c r="X306" s="21"/>
      <x:c r="Y306" s="21"/>
      <x:c r="Z306" s="21"/>
      <x:c r="AA306" s="29" t="str">
        <x:f>IF(A306="","",IF(OR(B306="",C306="",D306="",H306="",K306="",L306=""),"Thiếu dữ liệu",IF(M306&lt;&gt;N306+O306,"Sai cân đối SL",IF(AND(O306&gt;0,P306=""),"Thiếu mã lỗi","Hợp lệ"))))</x:f>
      </x:c>
    </x:row>
    <x:row r="307">
      <x:c r="A307" s="21"/>
      <x:c r="B307" s="43"/>
      <x:c r="C307" s="21"/>
      <x:c r="D307" s="21"/>
      <x:c r="E307" s="21"/>
      <x:c r="F307" s="21"/>
      <x:c r="G307" s="29" t="str">
        <x:f>IF(OR(C307="",D307=""),"",C307&amp;"|"&amp;D307&amp;"|"&amp;IF(E307="","00",E307)&amp;"|"&amp;IF(F307="","01",F307))</x:f>
      </x:c>
      <x:c r="H307" s="21"/>
      <x:c r="I307" s="29" t="str">
        <x:f>IF(OR(G307="",H307=""),"",G307&amp;"|"&amp;TEXT(H307,"000"))</x:f>
      </x:c>
      <x:c r="J307" s="21"/>
      <x:c r="K307" s="21"/>
      <x:c r="L307" s="21"/>
      <x:c r="M307" s="23"/>
      <x:c r="N307" s="23"/>
      <x:c r="O307" s="23"/>
      <x:c r="P307" s="21"/>
      <x:c r="Q307" s="29" t="str">
        <x:f>IF(P307="","",IFERROR(INDEX(DM_MA_LOI!$B$6:$B$105,MATCH(P307,DM_MA_LOI!$A$6:$A$105,0)),""))</x:f>
      </x:c>
      <x:c r="R307" s="29" t="str">
        <x:f>IF(P307="","",IFERROR(INDEX(DM_MA_LOI!$E$6:$E$105,MATCH(P307,DM_MA_LOI!$A$6:$A$105,0)),""))</x:f>
      </x:c>
      <x:c r="S307" s="29" t="str">
        <x:f>IF(P307="","",IFERROR(INDEX(DM_MA_LOI!$F$6:$F$105,MATCH(P307,DM_MA_LOI!$A$6:$A$105,0)),""))</x:f>
      </x:c>
      <x:c r="T307" s="21"/>
      <x:c r="U307" s="21"/>
      <x:c r="V307" s="21"/>
      <x:c r="W307" s="21"/>
      <x:c r="X307" s="21"/>
      <x:c r="Y307" s="21"/>
      <x:c r="Z307" s="21"/>
      <x:c r="AA307" s="29" t="str">
        <x:f>IF(A307="","",IF(OR(B307="",C307="",D307="",H307="",K307="",L307=""),"Thiếu dữ liệu",IF(M307&lt;&gt;N307+O307,"Sai cân đối SL",IF(AND(O307&gt;0,P307=""),"Thiếu mã lỗi","Hợp lệ"))))</x:f>
      </x:c>
    </x:row>
    <x:row r="308">
      <x:c r="A308" s="21"/>
      <x:c r="B308" s="43"/>
      <x:c r="C308" s="21"/>
      <x:c r="D308" s="21"/>
      <x:c r="E308" s="21"/>
      <x:c r="F308" s="21"/>
      <x:c r="G308" s="29" t="str">
        <x:f>IF(OR(C308="",D308=""),"",C308&amp;"|"&amp;D308&amp;"|"&amp;IF(E308="","00",E308)&amp;"|"&amp;IF(F308="","01",F308))</x:f>
      </x:c>
      <x:c r="H308" s="21"/>
      <x:c r="I308" s="29" t="str">
        <x:f>IF(OR(G308="",H308=""),"",G308&amp;"|"&amp;TEXT(H308,"000"))</x:f>
      </x:c>
      <x:c r="J308" s="21"/>
      <x:c r="K308" s="21"/>
      <x:c r="L308" s="21"/>
      <x:c r="M308" s="23"/>
      <x:c r="N308" s="23"/>
      <x:c r="O308" s="23"/>
      <x:c r="P308" s="21"/>
      <x:c r="Q308" s="29" t="str">
        <x:f>IF(P308="","",IFERROR(INDEX(DM_MA_LOI!$B$6:$B$105,MATCH(P308,DM_MA_LOI!$A$6:$A$105,0)),""))</x:f>
      </x:c>
      <x:c r="R308" s="29" t="str">
        <x:f>IF(P308="","",IFERROR(INDEX(DM_MA_LOI!$E$6:$E$105,MATCH(P308,DM_MA_LOI!$A$6:$A$105,0)),""))</x:f>
      </x:c>
      <x:c r="S308" s="29" t="str">
        <x:f>IF(P308="","",IFERROR(INDEX(DM_MA_LOI!$F$6:$F$105,MATCH(P308,DM_MA_LOI!$A$6:$A$105,0)),""))</x:f>
      </x:c>
      <x:c r="T308" s="21"/>
      <x:c r="U308" s="21"/>
      <x:c r="V308" s="21"/>
      <x:c r="W308" s="21"/>
      <x:c r="X308" s="21"/>
      <x:c r="Y308" s="21"/>
      <x:c r="Z308" s="21"/>
      <x:c r="AA308" s="29" t="str">
        <x:f>IF(A308="","",IF(OR(B308="",C308="",D308="",H308="",K308="",L308=""),"Thiếu dữ liệu",IF(M308&lt;&gt;N308+O308,"Sai cân đối SL",IF(AND(O308&gt;0,P308=""),"Thiếu mã lỗi","Hợp lệ"))))</x:f>
      </x:c>
    </x:row>
    <x:row r="309">
      <x:c r="A309" s="21"/>
      <x:c r="B309" s="43"/>
      <x:c r="C309" s="21"/>
      <x:c r="D309" s="21"/>
      <x:c r="E309" s="21"/>
      <x:c r="F309" s="21"/>
      <x:c r="G309" s="29" t="str">
        <x:f>IF(OR(C309="",D309=""),"",C309&amp;"|"&amp;D309&amp;"|"&amp;IF(E309="","00",E309)&amp;"|"&amp;IF(F309="","01",F309))</x:f>
      </x:c>
      <x:c r="H309" s="21"/>
      <x:c r="I309" s="29" t="str">
        <x:f>IF(OR(G309="",H309=""),"",G309&amp;"|"&amp;TEXT(H309,"000"))</x:f>
      </x:c>
      <x:c r="J309" s="21"/>
      <x:c r="K309" s="21"/>
      <x:c r="L309" s="21"/>
      <x:c r="M309" s="23"/>
      <x:c r="N309" s="23"/>
      <x:c r="O309" s="23"/>
      <x:c r="P309" s="21"/>
      <x:c r="Q309" s="29" t="str">
        <x:f>IF(P309="","",IFERROR(INDEX(DM_MA_LOI!$B$6:$B$105,MATCH(P309,DM_MA_LOI!$A$6:$A$105,0)),""))</x:f>
      </x:c>
      <x:c r="R309" s="29" t="str">
        <x:f>IF(P309="","",IFERROR(INDEX(DM_MA_LOI!$E$6:$E$105,MATCH(P309,DM_MA_LOI!$A$6:$A$105,0)),""))</x:f>
      </x:c>
      <x:c r="S309" s="29" t="str">
        <x:f>IF(P309="","",IFERROR(INDEX(DM_MA_LOI!$F$6:$F$105,MATCH(P309,DM_MA_LOI!$A$6:$A$105,0)),""))</x:f>
      </x:c>
      <x:c r="T309" s="21"/>
      <x:c r="U309" s="21"/>
      <x:c r="V309" s="21"/>
      <x:c r="W309" s="21"/>
      <x:c r="X309" s="21"/>
      <x:c r="Y309" s="21"/>
      <x:c r="Z309" s="21"/>
      <x:c r="AA309" s="29" t="str">
        <x:f>IF(A309="","",IF(OR(B309="",C309="",D309="",H309="",K309="",L309=""),"Thiếu dữ liệu",IF(M309&lt;&gt;N309+O309,"Sai cân đối SL",IF(AND(O309&gt;0,P309=""),"Thiếu mã lỗi","Hợp lệ"))))</x:f>
      </x:c>
    </x:row>
    <x:row r="310">
      <x:c r="A310" s="21"/>
      <x:c r="B310" s="43"/>
      <x:c r="C310" s="21"/>
      <x:c r="D310" s="21"/>
      <x:c r="E310" s="21"/>
      <x:c r="F310" s="21"/>
      <x:c r="G310" s="29" t="str">
        <x:f>IF(OR(C310="",D310=""),"",C310&amp;"|"&amp;D310&amp;"|"&amp;IF(E310="","00",E310)&amp;"|"&amp;IF(F310="","01",F310))</x:f>
      </x:c>
      <x:c r="H310" s="21"/>
      <x:c r="I310" s="29" t="str">
        <x:f>IF(OR(G310="",H310=""),"",G310&amp;"|"&amp;TEXT(H310,"000"))</x:f>
      </x:c>
      <x:c r="J310" s="21"/>
      <x:c r="K310" s="21"/>
      <x:c r="L310" s="21"/>
      <x:c r="M310" s="23"/>
      <x:c r="N310" s="23"/>
      <x:c r="O310" s="23"/>
      <x:c r="P310" s="21"/>
      <x:c r="Q310" s="29" t="str">
        <x:f>IF(P310="","",IFERROR(INDEX(DM_MA_LOI!$B$6:$B$105,MATCH(P310,DM_MA_LOI!$A$6:$A$105,0)),""))</x:f>
      </x:c>
      <x:c r="R310" s="29" t="str">
        <x:f>IF(P310="","",IFERROR(INDEX(DM_MA_LOI!$E$6:$E$105,MATCH(P310,DM_MA_LOI!$A$6:$A$105,0)),""))</x:f>
      </x:c>
      <x:c r="S310" s="29" t="str">
        <x:f>IF(P310="","",IFERROR(INDEX(DM_MA_LOI!$F$6:$F$105,MATCH(P310,DM_MA_LOI!$A$6:$A$105,0)),""))</x:f>
      </x:c>
      <x:c r="T310" s="21"/>
      <x:c r="U310" s="21"/>
      <x:c r="V310" s="21"/>
      <x:c r="W310" s="21"/>
      <x:c r="X310" s="21"/>
      <x:c r="Y310" s="21"/>
      <x:c r="Z310" s="21"/>
      <x:c r="AA310" s="29" t="str">
        <x:f>IF(A310="","",IF(OR(B310="",C310="",D310="",H310="",K310="",L310=""),"Thiếu dữ liệu",IF(M310&lt;&gt;N310+O310,"Sai cân đối SL",IF(AND(O310&gt;0,P310=""),"Thiếu mã lỗi","Hợp lệ"))))</x:f>
      </x:c>
    </x:row>
    <x:row r="311">
      <x:c r="A311" s="21"/>
      <x:c r="B311" s="43"/>
      <x:c r="C311" s="21"/>
      <x:c r="D311" s="21"/>
      <x:c r="E311" s="21"/>
      <x:c r="F311" s="21"/>
      <x:c r="G311" s="29" t="str">
        <x:f>IF(OR(C311="",D311=""),"",C311&amp;"|"&amp;D311&amp;"|"&amp;IF(E311="","00",E311)&amp;"|"&amp;IF(F311="","01",F311))</x:f>
      </x:c>
      <x:c r="H311" s="21"/>
      <x:c r="I311" s="29" t="str">
        <x:f>IF(OR(G311="",H311=""),"",G311&amp;"|"&amp;TEXT(H311,"000"))</x:f>
      </x:c>
      <x:c r="J311" s="21"/>
      <x:c r="K311" s="21"/>
      <x:c r="L311" s="21"/>
      <x:c r="M311" s="23"/>
      <x:c r="N311" s="23"/>
      <x:c r="O311" s="23"/>
      <x:c r="P311" s="21"/>
      <x:c r="Q311" s="29" t="str">
        <x:f>IF(P311="","",IFERROR(INDEX(DM_MA_LOI!$B$6:$B$105,MATCH(P311,DM_MA_LOI!$A$6:$A$105,0)),""))</x:f>
      </x:c>
      <x:c r="R311" s="29" t="str">
        <x:f>IF(P311="","",IFERROR(INDEX(DM_MA_LOI!$E$6:$E$105,MATCH(P311,DM_MA_LOI!$A$6:$A$105,0)),""))</x:f>
      </x:c>
      <x:c r="S311" s="29" t="str">
        <x:f>IF(P311="","",IFERROR(INDEX(DM_MA_LOI!$F$6:$F$105,MATCH(P311,DM_MA_LOI!$A$6:$A$105,0)),""))</x:f>
      </x:c>
      <x:c r="T311" s="21"/>
      <x:c r="U311" s="21"/>
      <x:c r="V311" s="21"/>
      <x:c r="W311" s="21"/>
      <x:c r="X311" s="21"/>
      <x:c r="Y311" s="21"/>
      <x:c r="Z311" s="21"/>
      <x:c r="AA311" s="29" t="str">
        <x:f>IF(A311="","",IF(OR(B311="",C311="",D311="",H311="",K311="",L311=""),"Thiếu dữ liệu",IF(M311&lt;&gt;N311+O311,"Sai cân đối SL",IF(AND(O311&gt;0,P311=""),"Thiếu mã lỗi","Hợp lệ"))))</x:f>
      </x:c>
    </x:row>
    <x:row r="312">
      <x:c r="A312" s="21"/>
      <x:c r="B312" s="43"/>
      <x:c r="C312" s="21"/>
      <x:c r="D312" s="21"/>
      <x:c r="E312" s="21"/>
      <x:c r="F312" s="21"/>
      <x:c r="G312" s="29" t="str">
        <x:f>IF(OR(C312="",D312=""),"",C312&amp;"|"&amp;D312&amp;"|"&amp;IF(E312="","00",E312)&amp;"|"&amp;IF(F312="","01",F312))</x:f>
      </x:c>
      <x:c r="H312" s="21"/>
      <x:c r="I312" s="29" t="str">
        <x:f>IF(OR(G312="",H312=""),"",G312&amp;"|"&amp;TEXT(H312,"000"))</x:f>
      </x:c>
      <x:c r="J312" s="21"/>
      <x:c r="K312" s="21"/>
      <x:c r="L312" s="21"/>
      <x:c r="M312" s="23"/>
      <x:c r="N312" s="23"/>
      <x:c r="O312" s="23"/>
      <x:c r="P312" s="21"/>
      <x:c r="Q312" s="29" t="str">
        <x:f>IF(P312="","",IFERROR(INDEX(DM_MA_LOI!$B$6:$B$105,MATCH(P312,DM_MA_LOI!$A$6:$A$105,0)),""))</x:f>
      </x:c>
      <x:c r="R312" s="29" t="str">
        <x:f>IF(P312="","",IFERROR(INDEX(DM_MA_LOI!$E$6:$E$105,MATCH(P312,DM_MA_LOI!$A$6:$A$105,0)),""))</x:f>
      </x:c>
      <x:c r="S312" s="29" t="str">
        <x:f>IF(P312="","",IFERROR(INDEX(DM_MA_LOI!$F$6:$F$105,MATCH(P312,DM_MA_LOI!$A$6:$A$105,0)),""))</x:f>
      </x:c>
      <x:c r="T312" s="21"/>
      <x:c r="U312" s="21"/>
      <x:c r="V312" s="21"/>
      <x:c r="W312" s="21"/>
      <x:c r="X312" s="21"/>
      <x:c r="Y312" s="21"/>
      <x:c r="Z312" s="21"/>
      <x:c r="AA312" s="29" t="str">
        <x:f>IF(A312="","",IF(OR(B312="",C312="",D312="",H312="",K312="",L312=""),"Thiếu dữ liệu",IF(M312&lt;&gt;N312+O312,"Sai cân đối SL",IF(AND(O312&gt;0,P312=""),"Thiếu mã lỗi","Hợp lệ"))))</x:f>
      </x:c>
    </x:row>
    <x:row r="313">
      <x:c r="A313" s="21"/>
      <x:c r="B313" s="43"/>
      <x:c r="C313" s="21"/>
      <x:c r="D313" s="21"/>
      <x:c r="E313" s="21"/>
      <x:c r="F313" s="21"/>
      <x:c r="G313" s="29" t="str">
        <x:f>IF(OR(C313="",D313=""),"",C313&amp;"|"&amp;D313&amp;"|"&amp;IF(E313="","00",E313)&amp;"|"&amp;IF(F313="","01",F313))</x:f>
      </x:c>
      <x:c r="H313" s="21"/>
      <x:c r="I313" s="29" t="str">
        <x:f>IF(OR(G313="",H313=""),"",G313&amp;"|"&amp;TEXT(H313,"000"))</x:f>
      </x:c>
      <x:c r="J313" s="21"/>
      <x:c r="K313" s="21"/>
      <x:c r="L313" s="21"/>
      <x:c r="M313" s="23"/>
      <x:c r="N313" s="23"/>
      <x:c r="O313" s="23"/>
      <x:c r="P313" s="21"/>
      <x:c r="Q313" s="29" t="str">
        <x:f>IF(P313="","",IFERROR(INDEX(DM_MA_LOI!$B$6:$B$105,MATCH(P313,DM_MA_LOI!$A$6:$A$105,0)),""))</x:f>
      </x:c>
      <x:c r="R313" s="29" t="str">
        <x:f>IF(P313="","",IFERROR(INDEX(DM_MA_LOI!$E$6:$E$105,MATCH(P313,DM_MA_LOI!$A$6:$A$105,0)),""))</x:f>
      </x:c>
      <x:c r="S313" s="29" t="str">
        <x:f>IF(P313="","",IFERROR(INDEX(DM_MA_LOI!$F$6:$F$105,MATCH(P313,DM_MA_LOI!$A$6:$A$105,0)),""))</x:f>
      </x:c>
      <x:c r="T313" s="21"/>
      <x:c r="U313" s="21"/>
      <x:c r="V313" s="21"/>
      <x:c r="W313" s="21"/>
      <x:c r="X313" s="21"/>
      <x:c r="Y313" s="21"/>
      <x:c r="Z313" s="21"/>
      <x:c r="AA313" s="29" t="str">
        <x:f>IF(A313="","",IF(OR(B313="",C313="",D313="",H313="",K313="",L313=""),"Thiếu dữ liệu",IF(M313&lt;&gt;N313+O313,"Sai cân đối SL",IF(AND(O313&gt;0,P313=""),"Thiếu mã lỗi","Hợp lệ"))))</x:f>
      </x:c>
    </x:row>
    <x:row r="314">
      <x:c r="A314" s="21"/>
      <x:c r="B314" s="43"/>
      <x:c r="C314" s="21"/>
      <x:c r="D314" s="21"/>
      <x:c r="E314" s="21"/>
      <x:c r="F314" s="21"/>
      <x:c r="G314" s="29" t="str">
        <x:f>IF(OR(C314="",D314=""),"",C314&amp;"|"&amp;D314&amp;"|"&amp;IF(E314="","00",E314)&amp;"|"&amp;IF(F314="","01",F314))</x:f>
      </x:c>
      <x:c r="H314" s="21"/>
      <x:c r="I314" s="29" t="str">
        <x:f>IF(OR(G314="",H314=""),"",G314&amp;"|"&amp;TEXT(H314,"000"))</x:f>
      </x:c>
      <x:c r="J314" s="21"/>
      <x:c r="K314" s="21"/>
      <x:c r="L314" s="21"/>
      <x:c r="M314" s="23"/>
      <x:c r="N314" s="23"/>
      <x:c r="O314" s="23"/>
      <x:c r="P314" s="21"/>
      <x:c r="Q314" s="29" t="str">
        <x:f>IF(P314="","",IFERROR(INDEX(DM_MA_LOI!$B$6:$B$105,MATCH(P314,DM_MA_LOI!$A$6:$A$105,0)),""))</x:f>
      </x:c>
      <x:c r="R314" s="29" t="str">
        <x:f>IF(P314="","",IFERROR(INDEX(DM_MA_LOI!$E$6:$E$105,MATCH(P314,DM_MA_LOI!$A$6:$A$105,0)),""))</x:f>
      </x:c>
      <x:c r="S314" s="29" t="str">
        <x:f>IF(P314="","",IFERROR(INDEX(DM_MA_LOI!$F$6:$F$105,MATCH(P314,DM_MA_LOI!$A$6:$A$105,0)),""))</x:f>
      </x:c>
      <x:c r="T314" s="21"/>
      <x:c r="U314" s="21"/>
      <x:c r="V314" s="21"/>
      <x:c r="W314" s="21"/>
      <x:c r="X314" s="21"/>
      <x:c r="Y314" s="21"/>
      <x:c r="Z314" s="21"/>
      <x:c r="AA314" s="29" t="str">
        <x:f>IF(A314="","",IF(OR(B314="",C314="",D314="",H314="",K314="",L314=""),"Thiếu dữ liệu",IF(M314&lt;&gt;N314+O314,"Sai cân đối SL",IF(AND(O314&gt;0,P314=""),"Thiếu mã lỗi","Hợp lệ"))))</x:f>
      </x:c>
    </x:row>
    <x:row r="315">
      <x:c r="A315" s="21"/>
      <x:c r="B315" s="43"/>
      <x:c r="C315" s="21"/>
      <x:c r="D315" s="21"/>
      <x:c r="E315" s="21"/>
      <x:c r="F315" s="21"/>
      <x:c r="G315" s="29" t="str">
        <x:f>IF(OR(C315="",D315=""),"",C315&amp;"|"&amp;D315&amp;"|"&amp;IF(E315="","00",E315)&amp;"|"&amp;IF(F315="","01",F315))</x:f>
      </x:c>
      <x:c r="H315" s="21"/>
      <x:c r="I315" s="29" t="str">
        <x:f>IF(OR(G315="",H315=""),"",G315&amp;"|"&amp;TEXT(H315,"000"))</x:f>
      </x:c>
      <x:c r="J315" s="21"/>
      <x:c r="K315" s="21"/>
      <x:c r="L315" s="21"/>
      <x:c r="M315" s="23"/>
      <x:c r="N315" s="23"/>
      <x:c r="O315" s="23"/>
      <x:c r="P315" s="21"/>
      <x:c r="Q315" s="29" t="str">
        <x:f>IF(P315="","",IFERROR(INDEX(DM_MA_LOI!$B$6:$B$105,MATCH(P315,DM_MA_LOI!$A$6:$A$105,0)),""))</x:f>
      </x:c>
      <x:c r="R315" s="29" t="str">
        <x:f>IF(P315="","",IFERROR(INDEX(DM_MA_LOI!$E$6:$E$105,MATCH(P315,DM_MA_LOI!$A$6:$A$105,0)),""))</x:f>
      </x:c>
      <x:c r="S315" s="29" t="str">
        <x:f>IF(P315="","",IFERROR(INDEX(DM_MA_LOI!$F$6:$F$105,MATCH(P315,DM_MA_LOI!$A$6:$A$105,0)),""))</x:f>
      </x:c>
      <x:c r="T315" s="21"/>
      <x:c r="U315" s="21"/>
      <x:c r="V315" s="21"/>
      <x:c r="W315" s="21"/>
      <x:c r="X315" s="21"/>
      <x:c r="Y315" s="21"/>
      <x:c r="Z315" s="21"/>
      <x:c r="AA315" s="29" t="str">
        <x:f>IF(A315="","",IF(OR(B315="",C315="",D315="",H315="",K315="",L315=""),"Thiếu dữ liệu",IF(M315&lt;&gt;N315+O315,"Sai cân đối SL",IF(AND(O315&gt;0,P315=""),"Thiếu mã lỗi","Hợp lệ"))))</x:f>
      </x:c>
    </x:row>
    <x:row r="316">
      <x:c r="A316" s="21"/>
      <x:c r="B316" s="43"/>
      <x:c r="C316" s="21"/>
      <x:c r="D316" s="21"/>
      <x:c r="E316" s="21"/>
      <x:c r="F316" s="21"/>
      <x:c r="G316" s="29" t="str">
        <x:f>IF(OR(C316="",D316=""),"",C316&amp;"|"&amp;D316&amp;"|"&amp;IF(E316="","00",E316)&amp;"|"&amp;IF(F316="","01",F316))</x:f>
      </x:c>
      <x:c r="H316" s="21"/>
      <x:c r="I316" s="29" t="str">
        <x:f>IF(OR(G316="",H316=""),"",G316&amp;"|"&amp;TEXT(H316,"000"))</x:f>
      </x:c>
      <x:c r="J316" s="21"/>
      <x:c r="K316" s="21"/>
      <x:c r="L316" s="21"/>
      <x:c r="M316" s="23"/>
      <x:c r="N316" s="23"/>
      <x:c r="O316" s="23"/>
      <x:c r="P316" s="21"/>
      <x:c r="Q316" s="29" t="str">
        <x:f>IF(P316="","",IFERROR(INDEX(DM_MA_LOI!$B$6:$B$105,MATCH(P316,DM_MA_LOI!$A$6:$A$105,0)),""))</x:f>
      </x:c>
      <x:c r="R316" s="29" t="str">
        <x:f>IF(P316="","",IFERROR(INDEX(DM_MA_LOI!$E$6:$E$105,MATCH(P316,DM_MA_LOI!$A$6:$A$105,0)),""))</x:f>
      </x:c>
      <x:c r="S316" s="29" t="str">
        <x:f>IF(P316="","",IFERROR(INDEX(DM_MA_LOI!$F$6:$F$105,MATCH(P316,DM_MA_LOI!$A$6:$A$105,0)),""))</x:f>
      </x:c>
      <x:c r="T316" s="21"/>
      <x:c r="U316" s="21"/>
      <x:c r="V316" s="21"/>
      <x:c r="W316" s="21"/>
      <x:c r="X316" s="21"/>
      <x:c r="Y316" s="21"/>
      <x:c r="Z316" s="21"/>
      <x:c r="AA316" s="29" t="str">
        <x:f>IF(A316="","",IF(OR(B316="",C316="",D316="",H316="",K316="",L316=""),"Thiếu dữ liệu",IF(M316&lt;&gt;N316+O316,"Sai cân đối SL",IF(AND(O316&gt;0,P316=""),"Thiếu mã lỗi","Hợp lệ"))))</x:f>
      </x:c>
    </x:row>
    <x:row r="317">
      <x:c r="A317" s="21"/>
      <x:c r="B317" s="43"/>
      <x:c r="C317" s="21"/>
      <x:c r="D317" s="21"/>
      <x:c r="E317" s="21"/>
      <x:c r="F317" s="21"/>
      <x:c r="G317" s="29" t="str">
        <x:f>IF(OR(C317="",D317=""),"",C317&amp;"|"&amp;D317&amp;"|"&amp;IF(E317="","00",E317)&amp;"|"&amp;IF(F317="","01",F317))</x:f>
      </x:c>
      <x:c r="H317" s="21"/>
      <x:c r="I317" s="29" t="str">
        <x:f>IF(OR(G317="",H317=""),"",G317&amp;"|"&amp;TEXT(H317,"000"))</x:f>
      </x:c>
      <x:c r="J317" s="21"/>
      <x:c r="K317" s="21"/>
      <x:c r="L317" s="21"/>
      <x:c r="M317" s="23"/>
      <x:c r="N317" s="23"/>
      <x:c r="O317" s="23"/>
      <x:c r="P317" s="21"/>
      <x:c r="Q317" s="29" t="str">
        <x:f>IF(P317="","",IFERROR(INDEX(DM_MA_LOI!$B$6:$B$105,MATCH(P317,DM_MA_LOI!$A$6:$A$105,0)),""))</x:f>
      </x:c>
      <x:c r="R317" s="29" t="str">
        <x:f>IF(P317="","",IFERROR(INDEX(DM_MA_LOI!$E$6:$E$105,MATCH(P317,DM_MA_LOI!$A$6:$A$105,0)),""))</x:f>
      </x:c>
      <x:c r="S317" s="29" t="str">
        <x:f>IF(P317="","",IFERROR(INDEX(DM_MA_LOI!$F$6:$F$105,MATCH(P317,DM_MA_LOI!$A$6:$A$105,0)),""))</x:f>
      </x:c>
      <x:c r="T317" s="21"/>
      <x:c r="U317" s="21"/>
      <x:c r="V317" s="21"/>
      <x:c r="W317" s="21"/>
      <x:c r="X317" s="21"/>
      <x:c r="Y317" s="21"/>
      <x:c r="Z317" s="21"/>
      <x:c r="AA317" s="29" t="str">
        <x:f>IF(A317="","",IF(OR(B317="",C317="",D317="",H317="",K317="",L317=""),"Thiếu dữ liệu",IF(M317&lt;&gt;N317+O317,"Sai cân đối SL",IF(AND(O317&gt;0,P317=""),"Thiếu mã lỗi","Hợp lệ"))))</x:f>
      </x:c>
    </x:row>
    <x:row r="318">
      <x:c r="A318" s="21"/>
      <x:c r="B318" s="43"/>
      <x:c r="C318" s="21"/>
      <x:c r="D318" s="21"/>
      <x:c r="E318" s="21"/>
      <x:c r="F318" s="21"/>
      <x:c r="G318" s="29" t="str">
        <x:f>IF(OR(C318="",D318=""),"",C318&amp;"|"&amp;D318&amp;"|"&amp;IF(E318="","00",E318)&amp;"|"&amp;IF(F318="","01",F318))</x:f>
      </x:c>
      <x:c r="H318" s="21"/>
      <x:c r="I318" s="29" t="str">
        <x:f>IF(OR(G318="",H318=""),"",G318&amp;"|"&amp;TEXT(H318,"000"))</x:f>
      </x:c>
      <x:c r="J318" s="21"/>
      <x:c r="K318" s="21"/>
      <x:c r="L318" s="21"/>
      <x:c r="M318" s="23"/>
      <x:c r="N318" s="23"/>
      <x:c r="O318" s="23"/>
      <x:c r="P318" s="21"/>
      <x:c r="Q318" s="29" t="str">
        <x:f>IF(P318="","",IFERROR(INDEX(DM_MA_LOI!$B$6:$B$105,MATCH(P318,DM_MA_LOI!$A$6:$A$105,0)),""))</x:f>
      </x:c>
      <x:c r="R318" s="29" t="str">
        <x:f>IF(P318="","",IFERROR(INDEX(DM_MA_LOI!$E$6:$E$105,MATCH(P318,DM_MA_LOI!$A$6:$A$105,0)),""))</x:f>
      </x:c>
      <x:c r="S318" s="29" t="str">
        <x:f>IF(P318="","",IFERROR(INDEX(DM_MA_LOI!$F$6:$F$105,MATCH(P318,DM_MA_LOI!$A$6:$A$105,0)),""))</x:f>
      </x:c>
      <x:c r="T318" s="21"/>
      <x:c r="U318" s="21"/>
      <x:c r="V318" s="21"/>
      <x:c r="W318" s="21"/>
      <x:c r="X318" s="21"/>
      <x:c r="Y318" s="21"/>
      <x:c r="Z318" s="21"/>
      <x:c r="AA318" s="29" t="str">
        <x:f>IF(A318="","",IF(OR(B318="",C318="",D318="",H318="",K318="",L318=""),"Thiếu dữ liệu",IF(M318&lt;&gt;N318+O318,"Sai cân đối SL",IF(AND(O318&gt;0,P318=""),"Thiếu mã lỗi","Hợp lệ"))))</x:f>
      </x:c>
    </x:row>
    <x:row r="319">
      <x:c r="A319" s="21"/>
      <x:c r="B319" s="43"/>
      <x:c r="C319" s="21"/>
      <x:c r="D319" s="21"/>
      <x:c r="E319" s="21"/>
      <x:c r="F319" s="21"/>
      <x:c r="G319" s="29" t="str">
        <x:f>IF(OR(C319="",D319=""),"",C319&amp;"|"&amp;D319&amp;"|"&amp;IF(E319="","00",E319)&amp;"|"&amp;IF(F319="","01",F319))</x:f>
      </x:c>
      <x:c r="H319" s="21"/>
      <x:c r="I319" s="29" t="str">
        <x:f>IF(OR(G319="",H319=""),"",G319&amp;"|"&amp;TEXT(H319,"000"))</x:f>
      </x:c>
      <x:c r="J319" s="21"/>
      <x:c r="K319" s="21"/>
      <x:c r="L319" s="21"/>
      <x:c r="M319" s="23"/>
      <x:c r="N319" s="23"/>
      <x:c r="O319" s="23"/>
      <x:c r="P319" s="21"/>
      <x:c r="Q319" s="29" t="str">
        <x:f>IF(P319="","",IFERROR(INDEX(DM_MA_LOI!$B$6:$B$105,MATCH(P319,DM_MA_LOI!$A$6:$A$105,0)),""))</x:f>
      </x:c>
      <x:c r="R319" s="29" t="str">
        <x:f>IF(P319="","",IFERROR(INDEX(DM_MA_LOI!$E$6:$E$105,MATCH(P319,DM_MA_LOI!$A$6:$A$105,0)),""))</x:f>
      </x:c>
      <x:c r="S319" s="29" t="str">
        <x:f>IF(P319="","",IFERROR(INDEX(DM_MA_LOI!$F$6:$F$105,MATCH(P319,DM_MA_LOI!$A$6:$A$105,0)),""))</x:f>
      </x:c>
      <x:c r="T319" s="21"/>
      <x:c r="U319" s="21"/>
      <x:c r="V319" s="21"/>
      <x:c r="W319" s="21"/>
      <x:c r="X319" s="21"/>
      <x:c r="Y319" s="21"/>
      <x:c r="Z319" s="21"/>
      <x:c r="AA319" s="29" t="str">
        <x:f>IF(A319="","",IF(OR(B319="",C319="",D319="",H319="",K319="",L319=""),"Thiếu dữ liệu",IF(M319&lt;&gt;N319+O319,"Sai cân đối SL",IF(AND(O319&gt;0,P319=""),"Thiếu mã lỗi","Hợp lệ"))))</x:f>
      </x:c>
    </x:row>
    <x:row r="320">
      <x:c r="A320" s="21"/>
      <x:c r="B320" s="43"/>
      <x:c r="C320" s="21"/>
      <x:c r="D320" s="21"/>
      <x:c r="E320" s="21"/>
      <x:c r="F320" s="21"/>
      <x:c r="G320" s="29" t="str">
        <x:f>IF(OR(C320="",D320=""),"",C320&amp;"|"&amp;D320&amp;"|"&amp;IF(E320="","00",E320)&amp;"|"&amp;IF(F320="","01",F320))</x:f>
      </x:c>
      <x:c r="H320" s="21"/>
      <x:c r="I320" s="29" t="str">
        <x:f>IF(OR(G320="",H320=""),"",G320&amp;"|"&amp;TEXT(H320,"000"))</x:f>
      </x:c>
      <x:c r="J320" s="21"/>
      <x:c r="K320" s="21"/>
      <x:c r="L320" s="21"/>
      <x:c r="M320" s="23"/>
      <x:c r="N320" s="23"/>
      <x:c r="O320" s="23"/>
      <x:c r="P320" s="21"/>
      <x:c r="Q320" s="29" t="str">
        <x:f>IF(P320="","",IFERROR(INDEX(DM_MA_LOI!$B$6:$B$105,MATCH(P320,DM_MA_LOI!$A$6:$A$105,0)),""))</x:f>
      </x:c>
      <x:c r="R320" s="29" t="str">
        <x:f>IF(P320="","",IFERROR(INDEX(DM_MA_LOI!$E$6:$E$105,MATCH(P320,DM_MA_LOI!$A$6:$A$105,0)),""))</x:f>
      </x:c>
      <x:c r="S320" s="29" t="str">
        <x:f>IF(P320="","",IFERROR(INDEX(DM_MA_LOI!$F$6:$F$105,MATCH(P320,DM_MA_LOI!$A$6:$A$105,0)),""))</x:f>
      </x:c>
      <x:c r="T320" s="21"/>
      <x:c r="U320" s="21"/>
      <x:c r="V320" s="21"/>
      <x:c r="W320" s="21"/>
      <x:c r="X320" s="21"/>
      <x:c r="Y320" s="21"/>
      <x:c r="Z320" s="21"/>
      <x:c r="AA320" s="29" t="str">
        <x:f>IF(A320="","",IF(OR(B320="",C320="",D320="",H320="",K320="",L320=""),"Thiếu dữ liệu",IF(M320&lt;&gt;N320+O320,"Sai cân đối SL",IF(AND(O320&gt;0,P320=""),"Thiếu mã lỗi","Hợp lệ"))))</x:f>
      </x:c>
    </x:row>
    <x:row r="321">
      <x:c r="A321" s="21"/>
      <x:c r="B321" s="43"/>
      <x:c r="C321" s="21"/>
      <x:c r="D321" s="21"/>
      <x:c r="E321" s="21"/>
      <x:c r="F321" s="21"/>
      <x:c r="G321" s="29" t="str">
        <x:f>IF(OR(C321="",D321=""),"",C321&amp;"|"&amp;D321&amp;"|"&amp;IF(E321="","00",E321)&amp;"|"&amp;IF(F321="","01",F321))</x:f>
      </x:c>
      <x:c r="H321" s="21"/>
      <x:c r="I321" s="29" t="str">
        <x:f>IF(OR(G321="",H321=""),"",G321&amp;"|"&amp;TEXT(H321,"000"))</x:f>
      </x:c>
      <x:c r="J321" s="21"/>
      <x:c r="K321" s="21"/>
      <x:c r="L321" s="21"/>
      <x:c r="M321" s="23"/>
      <x:c r="N321" s="23"/>
      <x:c r="O321" s="23"/>
      <x:c r="P321" s="21"/>
      <x:c r="Q321" s="29" t="str">
        <x:f>IF(P321="","",IFERROR(INDEX(DM_MA_LOI!$B$6:$B$105,MATCH(P321,DM_MA_LOI!$A$6:$A$105,0)),""))</x:f>
      </x:c>
      <x:c r="R321" s="29" t="str">
        <x:f>IF(P321="","",IFERROR(INDEX(DM_MA_LOI!$E$6:$E$105,MATCH(P321,DM_MA_LOI!$A$6:$A$105,0)),""))</x:f>
      </x:c>
      <x:c r="S321" s="29" t="str">
        <x:f>IF(P321="","",IFERROR(INDEX(DM_MA_LOI!$F$6:$F$105,MATCH(P321,DM_MA_LOI!$A$6:$A$105,0)),""))</x:f>
      </x:c>
      <x:c r="T321" s="21"/>
      <x:c r="U321" s="21"/>
      <x:c r="V321" s="21"/>
      <x:c r="W321" s="21"/>
      <x:c r="X321" s="21"/>
      <x:c r="Y321" s="21"/>
      <x:c r="Z321" s="21"/>
      <x:c r="AA321" s="29" t="str">
        <x:f>IF(A321="","",IF(OR(B321="",C321="",D321="",H321="",K321="",L321=""),"Thiếu dữ liệu",IF(M321&lt;&gt;N321+O321,"Sai cân đối SL",IF(AND(O321&gt;0,P321=""),"Thiếu mã lỗi","Hợp lệ"))))</x:f>
      </x:c>
    </x:row>
    <x:row r="322">
      <x:c r="A322" s="21"/>
      <x:c r="B322" s="43"/>
      <x:c r="C322" s="21"/>
      <x:c r="D322" s="21"/>
      <x:c r="E322" s="21"/>
      <x:c r="F322" s="21"/>
      <x:c r="G322" s="29" t="str">
        <x:f>IF(OR(C322="",D322=""),"",C322&amp;"|"&amp;D322&amp;"|"&amp;IF(E322="","00",E322)&amp;"|"&amp;IF(F322="","01",F322))</x:f>
      </x:c>
      <x:c r="H322" s="21"/>
      <x:c r="I322" s="29" t="str">
        <x:f>IF(OR(G322="",H322=""),"",G322&amp;"|"&amp;TEXT(H322,"000"))</x:f>
      </x:c>
      <x:c r="J322" s="21"/>
      <x:c r="K322" s="21"/>
      <x:c r="L322" s="21"/>
      <x:c r="M322" s="23"/>
      <x:c r="N322" s="23"/>
      <x:c r="O322" s="23"/>
      <x:c r="P322" s="21"/>
      <x:c r="Q322" s="29" t="str">
        <x:f>IF(P322="","",IFERROR(INDEX(DM_MA_LOI!$B$6:$B$105,MATCH(P322,DM_MA_LOI!$A$6:$A$105,0)),""))</x:f>
      </x:c>
      <x:c r="R322" s="29" t="str">
        <x:f>IF(P322="","",IFERROR(INDEX(DM_MA_LOI!$E$6:$E$105,MATCH(P322,DM_MA_LOI!$A$6:$A$105,0)),""))</x:f>
      </x:c>
      <x:c r="S322" s="29" t="str">
        <x:f>IF(P322="","",IFERROR(INDEX(DM_MA_LOI!$F$6:$F$105,MATCH(P322,DM_MA_LOI!$A$6:$A$105,0)),""))</x:f>
      </x:c>
      <x:c r="T322" s="21"/>
      <x:c r="U322" s="21"/>
      <x:c r="V322" s="21"/>
      <x:c r="W322" s="21"/>
      <x:c r="X322" s="21"/>
      <x:c r="Y322" s="21"/>
      <x:c r="Z322" s="21"/>
      <x:c r="AA322" s="29" t="str">
        <x:f>IF(A322="","",IF(OR(B322="",C322="",D322="",H322="",K322="",L322=""),"Thiếu dữ liệu",IF(M322&lt;&gt;N322+O322,"Sai cân đối SL",IF(AND(O322&gt;0,P322=""),"Thiếu mã lỗi","Hợp lệ"))))</x:f>
      </x:c>
    </x:row>
    <x:row r="323">
      <x:c r="A323" s="21"/>
      <x:c r="B323" s="43"/>
      <x:c r="C323" s="21"/>
      <x:c r="D323" s="21"/>
      <x:c r="E323" s="21"/>
      <x:c r="F323" s="21"/>
      <x:c r="G323" s="29" t="str">
        <x:f>IF(OR(C323="",D323=""),"",C323&amp;"|"&amp;D323&amp;"|"&amp;IF(E323="","00",E323)&amp;"|"&amp;IF(F323="","01",F323))</x:f>
      </x:c>
      <x:c r="H323" s="21"/>
      <x:c r="I323" s="29" t="str">
        <x:f>IF(OR(G323="",H323=""),"",G323&amp;"|"&amp;TEXT(H323,"000"))</x:f>
      </x:c>
      <x:c r="J323" s="21"/>
      <x:c r="K323" s="21"/>
      <x:c r="L323" s="21"/>
      <x:c r="M323" s="23"/>
      <x:c r="N323" s="23"/>
      <x:c r="O323" s="23"/>
      <x:c r="P323" s="21"/>
      <x:c r="Q323" s="29" t="str">
        <x:f>IF(P323="","",IFERROR(INDEX(DM_MA_LOI!$B$6:$B$105,MATCH(P323,DM_MA_LOI!$A$6:$A$105,0)),""))</x:f>
      </x:c>
      <x:c r="R323" s="29" t="str">
        <x:f>IF(P323="","",IFERROR(INDEX(DM_MA_LOI!$E$6:$E$105,MATCH(P323,DM_MA_LOI!$A$6:$A$105,0)),""))</x:f>
      </x:c>
      <x:c r="S323" s="29" t="str">
        <x:f>IF(P323="","",IFERROR(INDEX(DM_MA_LOI!$F$6:$F$105,MATCH(P323,DM_MA_LOI!$A$6:$A$105,0)),""))</x:f>
      </x:c>
      <x:c r="T323" s="21"/>
      <x:c r="U323" s="21"/>
      <x:c r="V323" s="21"/>
      <x:c r="W323" s="21"/>
      <x:c r="X323" s="21"/>
      <x:c r="Y323" s="21"/>
      <x:c r="Z323" s="21"/>
      <x:c r="AA323" s="29" t="str">
        <x:f>IF(A323="","",IF(OR(B323="",C323="",D323="",H323="",K323="",L323=""),"Thiếu dữ liệu",IF(M323&lt;&gt;N323+O323,"Sai cân đối SL",IF(AND(O323&gt;0,P323=""),"Thiếu mã lỗi","Hợp lệ"))))</x:f>
      </x:c>
    </x:row>
    <x:row r="324">
      <x:c r="A324" s="21"/>
      <x:c r="B324" s="43"/>
      <x:c r="C324" s="21"/>
      <x:c r="D324" s="21"/>
      <x:c r="E324" s="21"/>
      <x:c r="F324" s="21"/>
      <x:c r="G324" s="29" t="str">
        <x:f>IF(OR(C324="",D324=""),"",C324&amp;"|"&amp;D324&amp;"|"&amp;IF(E324="","00",E324)&amp;"|"&amp;IF(F324="","01",F324))</x:f>
      </x:c>
      <x:c r="H324" s="21"/>
      <x:c r="I324" s="29" t="str">
        <x:f>IF(OR(G324="",H324=""),"",G324&amp;"|"&amp;TEXT(H324,"000"))</x:f>
      </x:c>
      <x:c r="J324" s="21"/>
      <x:c r="K324" s="21"/>
      <x:c r="L324" s="21"/>
      <x:c r="M324" s="23"/>
      <x:c r="N324" s="23"/>
      <x:c r="O324" s="23"/>
      <x:c r="P324" s="21"/>
      <x:c r="Q324" s="29" t="str">
        <x:f>IF(P324="","",IFERROR(INDEX(DM_MA_LOI!$B$6:$B$105,MATCH(P324,DM_MA_LOI!$A$6:$A$105,0)),""))</x:f>
      </x:c>
      <x:c r="R324" s="29" t="str">
        <x:f>IF(P324="","",IFERROR(INDEX(DM_MA_LOI!$E$6:$E$105,MATCH(P324,DM_MA_LOI!$A$6:$A$105,0)),""))</x:f>
      </x:c>
      <x:c r="S324" s="29" t="str">
        <x:f>IF(P324="","",IFERROR(INDEX(DM_MA_LOI!$F$6:$F$105,MATCH(P324,DM_MA_LOI!$A$6:$A$105,0)),""))</x:f>
      </x:c>
      <x:c r="T324" s="21"/>
      <x:c r="U324" s="21"/>
      <x:c r="V324" s="21"/>
      <x:c r="W324" s="21"/>
      <x:c r="X324" s="21"/>
      <x:c r="Y324" s="21"/>
      <x:c r="Z324" s="21"/>
      <x:c r="AA324" s="29" t="str">
        <x:f>IF(A324="","",IF(OR(B324="",C324="",D324="",H324="",K324="",L324=""),"Thiếu dữ liệu",IF(M324&lt;&gt;N324+O324,"Sai cân đối SL",IF(AND(O324&gt;0,P324=""),"Thiếu mã lỗi","Hợp lệ"))))</x:f>
      </x:c>
    </x:row>
    <x:row r="325">
      <x:c r="A325" s="21"/>
      <x:c r="B325" s="43"/>
      <x:c r="C325" s="21"/>
      <x:c r="D325" s="21"/>
      <x:c r="E325" s="21"/>
      <x:c r="F325" s="21"/>
      <x:c r="G325" s="29" t="str">
        <x:f>IF(OR(C325="",D325=""),"",C325&amp;"|"&amp;D325&amp;"|"&amp;IF(E325="","00",E325)&amp;"|"&amp;IF(F325="","01",F325))</x:f>
      </x:c>
      <x:c r="H325" s="21"/>
      <x:c r="I325" s="29" t="str">
        <x:f>IF(OR(G325="",H325=""),"",G325&amp;"|"&amp;TEXT(H325,"000"))</x:f>
      </x:c>
      <x:c r="J325" s="21"/>
      <x:c r="K325" s="21"/>
      <x:c r="L325" s="21"/>
      <x:c r="M325" s="23"/>
      <x:c r="N325" s="23"/>
      <x:c r="O325" s="23"/>
      <x:c r="P325" s="21"/>
      <x:c r="Q325" s="29" t="str">
        <x:f>IF(P325="","",IFERROR(INDEX(DM_MA_LOI!$B$6:$B$105,MATCH(P325,DM_MA_LOI!$A$6:$A$105,0)),""))</x:f>
      </x:c>
      <x:c r="R325" s="29" t="str">
        <x:f>IF(P325="","",IFERROR(INDEX(DM_MA_LOI!$E$6:$E$105,MATCH(P325,DM_MA_LOI!$A$6:$A$105,0)),""))</x:f>
      </x:c>
      <x:c r="S325" s="29" t="str">
        <x:f>IF(P325="","",IFERROR(INDEX(DM_MA_LOI!$F$6:$F$105,MATCH(P325,DM_MA_LOI!$A$6:$A$105,0)),""))</x:f>
      </x:c>
      <x:c r="T325" s="21"/>
      <x:c r="U325" s="21"/>
      <x:c r="V325" s="21"/>
      <x:c r="W325" s="21"/>
      <x:c r="X325" s="21"/>
      <x:c r="Y325" s="21"/>
      <x:c r="Z325" s="21"/>
      <x:c r="AA325" s="29" t="str">
        <x:f>IF(A325="","",IF(OR(B325="",C325="",D325="",H325="",K325="",L325=""),"Thiếu dữ liệu",IF(M325&lt;&gt;N325+O325,"Sai cân đối SL",IF(AND(O325&gt;0,P325=""),"Thiếu mã lỗi","Hợp lệ"))))</x:f>
      </x:c>
    </x:row>
    <x:row r="326">
      <x:c r="A326" s="21"/>
      <x:c r="B326" s="43"/>
      <x:c r="C326" s="21"/>
      <x:c r="D326" s="21"/>
      <x:c r="E326" s="21"/>
      <x:c r="F326" s="21"/>
      <x:c r="G326" s="29" t="str">
        <x:f>IF(OR(C326="",D326=""),"",C326&amp;"|"&amp;D326&amp;"|"&amp;IF(E326="","00",E326)&amp;"|"&amp;IF(F326="","01",F326))</x:f>
      </x:c>
      <x:c r="H326" s="21"/>
      <x:c r="I326" s="29" t="str">
        <x:f>IF(OR(G326="",H326=""),"",G326&amp;"|"&amp;TEXT(H326,"000"))</x:f>
      </x:c>
      <x:c r="J326" s="21"/>
      <x:c r="K326" s="21"/>
      <x:c r="L326" s="21"/>
      <x:c r="M326" s="23"/>
      <x:c r="N326" s="23"/>
      <x:c r="O326" s="23"/>
      <x:c r="P326" s="21"/>
      <x:c r="Q326" s="29" t="str">
        <x:f>IF(P326="","",IFERROR(INDEX(DM_MA_LOI!$B$6:$B$105,MATCH(P326,DM_MA_LOI!$A$6:$A$105,0)),""))</x:f>
      </x:c>
      <x:c r="R326" s="29" t="str">
        <x:f>IF(P326="","",IFERROR(INDEX(DM_MA_LOI!$E$6:$E$105,MATCH(P326,DM_MA_LOI!$A$6:$A$105,0)),""))</x:f>
      </x:c>
      <x:c r="S326" s="29" t="str">
        <x:f>IF(P326="","",IFERROR(INDEX(DM_MA_LOI!$F$6:$F$105,MATCH(P326,DM_MA_LOI!$A$6:$A$105,0)),""))</x:f>
      </x:c>
      <x:c r="T326" s="21"/>
      <x:c r="U326" s="21"/>
      <x:c r="V326" s="21"/>
      <x:c r="W326" s="21"/>
      <x:c r="X326" s="21"/>
      <x:c r="Y326" s="21"/>
      <x:c r="Z326" s="21"/>
      <x:c r="AA326" s="29" t="str">
        <x:f>IF(A326="","",IF(OR(B326="",C326="",D326="",H326="",K326="",L326=""),"Thiếu dữ liệu",IF(M326&lt;&gt;N326+O326,"Sai cân đối SL",IF(AND(O326&gt;0,P326=""),"Thiếu mã lỗi","Hợp lệ"))))</x:f>
      </x:c>
    </x:row>
    <x:row r="327">
      <x:c r="A327" s="21"/>
      <x:c r="B327" s="43"/>
      <x:c r="C327" s="21"/>
      <x:c r="D327" s="21"/>
      <x:c r="E327" s="21"/>
      <x:c r="F327" s="21"/>
      <x:c r="G327" s="29" t="str">
        <x:f>IF(OR(C327="",D327=""),"",C327&amp;"|"&amp;D327&amp;"|"&amp;IF(E327="","00",E327)&amp;"|"&amp;IF(F327="","01",F327))</x:f>
      </x:c>
      <x:c r="H327" s="21"/>
      <x:c r="I327" s="29" t="str">
        <x:f>IF(OR(G327="",H327=""),"",G327&amp;"|"&amp;TEXT(H327,"000"))</x:f>
      </x:c>
      <x:c r="J327" s="21"/>
      <x:c r="K327" s="21"/>
      <x:c r="L327" s="21"/>
      <x:c r="M327" s="23"/>
      <x:c r="N327" s="23"/>
      <x:c r="O327" s="23"/>
      <x:c r="P327" s="21"/>
      <x:c r="Q327" s="29" t="str">
        <x:f>IF(P327="","",IFERROR(INDEX(DM_MA_LOI!$B$6:$B$105,MATCH(P327,DM_MA_LOI!$A$6:$A$105,0)),""))</x:f>
      </x:c>
      <x:c r="R327" s="29" t="str">
        <x:f>IF(P327="","",IFERROR(INDEX(DM_MA_LOI!$E$6:$E$105,MATCH(P327,DM_MA_LOI!$A$6:$A$105,0)),""))</x:f>
      </x:c>
      <x:c r="S327" s="29" t="str">
        <x:f>IF(P327="","",IFERROR(INDEX(DM_MA_LOI!$F$6:$F$105,MATCH(P327,DM_MA_LOI!$A$6:$A$105,0)),""))</x:f>
      </x:c>
      <x:c r="T327" s="21"/>
      <x:c r="U327" s="21"/>
      <x:c r="V327" s="21"/>
      <x:c r="W327" s="21"/>
      <x:c r="X327" s="21"/>
      <x:c r="Y327" s="21"/>
      <x:c r="Z327" s="21"/>
      <x:c r="AA327" s="29" t="str">
        <x:f>IF(A327="","",IF(OR(B327="",C327="",D327="",H327="",K327="",L327=""),"Thiếu dữ liệu",IF(M327&lt;&gt;N327+O327,"Sai cân đối SL",IF(AND(O327&gt;0,P327=""),"Thiếu mã lỗi","Hợp lệ"))))</x:f>
      </x:c>
    </x:row>
    <x:row r="328">
      <x:c r="A328" s="21"/>
      <x:c r="B328" s="43"/>
      <x:c r="C328" s="21"/>
      <x:c r="D328" s="21"/>
      <x:c r="E328" s="21"/>
      <x:c r="F328" s="21"/>
      <x:c r="G328" s="29" t="str">
        <x:f>IF(OR(C328="",D328=""),"",C328&amp;"|"&amp;D328&amp;"|"&amp;IF(E328="","00",E328)&amp;"|"&amp;IF(F328="","01",F328))</x:f>
      </x:c>
      <x:c r="H328" s="21"/>
      <x:c r="I328" s="29" t="str">
        <x:f>IF(OR(G328="",H328=""),"",G328&amp;"|"&amp;TEXT(H328,"000"))</x:f>
      </x:c>
      <x:c r="J328" s="21"/>
      <x:c r="K328" s="21"/>
      <x:c r="L328" s="21"/>
      <x:c r="M328" s="23"/>
      <x:c r="N328" s="23"/>
      <x:c r="O328" s="23"/>
      <x:c r="P328" s="21"/>
      <x:c r="Q328" s="29" t="str">
        <x:f>IF(P328="","",IFERROR(INDEX(DM_MA_LOI!$B$6:$B$105,MATCH(P328,DM_MA_LOI!$A$6:$A$105,0)),""))</x:f>
      </x:c>
      <x:c r="R328" s="29" t="str">
        <x:f>IF(P328="","",IFERROR(INDEX(DM_MA_LOI!$E$6:$E$105,MATCH(P328,DM_MA_LOI!$A$6:$A$105,0)),""))</x:f>
      </x:c>
      <x:c r="S328" s="29" t="str">
        <x:f>IF(P328="","",IFERROR(INDEX(DM_MA_LOI!$F$6:$F$105,MATCH(P328,DM_MA_LOI!$A$6:$A$105,0)),""))</x:f>
      </x:c>
      <x:c r="T328" s="21"/>
      <x:c r="U328" s="21"/>
      <x:c r="V328" s="21"/>
      <x:c r="W328" s="21"/>
      <x:c r="X328" s="21"/>
      <x:c r="Y328" s="21"/>
      <x:c r="Z328" s="21"/>
      <x:c r="AA328" s="29" t="str">
        <x:f>IF(A328="","",IF(OR(B328="",C328="",D328="",H328="",K328="",L328=""),"Thiếu dữ liệu",IF(M328&lt;&gt;N328+O328,"Sai cân đối SL",IF(AND(O328&gt;0,P328=""),"Thiếu mã lỗi","Hợp lệ"))))</x:f>
      </x:c>
    </x:row>
    <x:row r="329">
      <x:c r="A329" s="21"/>
      <x:c r="B329" s="43"/>
      <x:c r="C329" s="21"/>
      <x:c r="D329" s="21"/>
      <x:c r="E329" s="21"/>
      <x:c r="F329" s="21"/>
      <x:c r="G329" s="29" t="str">
        <x:f>IF(OR(C329="",D329=""),"",C329&amp;"|"&amp;D329&amp;"|"&amp;IF(E329="","00",E329)&amp;"|"&amp;IF(F329="","01",F329))</x:f>
      </x:c>
      <x:c r="H329" s="21"/>
      <x:c r="I329" s="29" t="str">
        <x:f>IF(OR(G329="",H329=""),"",G329&amp;"|"&amp;TEXT(H329,"000"))</x:f>
      </x:c>
      <x:c r="J329" s="21"/>
      <x:c r="K329" s="21"/>
      <x:c r="L329" s="21"/>
      <x:c r="M329" s="23"/>
      <x:c r="N329" s="23"/>
      <x:c r="O329" s="23"/>
      <x:c r="P329" s="21"/>
      <x:c r="Q329" s="29" t="str">
        <x:f>IF(P329="","",IFERROR(INDEX(DM_MA_LOI!$B$6:$B$105,MATCH(P329,DM_MA_LOI!$A$6:$A$105,0)),""))</x:f>
      </x:c>
      <x:c r="R329" s="29" t="str">
        <x:f>IF(P329="","",IFERROR(INDEX(DM_MA_LOI!$E$6:$E$105,MATCH(P329,DM_MA_LOI!$A$6:$A$105,0)),""))</x:f>
      </x:c>
      <x:c r="S329" s="29" t="str">
        <x:f>IF(P329="","",IFERROR(INDEX(DM_MA_LOI!$F$6:$F$105,MATCH(P329,DM_MA_LOI!$A$6:$A$105,0)),""))</x:f>
      </x:c>
      <x:c r="T329" s="21"/>
      <x:c r="U329" s="21"/>
      <x:c r="V329" s="21"/>
      <x:c r="W329" s="21"/>
      <x:c r="X329" s="21"/>
      <x:c r="Y329" s="21"/>
      <x:c r="Z329" s="21"/>
      <x:c r="AA329" s="29" t="str">
        <x:f>IF(A329="","",IF(OR(B329="",C329="",D329="",H329="",K329="",L329=""),"Thiếu dữ liệu",IF(M329&lt;&gt;N329+O329,"Sai cân đối SL",IF(AND(O329&gt;0,P329=""),"Thiếu mã lỗi","Hợp lệ"))))</x:f>
      </x:c>
    </x:row>
    <x:row r="330">
      <x:c r="A330" s="21"/>
      <x:c r="B330" s="43"/>
      <x:c r="C330" s="21"/>
      <x:c r="D330" s="21"/>
      <x:c r="E330" s="21"/>
      <x:c r="F330" s="21"/>
      <x:c r="G330" s="29" t="str">
        <x:f>IF(OR(C330="",D330=""),"",C330&amp;"|"&amp;D330&amp;"|"&amp;IF(E330="","00",E330)&amp;"|"&amp;IF(F330="","01",F330))</x:f>
      </x:c>
      <x:c r="H330" s="21"/>
      <x:c r="I330" s="29" t="str">
        <x:f>IF(OR(G330="",H330=""),"",G330&amp;"|"&amp;TEXT(H330,"000"))</x:f>
      </x:c>
      <x:c r="J330" s="21"/>
      <x:c r="K330" s="21"/>
      <x:c r="L330" s="21"/>
      <x:c r="M330" s="23"/>
      <x:c r="N330" s="23"/>
      <x:c r="O330" s="23"/>
      <x:c r="P330" s="21"/>
      <x:c r="Q330" s="29" t="str">
        <x:f>IF(P330="","",IFERROR(INDEX(DM_MA_LOI!$B$6:$B$105,MATCH(P330,DM_MA_LOI!$A$6:$A$105,0)),""))</x:f>
      </x:c>
      <x:c r="R330" s="29" t="str">
        <x:f>IF(P330="","",IFERROR(INDEX(DM_MA_LOI!$E$6:$E$105,MATCH(P330,DM_MA_LOI!$A$6:$A$105,0)),""))</x:f>
      </x:c>
      <x:c r="S330" s="29" t="str">
        <x:f>IF(P330="","",IFERROR(INDEX(DM_MA_LOI!$F$6:$F$105,MATCH(P330,DM_MA_LOI!$A$6:$A$105,0)),""))</x:f>
      </x:c>
      <x:c r="T330" s="21"/>
      <x:c r="U330" s="21"/>
      <x:c r="V330" s="21"/>
      <x:c r="W330" s="21"/>
      <x:c r="X330" s="21"/>
      <x:c r="Y330" s="21"/>
      <x:c r="Z330" s="21"/>
      <x:c r="AA330" s="29" t="str">
        <x:f>IF(A330="","",IF(OR(B330="",C330="",D330="",H330="",K330="",L330=""),"Thiếu dữ liệu",IF(M330&lt;&gt;N330+O330,"Sai cân đối SL",IF(AND(O330&gt;0,P330=""),"Thiếu mã lỗi","Hợp lệ"))))</x:f>
      </x:c>
    </x:row>
    <x:row r="331">
      <x:c r="A331" s="21"/>
      <x:c r="B331" s="43"/>
      <x:c r="C331" s="21"/>
      <x:c r="D331" s="21"/>
      <x:c r="E331" s="21"/>
      <x:c r="F331" s="21"/>
      <x:c r="G331" s="29" t="str">
        <x:f>IF(OR(C331="",D331=""),"",C331&amp;"|"&amp;D331&amp;"|"&amp;IF(E331="","00",E331)&amp;"|"&amp;IF(F331="","01",F331))</x:f>
      </x:c>
      <x:c r="H331" s="21"/>
      <x:c r="I331" s="29" t="str">
        <x:f>IF(OR(G331="",H331=""),"",G331&amp;"|"&amp;TEXT(H331,"000"))</x:f>
      </x:c>
      <x:c r="J331" s="21"/>
      <x:c r="K331" s="21"/>
      <x:c r="L331" s="21"/>
      <x:c r="M331" s="23"/>
      <x:c r="N331" s="23"/>
      <x:c r="O331" s="23"/>
      <x:c r="P331" s="21"/>
      <x:c r="Q331" s="29" t="str">
        <x:f>IF(P331="","",IFERROR(INDEX(DM_MA_LOI!$B$6:$B$105,MATCH(P331,DM_MA_LOI!$A$6:$A$105,0)),""))</x:f>
      </x:c>
      <x:c r="R331" s="29" t="str">
        <x:f>IF(P331="","",IFERROR(INDEX(DM_MA_LOI!$E$6:$E$105,MATCH(P331,DM_MA_LOI!$A$6:$A$105,0)),""))</x:f>
      </x:c>
      <x:c r="S331" s="29" t="str">
        <x:f>IF(P331="","",IFERROR(INDEX(DM_MA_LOI!$F$6:$F$105,MATCH(P331,DM_MA_LOI!$A$6:$A$105,0)),""))</x:f>
      </x:c>
      <x:c r="T331" s="21"/>
      <x:c r="U331" s="21"/>
      <x:c r="V331" s="21"/>
      <x:c r="W331" s="21"/>
      <x:c r="X331" s="21"/>
      <x:c r="Y331" s="21"/>
      <x:c r="Z331" s="21"/>
      <x:c r="AA331" s="29" t="str">
        <x:f>IF(A331="","",IF(OR(B331="",C331="",D331="",H331="",K331="",L331=""),"Thiếu dữ liệu",IF(M331&lt;&gt;N331+O331,"Sai cân đối SL",IF(AND(O331&gt;0,P331=""),"Thiếu mã lỗi","Hợp lệ"))))</x:f>
      </x:c>
    </x:row>
    <x:row r="332">
      <x:c r="A332" s="21"/>
      <x:c r="B332" s="43"/>
      <x:c r="C332" s="21"/>
      <x:c r="D332" s="21"/>
      <x:c r="E332" s="21"/>
      <x:c r="F332" s="21"/>
      <x:c r="G332" s="29" t="str">
        <x:f>IF(OR(C332="",D332=""),"",C332&amp;"|"&amp;D332&amp;"|"&amp;IF(E332="","00",E332)&amp;"|"&amp;IF(F332="","01",F332))</x:f>
      </x:c>
      <x:c r="H332" s="21"/>
      <x:c r="I332" s="29" t="str">
        <x:f>IF(OR(G332="",H332=""),"",G332&amp;"|"&amp;TEXT(H332,"000"))</x:f>
      </x:c>
      <x:c r="J332" s="21"/>
      <x:c r="K332" s="21"/>
      <x:c r="L332" s="21"/>
      <x:c r="M332" s="23"/>
      <x:c r="N332" s="23"/>
      <x:c r="O332" s="23"/>
      <x:c r="P332" s="21"/>
      <x:c r="Q332" s="29" t="str">
        <x:f>IF(P332="","",IFERROR(INDEX(DM_MA_LOI!$B$6:$B$105,MATCH(P332,DM_MA_LOI!$A$6:$A$105,0)),""))</x:f>
      </x:c>
      <x:c r="R332" s="29" t="str">
        <x:f>IF(P332="","",IFERROR(INDEX(DM_MA_LOI!$E$6:$E$105,MATCH(P332,DM_MA_LOI!$A$6:$A$105,0)),""))</x:f>
      </x:c>
      <x:c r="S332" s="29" t="str">
        <x:f>IF(P332="","",IFERROR(INDEX(DM_MA_LOI!$F$6:$F$105,MATCH(P332,DM_MA_LOI!$A$6:$A$105,0)),""))</x:f>
      </x:c>
      <x:c r="T332" s="21"/>
      <x:c r="U332" s="21"/>
      <x:c r="V332" s="21"/>
      <x:c r="W332" s="21"/>
      <x:c r="X332" s="21"/>
      <x:c r="Y332" s="21"/>
      <x:c r="Z332" s="21"/>
      <x:c r="AA332" s="29" t="str">
        <x:f>IF(A332="","",IF(OR(B332="",C332="",D332="",H332="",K332="",L332=""),"Thiếu dữ liệu",IF(M332&lt;&gt;N332+O332,"Sai cân đối SL",IF(AND(O332&gt;0,P332=""),"Thiếu mã lỗi","Hợp lệ"))))</x:f>
      </x:c>
    </x:row>
    <x:row r="333">
      <x:c r="A333" s="21"/>
      <x:c r="B333" s="43"/>
      <x:c r="C333" s="21"/>
      <x:c r="D333" s="21"/>
      <x:c r="E333" s="21"/>
      <x:c r="F333" s="21"/>
      <x:c r="G333" s="29" t="str">
        <x:f>IF(OR(C333="",D333=""),"",C333&amp;"|"&amp;D333&amp;"|"&amp;IF(E333="","00",E333)&amp;"|"&amp;IF(F333="","01",F333))</x:f>
      </x:c>
      <x:c r="H333" s="21"/>
      <x:c r="I333" s="29" t="str">
        <x:f>IF(OR(G333="",H333=""),"",G333&amp;"|"&amp;TEXT(H333,"000"))</x:f>
      </x:c>
      <x:c r="J333" s="21"/>
      <x:c r="K333" s="21"/>
      <x:c r="L333" s="21"/>
      <x:c r="M333" s="23"/>
      <x:c r="N333" s="23"/>
      <x:c r="O333" s="23"/>
      <x:c r="P333" s="21"/>
      <x:c r="Q333" s="29" t="str">
        <x:f>IF(P333="","",IFERROR(INDEX(DM_MA_LOI!$B$6:$B$105,MATCH(P333,DM_MA_LOI!$A$6:$A$105,0)),""))</x:f>
      </x:c>
      <x:c r="R333" s="29" t="str">
        <x:f>IF(P333="","",IFERROR(INDEX(DM_MA_LOI!$E$6:$E$105,MATCH(P333,DM_MA_LOI!$A$6:$A$105,0)),""))</x:f>
      </x:c>
      <x:c r="S333" s="29" t="str">
        <x:f>IF(P333="","",IFERROR(INDEX(DM_MA_LOI!$F$6:$F$105,MATCH(P333,DM_MA_LOI!$A$6:$A$105,0)),""))</x:f>
      </x:c>
      <x:c r="T333" s="21"/>
      <x:c r="U333" s="21"/>
      <x:c r="V333" s="21"/>
      <x:c r="W333" s="21"/>
      <x:c r="X333" s="21"/>
      <x:c r="Y333" s="21"/>
      <x:c r="Z333" s="21"/>
      <x:c r="AA333" s="29" t="str">
        <x:f>IF(A333="","",IF(OR(B333="",C333="",D333="",H333="",K333="",L333=""),"Thiếu dữ liệu",IF(M333&lt;&gt;N333+O333,"Sai cân đối SL",IF(AND(O333&gt;0,P333=""),"Thiếu mã lỗi","Hợp lệ"))))</x:f>
      </x:c>
    </x:row>
    <x:row r="334">
      <x:c r="A334" s="21"/>
      <x:c r="B334" s="43"/>
      <x:c r="C334" s="21"/>
      <x:c r="D334" s="21"/>
      <x:c r="E334" s="21"/>
      <x:c r="F334" s="21"/>
      <x:c r="G334" s="29" t="str">
        <x:f>IF(OR(C334="",D334=""),"",C334&amp;"|"&amp;D334&amp;"|"&amp;IF(E334="","00",E334)&amp;"|"&amp;IF(F334="","01",F334))</x:f>
      </x:c>
      <x:c r="H334" s="21"/>
      <x:c r="I334" s="29" t="str">
        <x:f>IF(OR(G334="",H334=""),"",G334&amp;"|"&amp;TEXT(H334,"000"))</x:f>
      </x:c>
      <x:c r="J334" s="21"/>
      <x:c r="K334" s="21"/>
      <x:c r="L334" s="21"/>
      <x:c r="M334" s="23"/>
      <x:c r="N334" s="23"/>
      <x:c r="O334" s="23"/>
      <x:c r="P334" s="21"/>
      <x:c r="Q334" s="29" t="str">
        <x:f>IF(P334="","",IFERROR(INDEX(DM_MA_LOI!$B$6:$B$105,MATCH(P334,DM_MA_LOI!$A$6:$A$105,0)),""))</x:f>
      </x:c>
      <x:c r="R334" s="29" t="str">
        <x:f>IF(P334="","",IFERROR(INDEX(DM_MA_LOI!$E$6:$E$105,MATCH(P334,DM_MA_LOI!$A$6:$A$105,0)),""))</x:f>
      </x:c>
      <x:c r="S334" s="29" t="str">
        <x:f>IF(P334="","",IFERROR(INDEX(DM_MA_LOI!$F$6:$F$105,MATCH(P334,DM_MA_LOI!$A$6:$A$105,0)),""))</x:f>
      </x:c>
      <x:c r="T334" s="21"/>
      <x:c r="U334" s="21"/>
      <x:c r="V334" s="21"/>
      <x:c r="W334" s="21"/>
      <x:c r="X334" s="21"/>
      <x:c r="Y334" s="21"/>
      <x:c r="Z334" s="21"/>
      <x:c r="AA334" s="29" t="str">
        <x:f>IF(A334="","",IF(OR(B334="",C334="",D334="",H334="",K334="",L334=""),"Thiếu dữ liệu",IF(M334&lt;&gt;N334+O334,"Sai cân đối SL",IF(AND(O334&gt;0,P334=""),"Thiếu mã lỗi","Hợp lệ"))))</x:f>
      </x:c>
    </x:row>
    <x:row r="335">
      <x:c r="A335" s="21"/>
      <x:c r="B335" s="43"/>
      <x:c r="C335" s="21"/>
      <x:c r="D335" s="21"/>
      <x:c r="E335" s="21"/>
      <x:c r="F335" s="21"/>
      <x:c r="G335" s="29" t="str">
        <x:f>IF(OR(C335="",D335=""),"",C335&amp;"|"&amp;D335&amp;"|"&amp;IF(E335="","00",E335)&amp;"|"&amp;IF(F335="","01",F335))</x:f>
      </x:c>
      <x:c r="H335" s="21"/>
      <x:c r="I335" s="29" t="str">
        <x:f>IF(OR(G335="",H335=""),"",G335&amp;"|"&amp;TEXT(H335,"000"))</x:f>
      </x:c>
      <x:c r="J335" s="21"/>
      <x:c r="K335" s="21"/>
      <x:c r="L335" s="21"/>
      <x:c r="M335" s="23"/>
      <x:c r="N335" s="23"/>
      <x:c r="O335" s="23"/>
      <x:c r="P335" s="21"/>
      <x:c r="Q335" s="29" t="str">
        <x:f>IF(P335="","",IFERROR(INDEX(DM_MA_LOI!$B$6:$B$105,MATCH(P335,DM_MA_LOI!$A$6:$A$105,0)),""))</x:f>
      </x:c>
      <x:c r="R335" s="29" t="str">
        <x:f>IF(P335="","",IFERROR(INDEX(DM_MA_LOI!$E$6:$E$105,MATCH(P335,DM_MA_LOI!$A$6:$A$105,0)),""))</x:f>
      </x:c>
      <x:c r="S335" s="29" t="str">
        <x:f>IF(P335="","",IFERROR(INDEX(DM_MA_LOI!$F$6:$F$105,MATCH(P335,DM_MA_LOI!$A$6:$A$105,0)),""))</x:f>
      </x:c>
      <x:c r="T335" s="21"/>
      <x:c r="U335" s="21"/>
      <x:c r="V335" s="21"/>
      <x:c r="W335" s="21"/>
      <x:c r="X335" s="21"/>
      <x:c r="Y335" s="21"/>
      <x:c r="Z335" s="21"/>
      <x:c r="AA335" s="29" t="str">
        <x:f>IF(A335="","",IF(OR(B335="",C335="",D335="",H335="",K335="",L335=""),"Thiếu dữ liệu",IF(M335&lt;&gt;N335+O335,"Sai cân đối SL",IF(AND(O335&gt;0,P335=""),"Thiếu mã lỗi","Hợp lệ"))))</x:f>
      </x:c>
    </x:row>
    <x:row r="336">
      <x:c r="A336" s="21"/>
      <x:c r="B336" s="43"/>
      <x:c r="C336" s="21"/>
      <x:c r="D336" s="21"/>
      <x:c r="E336" s="21"/>
      <x:c r="F336" s="21"/>
      <x:c r="G336" s="29" t="str">
        <x:f>IF(OR(C336="",D336=""),"",C336&amp;"|"&amp;D336&amp;"|"&amp;IF(E336="","00",E336)&amp;"|"&amp;IF(F336="","01",F336))</x:f>
      </x:c>
      <x:c r="H336" s="21"/>
      <x:c r="I336" s="29" t="str">
        <x:f>IF(OR(G336="",H336=""),"",G336&amp;"|"&amp;TEXT(H336,"000"))</x:f>
      </x:c>
      <x:c r="J336" s="21"/>
      <x:c r="K336" s="21"/>
      <x:c r="L336" s="21"/>
      <x:c r="M336" s="23"/>
      <x:c r="N336" s="23"/>
      <x:c r="O336" s="23"/>
      <x:c r="P336" s="21"/>
      <x:c r="Q336" s="29" t="str">
        <x:f>IF(P336="","",IFERROR(INDEX(DM_MA_LOI!$B$6:$B$105,MATCH(P336,DM_MA_LOI!$A$6:$A$105,0)),""))</x:f>
      </x:c>
      <x:c r="R336" s="29" t="str">
        <x:f>IF(P336="","",IFERROR(INDEX(DM_MA_LOI!$E$6:$E$105,MATCH(P336,DM_MA_LOI!$A$6:$A$105,0)),""))</x:f>
      </x:c>
      <x:c r="S336" s="29" t="str">
        <x:f>IF(P336="","",IFERROR(INDEX(DM_MA_LOI!$F$6:$F$105,MATCH(P336,DM_MA_LOI!$A$6:$A$105,0)),""))</x:f>
      </x:c>
      <x:c r="T336" s="21"/>
      <x:c r="U336" s="21"/>
      <x:c r="V336" s="21"/>
      <x:c r="W336" s="21"/>
      <x:c r="X336" s="21"/>
      <x:c r="Y336" s="21"/>
      <x:c r="Z336" s="21"/>
      <x:c r="AA336" s="29" t="str">
        <x:f>IF(A336="","",IF(OR(B336="",C336="",D336="",H336="",K336="",L336=""),"Thiếu dữ liệu",IF(M336&lt;&gt;N336+O336,"Sai cân đối SL",IF(AND(O336&gt;0,P336=""),"Thiếu mã lỗi","Hợp lệ"))))</x:f>
      </x:c>
    </x:row>
    <x:row r="337">
      <x:c r="A337" s="21"/>
      <x:c r="B337" s="43"/>
      <x:c r="C337" s="21"/>
      <x:c r="D337" s="21"/>
      <x:c r="E337" s="21"/>
      <x:c r="F337" s="21"/>
      <x:c r="G337" s="29" t="str">
        <x:f>IF(OR(C337="",D337=""),"",C337&amp;"|"&amp;D337&amp;"|"&amp;IF(E337="","00",E337)&amp;"|"&amp;IF(F337="","01",F337))</x:f>
      </x:c>
      <x:c r="H337" s="21"/>
      <x:c r="I337" s="29" t="str">
        <x:f>IF(OR(G337="",H337=""),"",G337&amp;"|"&amp;TEXT(H337,"000"))</x:f>
      </x:c>
      <x:c r="J337" s="21"/>
      <x:c r="K337" s="21"/>
      <x:c r="L337" s="21"/>
      <x:c r="M337" s="23"/>
      <x:c r="N337" s="23"/>
      <x:c r="O337" s="23"/>
      <x:c r="P337" s="21"/>
      <x:c r="Q337" s="29" t="str">
        <x:f>IF(P337="","",IFERROR(INDEX(DM_MA_LOI!$B$6:$B$105,MATCH(P337,DM_MA_LOI!$A$6:$A$105,0)),""))</x:f>
      </x:c>
      <x:c r="R337" s="29" t="str">
        <x:f>IF(P337="","",IFERROR(INDEX(DM_MA_LOI!$E$6:$E$105,MATCH(P337,DM_MA_LOI!$A$6:$A$105,0)),""))</x:f>
      </x:c>
      <x:c r="S337" s="29" t="str">
        <x:f>IF(P337="","",IFERROR(INDEX(DM_MA_LOI!$F$6:$F$105,MATCH(P337,DM_MA_LOI!$A$6:$A$105,0)),""))</x:f>
      </x:c>
      <x:c r="T337" s="21"/>
      <x:c r="U337" s="21"/>
      <x:c r="V337" s="21"/>
      <x:c r="W337" s="21"/>
      <x:c r="X337" s="21"/>
      <x:c r="Y337" s="21"/>
      <x:c r="Z337" s="21"/>
      <x:c r="AA337" s="29" t="str">
        <x:f>IF(A337="","",IF(OR(B337="",C337="",D337="",H337="",K337="",L337=""),"Thiếu dữ liệu",IF(M337&lt;&gt;N337+O337,"Sai cân đối SL",IF(AND(O337&gt;0,P337=""),"Thiếu mã lỗi","Hợp lệ"))))</x:f>
      </x:c>
    </x:row>
    <x:row r="338">
      <x:c r="A338" s="21"/>
      <x:c r="B338" s="43"/>
      <x:c r="C338" s="21"/>
      <x:c r="D338" s="21"/>
      <x:c r="E338" s="21"/>
      <x:c r="F338" s="21"/>
      <x:c r="G338" s="29" t="str">
        <x:f>IF(OR(C338="",D338=""),"",C338&amp;"|"&amp;D338&amp;"|"&amp;IF(E338="","00",E338)&amp;"|"&amp;IF(F338="","01",F338))</x:f>
      </x:c>
      <x:c r="H338" s="21"/>
      <x:c r="I338" s="29" t="str">
        <x:f>IF(OR(G338="",H338=""),"",G338&amp;"|"&amp;TEXT(H338,"000"))</x:f>
      </x:c>
      <x:c r="J338" s="21"/>
      <x:c r="K338" s="21"/>
      <x:c r="L338" s="21"/>
      <x:c r="M338" s="23"/>
      <x:c r="N338" s="23"/>
      <x:c r="O338" s="23"/>
      <x:c r="P338" s="21"/>
      <x:c r="Q338" s="29" t="str">
        <x:f>IF(P338="","",IFERROR(INDEX(DM_MA_LOI!$B$6:$B$105,MATCH(P338,DM_MA_LOI!$A$6:$A$105,0)),""))</x:f>
      </x:c>
      <x:c r="R338" s="29" t="str">
        <x:f>IF(P338="","",IFERROR(INDEX(DM_MA_LOI!$E$6:$E$105,MATCH(P338,DM_MA_LOI!$A$6:$A$105,0)),""))</x:f>
      </x:c>
      <x:c r="S338" s="29" t="str">
        <x:f>IF(P338="","",IFERROR(INDEX(DM_MA_LOI!$F$6:$F$105,MATCH(P338,DM_MA_LOI!$A$6:$A$105,0)),""))</x:f>
      </x:c>
      <x:c r="T338" s="21"/>
      <x:c r="U338" s="21"/>
      <x:c r="V338" s="21"/>
      <x:c r="W338" s="21"/>
      <x:c r="X338" s="21"/>
      <x:c r="Y338" s="21"/>
      <x:c r="Z338" s="21"/>
      <x:c r="AA338" s="29" t="str">
        <x:f>IF(A338="","",IF(OR(B338="",C338="",D338="",H338="",K338="",L338=""),"Thiếu dữ liệu",IF(M338&lt;&gt;N338+O338,"Sai cân đối SL",IF(AND(O338&gt;0,P338=""),"Thiếu mã lỗi","Hợp lệ"))))</x:f>
      </x:c>
    </x:row>
    <x:row r="339">
      <x:c r="A339" s="21"/>
      <x:c r="B339" s="43"/>
      <x:c r="C339" s="21"/>
      <x:c r="D339" s="21"/>
      <x:c r="E339" s="21"/>
      <x:c r="F339" s="21"/>
      <x:c r="G339" s="29" t="str">
        <x:f>IF(OR(C339="",D339=""),"",C339&amp;"|"&amp;D339&amp;"|"&amp;IF(E339="","00",E339)&amp;"|"&amp;IF(F339="","01",F339))</x:f>
      </x:c>
      <x:c r="H339" s="21"/>
      <x:c r="I339" s="29" t="str">
        <x:f>IF(OR(G339="",H339=""),"",G339&amp;"|"&amp;TEXT(H339,"000"))</x:f>
      </x:c>
      <x:c r="J339" s="21"/>
      <x:c r="K339" s="21"/>
      <x:c r="L339" s="21"/>
      <x:c r="M339" s="23"/>
      <x:c r="N339" s="23"/>
      <x:c r="O339" s="23"/>
      <x:c r="P339" s="21"/>
      <x:c r="Q339" s="29" t="str">
        <x:f>IF(P339="","",IFERROR(INDEX(DM_MA_LOI!$B$6:$B$105,MATCH(P339,DM_MA_LOI!$A$6:$A$105,0)),""))</x:f>
      </x:c>
      <x:c r="R339" s="29" t="str">
        <x:f>IF(P339="","",IFERROR(INDEX(DM_MA_LOI!$E$6:$E$105,MATCH(P339,DM_MA_LOI!$A$6:$A$105,0)),""))</x:f>
      </x:c>
      <x:c r="S339" s="29" t="str">
        <x:f>IF(P339="","",IFERROR(INDEX(DM_MA_LOI!$F$6:$F$105,MATCH(P339,DM_MA_LOI!$A$6:$A$105,0)),""))</x:f>
      </x:c>
      <x:c r="T339" s="21"/>
      <x:c r="U339" s="21"/>
      <x:c r="V339" s="21"/>
      <x:c r="W339" s="21"/>
      <x:c r="X339" s="21"/>
      <x:c r="Y339" s="21"/>
      <x:c r="Z339" s="21"/>
      <x:c r="AA339" s="29" t="str">
        <x:f>IF(A339="","",IF(OR(B339="",C339="",D339="",H339="",K339="",L339=""),"Thiếu dữ liệu",IF(M339&lt;&gt;N339+O339,"Sai cân đối SL",IF(AND(O339&gt;0,P339=""),"Thiếu mã lỗi","Hợp lệ"))))</x:f>
      </x:c>
    </x:row>
    <x:row r="340">
      <x:c r="A340" s="21"/>
      <x:c r="B340" s="43"/>
      <x:c r="C340" s="21"/>
      <x:c r="D340" s="21"/>
      <x:c r="E340" s="21"/>
      <x:c r="F340" s="21"/>
      <x:c r="G340" s="29" t="str">
        <x:f>IF(OR(C340="",D340=""),"",C340&amp;"|"&amp;D340&amp;"|"&amp;IF(E340="","00",E340)&amp;"|"&amp;IF(F340="","01",F340))</x:f>
      </x:c>
      <x:c r="H340" s="21"/>
      <x:c r="I340" s="29" t="str">
        <x:f>IF(OR(G340="",H340=""),"",G340&amp;"|"&amp;TEXT(H340,"000"))</x:f>
      </x:c>
      <x:c r="J340" s="21"/>
      <x:c r="K340" s="21"/>
      <x:c r="L340" s="21"/>
      <x:c r="M340" s="23"/>
      <x:c r="N340" s="23"/>
      <x:c r="O340" s="23"/>
      <x:c r="P340" s="21"/>
      <x:c r="Q340" s="29" t="str">
        <x:f>IF(P340="","",IFERROR(INDEX(DM_MA_LOI!$B$6:$B$105,MATCH(P340,DM_MA_LOI!$A$6:$A$105,0)),""))</x:f>
      </x:c>
      <x:c r="R340" s="29" t="str">
        <x:f>IF(P340="","",IFERROR(INDEX(DM_MA_LOI!$E$6:$E$105,MATCH(P340,DM_MA_LOI!$A$6:$A$105,0)),""))</x:f>
      </x:c>
      <x:c r="S340" s="29" t="str">
        <x:f>IF(P340="","",IFERROR(INDEX(DM_MA_LOI!$F$6:$F$105,MATCH(P340,DM_MA_LOI!$A$6:$A$105,0)),""))</x:f>
      </x:c>
      <x:c r="T340" s="21"/>
      <x:c r="U340" s="21"/>
      <x:c r="V340" s="21"/>
      <x:c r="W340" s="21"/>
      <x:c r="X340" s="21"/>
      <x:c r="Y340" s="21"/>
      <x:c r="Z340" s="21"/>
      <x:c r="AA340" s="29" t="str">
        <x:f>IF(A340="","",IF(OR(B340="",C340="",D340="",H340="",K340="",L340=""),"Thiếu dữ liệu",IF(M340&lt;&gt;N340+O340,"Sai cân đối SL",IF(AND(O340&gt;0,P340=""),"Thiếu mã lỗi","Hợp lệ"))))</x:f>
      </x:c>
    </x:row>
    <x:row r="341">
      <x:c r="A341" s="21"/>
      <x:c r="B341" s="43"/>
      <x:c r="C341" s="21"/>
      <x:c r="D341" s="21"/>
      <x:c r="E341" s="21"/>
      <x:c r="F341" s="21"/>
      <x:c r="G341" s="29" t="str">
        <x:f>IF(OR(C341="",D341=""),"",C341&amp;"|"&amp;D341&amp;"|"&amp;IF(E341="","00",E341)&amp;"|"&amp;IF(F341="","01",F341))</x:f>
      </x:c>
      <x:c r="H341" s="21"/>
      <x:c r="I341" s="29" t="str">
        <x:f>IF(OR(G341="",H341=""),"",G341&amp;"|"&amp;TEXT(H341,"000"))</x:f>
      </x:c>
      <x:c r="J341" s="21"/>
      <x:c r="K341" s="21"/>
      <x:c r="L341" s="21"/>
      <x:c r="M341" s="23"/>
      <x:c r="N341" s="23"/>
      <x:c r="O341" s="23"/>
      <x:c r="P341" s="21"/>
      <x:c r="Q341" s="29" t="str">
        <x:f>IF(P341="","",IFERROR(INDEX(DM_MA_LOI!$B$6:$B$105,MATCH(P341,DM_MA_LOI!$A$6:$A$105,0)),""))</x:f>
      </x:c>
      <x:c r="R341" s="29" t="str">
        <x:f>IF(P341="","",IFERROR(INDEX(DM_MA_LOI!$E$6:$E$105,MATCH(P341,DM_MA_LOI!$A$6:$A$105,0)),""))</x:f>
      </x:c>
      <x:c r="S341" s="29" t="str">
        <x:f>IF(P341="","",IFERROR(INDEX(DM_MA_LOI!$F$6:$F$105,MATCH(P341,DM_MA_LOI!$A$6:$A$105,0)),""))</x:f>
      </x:c>
      <x:c r="T341" s="21"/>
      <x:c r="U341" s="21"/>
      <x:c r="V341" s="21"/>
      <x:c r="W341" s="21"/>
      <x:c r="X341" s="21"/>
      <x:c r="Y341" s="21"/>
      <x:c r="Z341" s="21"/>
      <x:c r="AA341" s="29" t="str">
        <x:f>IF(A341="","",IF(OR(B341="",C341="",D341="",H341="",K341="",L341=""),"Thiếu dữ liệu",IF(M341&lt;&gt;N341+O341,"Sai cân đối SL",IF(AND(O341&gt;0,P341=""),"Thiếu mã lỗi","Hợp lệ"))))</x:f>
      </x:c>
    </x:row>
    <x:row r="342">
      <x:c r="A342" s="21"/>
      <x:c r="B342" s="43"/>
      <x:c r="C342" s="21"/>
      <x:c r="D342" s="21"/>
      <x:c r="E342" s="21"/>
      <x:c r="F342" s="21"/>
      <x:c r="G342" s="29" t="str">
        <x:f>IF(OR(C342="",D342=""),"",C342&amp;"|"&amp;D342&amp;"|"&amp;IF(E342="","00",E342)&amp;"|"&amp;IF(F342="","01",F342))</x:f>
      </x:c>
      <x:c r="H342" s="21"/>
      <x:c r="I342" s="29" t="str">
        <x:f>IF(OR(G342="",H342=""),"",G342&amp;"|"&amp;TEXT(H342,"000"))</x:f>
      </x:c>
      <x:c r="J342" s="21"/>
      <x:c r="K342" s="21"/>
      <x:c r="L342" s="21"/>
      <x:c r="M342" s="23"/>
      <x:c r="N342" s="23"/>
      <x:c r="O342" s="23"/>
      <x:c r="P342" s="21"/>
      <x:c r="Q342" s="29" t="str">
        <x:f>IF(P342="","",IFERROR(INDEX(DM_MA_LOI!$B$6:$B$105,MATCH(P342,DM_MA_LOI!$A$6:$A$105,0)),""))</x:f>
      </x:c>
      <x:c r="R342" s="29" t="str">
        <x:f>IF(P342="","",IFERROR(INDEX(DM_MA_LOI!$E$6:$E$105,MATCH(P342,DM_MA_LOI!$A$6:$A$105,0)),""))</x:f>
      </x:c>
      <x:c r="S342" s="29" t="str">
        <x:f>IF(P342="","",IFERROR(INDEX(DM_MA_LOI!$F$6:$F$105,MATCH(P342,DM_MA_LOI!$A$6:$A$105,0)),""))</x:f>
      </x:c>
      <x:c r="T342" s="21"/>
      <x:c r="U342" s="21"/>
      <x:c r="V342" s="21"/>
      <x:c r="W342" s="21"/>
      <x:c r="X342" s="21"/>
      <x:c r="Y342" s="21"/>
      <x:c r="Z342" s="21"/>
      <x:c r="AA342" s="29" t="str">
        <x:f>IF(A342="","",IF(OR(B342="",C342="",D342="",H342="",K342="",L342=""),"Thiếu dữ liệu",IF(M342&lt;&gt;N342+O342,"Sai cân đối SL",IF(AND(O342&gt;0,P342=""),"Thiếu mã lỗi","Hợp lệ"))))</x:f>
      </x:c>
    </x:row>
    <x:row r="343">
      <x:c r="A343" s="21"/>
      <x:c r="B343" s="43"/>
      <x:c r="C343" s="21"/>
      <x:c r="D343" s="21"/>
      <x:c r="E343" s="21"/>
      <x:c r="F343" s="21"/>
      <x:c r="G343" s="29" t="str">
        <x:f>IF(OR(C343="",D343=""),"",C343&amp;"|"&amp;D343&amp;"|"&amp;IF(E343="","00",E343)&amp;"|"&amp;IF(F343="","01",F343))</x:f>
      </x:c>
      <x:c r="H343" s="21"/>
      <x:c r="I343" s="29" t="str">
        <x:f>IF(OR(G343="",H343=""),"",G343&amp;"|"&amp;TEXT(H343,"000"))</x:f>
      </x:c>
      <x:c r="J343" s="21"/>
      <x:c r="K343" s="21"/>
      <x:c r="L343" s="21"/>
      <x:c r="M343" s="23"/>
      <x:c r="N343" s="23"/>
      <x:c r="O343" s="23"/>
      <x:c r="P343" s="21"/>
      <x:c r="Q343" s="29" t="str">
        <x:f>IF(P343="","",IFERROR(INDEX(DM_MA_LOI!$B$6:$B$105,MATCH(P343,DM_MA_LOI!$A$6:$A$105,0)),""))</x:f>
      </x:c>
      <x:c r="R343" s="29" t="str">
        <x:f>IF(P343="","",IFERROR(INDEX(DM_MA_LOI!$E$6:$E$105,MATCH(P343,DM_MA_LOI!$A$6:$A$105,0)),""))</x:f>
      </x:c>
      <x:c r="S343" s="29" t="str">
        <x:f>IF(P343="","",IFERROR(INDEX(DM_MA_LOI!$F$6:$F$105,MATCH(P343,DM_MA_LOI!$A$6:$A$105,0)),""))</x:f>
      </x:c>
      <x:c r="T343" s="21"/>
      <x:c r="U343" s="21"/>
      <x:c r="V343" s="21"/>
      <x:c r="W343" s="21"/>
      <x:c r="X343" s="21"/>
      <x:c r="Y343" s="21"/>
      <x:c r="Z343" s="21"/>
      <x:c r="AA343" s="29" t="str">
        <x:f>IF(A343="","",IF(OR(B343="",C343="",D343="",H343="",K343="",L343=""),"Thiếu dữ liệu",IF(M343&lt;&gt;N343+O343,"Sai cân đối SL",IF(AND(O343&gt;0,P343=""),"Thiếu mã lỗi","Hợp lệ"))))</x:f>
      </x:c>
    </x:row>
    <x:row r="344">
      <x:c r="A344" s="21"/>
      <x:c r="B344" s="43"/>
      <x:c r="C344" s="21"/>
      <x:c r="D344" s="21"/>
      <x:c r="E344" s="21"/>
      <x:c r="F344" s="21"/>
      <x:c r="G344" s="29" t="str">
        <x:f>IF(OR(C344="",D344=""),"",C344&amp;"|"&amp;D344&amp;"|"&amp;IF(E344="","00",E344)&amp;"|"&amp;IF(F344="","01",F344))</x:f>
      </x:c>
      <x:c r="H344" s="21"/>
      <x:c r="I344" s="29" t="str">
        <x:f>IF(OR(G344="",H344=""),"",G344&amp;"|"&amp;TEXT(H344,"000"))</x:f>
      </x:c>
      <x:c r="J344" s="21"/>
      <x:c r="K344" s="21"/>
      <x:c r="L344" s="21"/>
      <x:c r="M344" s="23"/>
      <x:c r="N344" s="23"/>
      <x:c r="O344" s="23"/>
      <x:c r="P344" s="21"/>
      <x:c r="Q344" s="29" t="str">
        <x:f>IF(P344="","",IFERROR(INDEX(DM_MA_LOI!$B$6:$B$105,MATCH(P344,DM_MA_LOI!$A$6:$A$105,0)),""))</x:f>
      </x:c>
      <x:c r="R344" s="29" t="str">
        <x:f>IF(P344="","",IFERROR(INDEX(DM_MA_LOI!$E$6:$E$105,MATCH(P344,DM_MA_LOI!$A$6:$A$105,0)),""))</x:f>
      </x:c>
      <x:c r="S344" s="29" t="str">
        <x:f>IF(P344="","",IFERROR(INDEX(DM_MA_LOI!$F$6:$F$105,MATCH(P344,DM_MA_LOI!$A$6:$A$105,0)),""))</x:f>
      </x:c>
      <x:c r="T344" s="21"/>
      <x:c r="U344" s="21"/>
      <x:c r="V344" s="21"/>
      <x:c r="W344" s="21"/>
      <x:c r="X344" s="21"/>
      <x:c r="Y344" s="21"/>
      <x:c r="Z344" s="21"/>
      <x:c r="AA344" s="29" t="str">
        <x:f>IF(A344="","",IF(OR(B344="",C344="",D344="",H344="",K344="",L344=""),"Thiếu dữ liệu",IF(M344&lt;&gt;N344+O344,"Sai cân đối SL",IF(AND(O344&gt;0,P344=""),"Thiếu mã lỗi","Hợp lệ"))))</x:f>
      </x:c>
    </x:row>
    <x:row r="345">
      <x:c r="A345" s="21"/>
      <x:c r="B345" s="43"/>
      <x:c r="C345" s="21"/>
      <x:c r="D345" s="21"/>
      <x:c r="E345" s="21"/>
      <x:c r="F345" s="21"/>
      <x:c r="G345" s="29" t="str">
        <x:f>IF(OR(C345="",D345=""),"",C345&amp;"|"&amp;D345&amp;"|"&amp;IF(E345="","00",E345)&amp;"|"&amp;IF(F345="","01",F345))</x:f>
      </x:c>
      <x:c r="H345" s="21"/>
      <x:c r="I345" s="29" t="str">
        <x:f>IF(OR(G345="",H345=""),"",G345&amp;"|"&amp;TEXT(H345,"000"))</x:f>
      </x:c>
      <x:c r="J345" s="21"/>
      <x:c r="K345" s="21"/>
      <x:c r="L345" s="21"/>
      <x:c r="M345" s="23"/>
      <x:c r="N345" s="23"/>
      <x:c r="O345" s="23"/>
      <x:c r="P345" s="21"/>
      <x:c r="Q345" s="29" t="str">
        <x:f>IF(P345="","",IFERROR(INDEX(DM_MA_LOI!$B$6:$B$105,MATCH(P345,DM_MA_LOI!$A$6:$A$105,0)),""))</x:f>
      </x:c>
      <x:c r="R345" s="29" t="str">
        <x:f>IF(P345="","",IFERROR(INDEX(DM_MA_LOI!$E$6:$E$105,MATCH(P345,DM_MA_LOI!$A$6:$A$105,0)),""))</x:f>
      </x:c>
      <x:c r="S345" s="29" t="str">
        <x:f>IF(P345="","",IFERROR(INDEX(DM_MA_LOI!$F$6:$F$105,MATCH(P345,DM_MA_LOI!$A$6:$A$105,0)),""))</x:f>
      </x:c>
      <x:c r="T345" s="21"/>
      <x:c r="U345" s="21"/>
      <x:c r="V345" s="21"/>
      <x:c r="W345" s="21"/>
      <x:c r="X345" s="21"/>
      <x:c r="Y345" s="21"/>
      <x:c r="Z345" s="21"/>
      <x:c r="AA345" s="29" t="str">
        <x:f>IF(A345="","",IF(OR(B345="",C345="",D345="",H345="",K345="",L345=""),"Thiếu dữ liệu",IF(M345&lt;&gt;N345+O345,"Sai cân đối SL",IF(AND(O345&gt;0,P345=""),"Thiếu mã lỗi","Hợp lệ"))))</x:f>
      </x:c>
    </x:row>
    <x:row r="346">
      <x:c r="A346" s="21"/>
      <x:c r="B346" s="43"/>
      <x:c r="C346" s="21"/>
      <x:c r="D346" s="21"/>
      <x:c r="E346" s="21"/>
      <x:c r="F346" s="21"/>
      <x:c r="G346" s="29" t="str">
        <x:f>IF(OR(C346="",D346=""),"",C346&amp;"|"&amp;D346&amp;"|"&amp;IF(E346="","00",E346)&amp;"|"&amp;IF(F346="","01",F346))</x:f>
      </x:c>
      <x:c r="H346" s="21"/>
      <x:c r="I346" s="29" t="str">
        <x:f>IF(OR(G346="",H346=""),"",G346&amp;"|"&amp;TEXT(H346,"000"))</x:f>
      </x:c>
      <x:c r="J346" s="21"/>
      <x:c r="K346" s="21"/>
      <x:c r="L346" s="21"/>
      <x:c r="M346" s="23"/>
      <x:c r="N346" s="23"/>
      <x:c r="O346" s="23"/>
      <x:c r="P346" s="21"/>
      <x:c r="Q346" s="29" t="str">
        <x:f>IF(P346="","",IFERROR(INDEX(DM_MA_LOI!$B$6:$B$105,MATCH(P346,DM_MA_LOI!$A$6:$A$105,0)),""))</x:f>
      </x:c>
      <x:c r="R346" s="29" t="str">
        <x:f>IF(P346="","",IFERROR(INDEX(DM_MA_LOI!$E$6:$E$105,MATCH(P346,DM_MA_LOI!$A$6:$A$105,0)),""))</x:f>
      </x:c>
      <x:c r="S346" s="29" t="str">
        <x:f>IF(P346="","",IFERROR(INDEX(DM_MA_LOI!$F$6:$F$105,MATCH(P346,DM_MA_LOI!$A$6:$A$105,0)),""))</x:f>
      </x:c>
      <x:c r="T346" s="21"/>
      <x:c r="U346" s="21"/>
      <x:c r="V346" s="21"/>
      <x:c r="W346" s="21"/>
      <x:c r="X346" s="21"/>
      <x:c r="Y346" s="21"/>
      <x:c r="Z346" s="21"/>
      <x:c r="AA346" s="29" t="str">
        <x:f>IF(A346="","",IF(OR(B346="",C346="",D346="",H346="",K346="",L346=""),"Thiếu dữ liệu",IF(M346&lt;&gt;N346+O346,"Sai cân đối SL",IF(AND(O346&gt;0,P346=""),"Thiếu mã lỗi","Hợp lệ"))))</x:f>
      </x:c>
    </x:row>
    <x:row r="347">
      <x:c r="A347" s="21"/>
      <x:c r="B347" s="43"/>
      <x:c r="C347" s="21"/>
      <x:c r="D347" s="21"/>
      <x:c r="E347" s="21"/>
      <x:c r="F347" s="21"/>
      <x:c r="G347" s="29" t="str">
        <x:f>IF(OR(C347="",D347=""),"",C347&amp;"|"&amp;D347&amp;"|"&amp;IF(E347="","00",E347)&amp;"|"&amp;IF(F347="","01",F347))</x:f>
      </x:c>
      <x:c r="H347" s="21"/>
      <x:c r="I347" s="29" t="str">
        <x:f>IF(OR(G347="",H347=""),"",G347&amp;"|"&amp;TEXT(H347,"000"))</x:f>
      </x:c>
      <x:c r="J347" s="21"/>
      <x:c r="K347" s="21"/>
      <x:c r="L347" s="21"/>
      <x:c r="M347" s="23"/>
      <x:c r="N347" s="23"/>
      <x:c r="O347" s="23"/>
      <x:c r="P347" s="21"/>
      <x:c r="Q347" s="29" t="str">
        <x:f>IF(P347="","",IFERROR(INDEX(DM_MA_LOI!$B$6:$B$105,MATCH(P347,DM_MA_LOI!$A$6:$A$105,0)),""))</x:f>
      </x:c>
      <x:c r="R347" s="29" t="str">
        <x:f>IF(P347="","",IFERROR(INDEX(DM_MA_LOI!$E$6:$E$105,MATCH(P347,DM_MA_LOI!$A$6:$A$105,0)),""))</x:f>
      </x:c>
      <x:c r="S347" s="29" t="str">
        <x:f>IF(P347="","",IFERROR(INDEX(DM_MA_LOI!$F$6:$F$105,MATCH(P347,DM_MA_LOI!$A$6:$A$105,0)),""))</x:f>
      </x:c>
      <x:c r="T347" s="21"/>
      <x:c r="U347" s="21"/>
      <x:c r="V347" s="21"/>
      <x:c r="W347" s="21"/>
      <x:c r="X347" s="21"/>
      <x:c r="Y347" s="21"/>
      <x:c r="Z347" s="21"/>
      <x:c r="AA347" s="29" t="str">
        <x:f>IF(A347="","",IF(OR(B347="",C347="",D347="",H347="",K347="",L347=""),"Thiếu dữ liệu",IF(M347&lt;&gt;N347+O347,"Sai cân đối SL",IF(AND(O347&gt;0,P347=""),"Thiếu mã lỗi","Hợp lệ"))))</x:f>
      </x:c>
    </x:row>
    <x:row r="348">
      <x:c r="A348" s="21"/>
      <x:c r="B348" s="43"/>
      <x:c r="C348" s="21"/>
      <x:c r="D348" s="21"/>
      <x:c r="E348" s="21"/>
      <x:c r="F348" s="21"/>
      <x:c r="G348" s="29" t="str">
        <x:f>IF(OR(C348="",D348=""),"",C348&amp;"|"&amp;D348&amp;"|"&amp;IF(E348="","00",E348)&amp;"|"&amp;IF(F348="","01",F348))</x:f>
      </x:c>
      <x:c r="H348" s="21"/>
      <x:c r="I348" s="29" t="str">
        <x:f>IF(OR(G348="",H348=""),"",G348&amp;"|"&amp;TEXT(H348,"000"))</x:f>
      </x:c>
      <x:c r="J348" s="21"/>
      <x:c r="K348" s="21"/>
      <x:c r="L348" s="21"/>
      <x:c r="M348" s="23"/>
      <x:c r="N348" s="23"/>
      <x:c r="O348" s="23"/>
      <x:c r="P348" s="21"/>
      <x:c r="Q348" s="29" t="str">
        <x:f>IF(P348="","",IFERROR(INDEX(DM_MA_LOI!$B$6:$B$105,MATCH(P348,DM_MA_LOI!$A$6:$A$105,0)),""))</x:f>
      </x:c>
      <x:c r="R348" s="29" t="str">
        <x:f>IF(P348="","",IFERROR(INDEX(DM_MA_LOI!$E$6:$E$105,MATCH(P348,DM_MA_LOI!$A$6:$A$105,0)),""))</x:f>
      </x:c>
      <x:c r="S348" s="29" t="str">
        <x:f>IF(P348="","",IFERROR(INDEX(DM_MA_LOI!$F$6:$F$105,MATCH(P348,DM_MA_LOI!$A$6:$A$105,0)),""))</x:f>
      </x:c>
      <x:c r="T348" s="21"/>
      <x:c r="U348" s="21"/>
      <x:c r="V348" s="21"/>
      <x:c r="W348" s="21"/>
      <x:c r="X348" s="21"/>
      <x:c r="Y348" s="21"/>
      <x:c r="Z348" s="21"/>
      <x:c r="AA348" s="29" t="str">
        <x:f>IF(A348="","",IF(OR(B348="",C348="",D348="",H348="",K348="",L348=""),"Thiếu dữ liệu",IF(M348&lt;&gt;N348+O348,"Sai cân đối SL",IF(AND(O348&gt;0,P348=""),"Thiếu mã lỗi","Hợp lệ"))))</x:f>
      </x:c>
    </x:row>
    <x:row r="349">
      <x:c r="A349" s="21"/>
      <x:c r="B349" s="43"/>
      <x:c r="C349" s="21"/>
      <x:c r="D349" s="21"/>
      <x:c r="E349" s="21"/>
      <x:c r="F349" s="21"/>
      <x:c r="G349" s="29" t="str">
        <x:f>IF(OR(C349="",D349=""),"",C349&amp;"|"&amp;D349&amp;"|"&amp;IF(E349="","00",E349)&amp;"|"&amp;IF(F349="","01",F349))</x:f>
      </x:c>
      <x:c r="H349" s="21"/>
      <x:c r="I349" s="29" t="str">
        <x:f>IF(OR(G349="",H349=""),"",G349&amp;"|"&amp;TEXT(H349,"000"))</x:f>
      </x:c>
      <x:c r="J349" s="21"/>
      <x:c r="K349" s="21"/>
      <x:c r="L349" s="21"/>
      <x:c r="M349" s="23"/>
      <x:c r="N349" s="23"/>
      <x:c r="O349" s="23"/>
      <x:c r="P349" s="21"/>
      <x:c r="Q349" s="29" t="str">
        <x:f>IF(P349="","",IFERROR(INDEX(DM_MA_LOI!$B$6:$B$105,MATCH(P349,DM_MA_LOI!$A$6:$A$105,0)),""))</x:f>
      </x:c>
      <x:c r="R349" s="29" t="str">
        <x:f>IF(P349="","",IFERROR(INDEX(DM_MA_LOI!$E$6:$E$105,MATCH(P349,DM_MA_LOI!$A$6:$A$105,0)),""))</x:f>
      </x:c>
      <x:c r="S349" s="29" t="str">
        <x:f>IF(P349="","",IFERROR(INDEX(DM_MA_LOI!$F$6:$F$105,MATCH(P349,DM_MA_LOI!$A$6:$A$105,0)),""))</x:f>
      </x:c>
      <x:c r="T349" s="21"/>
      <x:c r="U349" s="21"/>
      <x:c r="V349" s="21"/>
      <x:c r="W349" s="21"/>
      <x:c r="X349" s="21"/>
      <x:c r="Y349" s="21"/>
      <x:c r="Z349" s="21"/>
      <x:c r="AA349" s="29" t="str">
        <x:f>IF(A349="","",IF(OR(B349="",C349="",D349="",H349="",K349="",L349=""),"Thiếu dữ liệu",IF(M349&lt;&gt;N349+O349,"Sai cân đối SL",IF(AND(O349&gt;0,P349=""),"Thiếu mã lỗi","Hợp lệ"))))</x:f>
      </x:c>
    </x:row>
    <x:row r="350">
      <x:c r="A350" s="21"/>
      <x:c r="B350" s="43"/>
      <x:c r="C350" s="21"/>
      <x:c r="D350" s="21"/>
      <x:c r="E350" s="21"/>
      <x:c r="F350" s="21"/>
      <x:c r="G350" s="29" t="str">
        <x:f>IF(OR(C350="",D350=""),"",C350&amp;"|"&amp;D350&amp;"|"&amp;IF(E350="","00",E350)&amp;"|"&amp;IF(F350="","01",F350))</x:f>
      </x:c>
      <x:c r="H350" s="21"/>
      <x:c r="I350" s="29" t="str">
        <x:f>IF(OR(G350="",H350=""),"",G350&amp;"|"&amp;TEXT(H350,"000"))</x:f>
      </x:c>
      <x:c r="J350" s="21"/>
      <x:c r="K350" s="21"/>
      <x:c r="L350" s="21"/>
      <x:c r="M350" s="23"/>
      <x:c r="N350" s="23"/>
      <x:c r="O350" s="23"/>
      <x:c r="P350" s="21"/>
      <x:c r="Q350" s="29" t="str">
        <x:f>IF(P350="","",IFERROR(INDEX(DM_MA_LOI!$B$6:$B$105,MATCH(P350,DM_MA_LOI!$A$6:$A$105,0)),""))</x:f>
      </x:c>
      <x:c r="R350" s="29" t="str">
        <x:f>IF(P350="","",IFERROR(INDEX(DM_MA_LOI!$E$6:$E$105,MATCH(P350,DM_MA_LOI!$A$6:$A$105,0)),""))</x:f>
      </x:c>
      <x:c r="S350" s="29" t="str">
        <x:f>IF(P350="","",IFERROR(INDEX(DM_MA_LOI!$F$6:$F$105,MATCH(P350,DM_MA_LOI!$A$6:$A$105,0)),""))</x:f>
      </x:c>
      <x:c r="T350" s="21"/>
      <x:c r="U350" s="21"/>
      <x:c r="V350" s="21"/>
      <x:c r="W350" s="21"/>
      <x:c r="X350" s="21"/>
      <x:c r="Y350" s="21"/>
      <x:c r="Z350" s="21"/>
      <x:c r="AA350" s="29" t="str">
        <x:f>IF(A350="","",IF(OR(B350="",C350="",D350="",H350="",K350="",L350=""),"Thiếu dữ liệu",IF(M350&lt;&gt;N350+O350,"Sai cân đối SL",IF(AND(O350&gt;0,P350=""),"Thiếu mã lỗi","Hợp lệ"))))</x:f>
      </x:c>
    </x:row>
    <x:row r="351">
      <x:c r="A351" s="21"/>
      <x:c r="B351" s="43"/>
      <x:c r="C351" s="21"/>
      <x:c r="D351" s="21"/>
      <x:c r="E351" s="21"/>
      <x:c r="F351" s="21"/>
      <x:c r="G351" s="29" t="str">
        <x:f>IF(OR(C351="",D351=""),"",C351&amp;"|"&amp;D351&amp;"|"&amp;IF(E351="","00",E351)&amp;"|"&amp;IF(F351="","01",F351))</x:f>
      </x:c>
      <x:c r="H351" s="21"/>
      <x:c r="I351" s="29" t="str">
        <x:f>IF(OR(G351="",H351=""),"",G351&amp;"|"&amp;TEXT(H351,"000"))</x:f>
      </x:c>
      <x:c r="J351" s="21"/>
      <x:c r="K351" s="21"/>
      <x:c r="L351" s="21"/>
      <x:c r="M351" s="23"/>
      <x:c r="N351" s="23"/>
      <x:c r="O351" s="23"/>
      <x:c r="P351" s="21"/>
      <x:c r="Q351" s="29" t="str">
        <x:f>IF(P351="","",IFERROR(INDEX(DM_MA_LOI!$B$6:$B$105,MATCH(P351,DM_MA_LOI!$A$6:$A$105,0)),""))</x:f>
      </x:c>
      <x:c r="R351" s="29" t="str">
        <x:f>IF(P351="","",IFERROR(INDEX(DM_MA_LOI!$E$6:$E$105,MATCH(P351,DM_MA_LOI!$A$6:$A$105,0)),""))</x:f>
      </x:c>
      <x:c r="S351" s="29" t="str">
        <x:f>IF(P351="","",IFERROR(INDEX(DM_MA_LOI!$F$6:$F$105,MATCH(P351,DM_MA_LOI!$A$6:$A$105,0)),""))</x:f>
      </x:c>
      <x:c r="T351" s="21"/>
      <x:c r="U351" s="21"/>
      <x:c r="V351" s="21"/>
      <x:c r="W351" s="21"/>
      <x:c r="X351" s="21"/>
      <x:c r="Y351" s="21"/>
      <x:c r="Z351" s="21"/>
      <x:c r="AA351" s="29" t="str">
        <x:f>IF(A351="","",IF(OR(B351="",C351="",D351="",H351="",K351="",L351=""),"Thiếu dữ liệu",IF(M351&lt;&gt;N351+O351,"Sai cân đối SL",IF(AND(O351&gt;0,P351=""),"Thiếu mã lỗi","Hợp lệ"))))</x:f>
      </x:c>
    </x:row>
    <x:row r="352">
      <x:c r="A352" s="21"/>
      <x:c r="B352" s="43"/>
      <x:c r="C352" s="21"/>
      <x:c r="D352" s="21"/>
      <x:c r="E352" s="21"/>
      <x:c r="F352" s="21"/>
      <x:c r="G352" s="29" t="str">
        <x:f>IF(OR(C352="",D352=""),"",C352&amp;"|"&amp;D352&amp;"|"&amp;IF(E352="","00",E352)&amp;"|"&amp;IF(F352="","01",F352))</x:f>
      </x:c>
      <x:c r="H352" s="21"/>
      <x:c r="I352" s="29" t="str">
        <x:f>IF(OR(G352="",H352=""),"",G352&amp;"|"&amp;TEXT(H352,"000"))</x:f>
      </x:c>
      <x:c r="J352" s="21"/>
      <x:c r="K352" s="21"/>
      <x:c r="L352" s="21"/>
      <x:c r="M352" s="23"/>
      <x:c r="N352" s="23"/>
      <x:c r="O352" s="23"/>
      <x:c r="P352" s="21"/>
      <x:c r="Q352" s="29" t="str">
        <x:f>IF(P352="","",IFERROR(INDEX(DM_MA_LOI!$B$6:$B$105,MATCH(P352,DM_MA_LOI!$A$6:$A$105,0)),""))</x:f>
      </x:c>
      <x:c r="R352" s="29" t="str">
        <x:f>IF(P352="","",IFERROR(INDEX(DM_MA_LOI!$E$6:$E$105,MATCH(P352,DM_MA_LOI!$A$6:$A$105,0)),""))</x:f>
      </x:c>
      <x:c r="S352" s="29" t="str">
        <x:f>IF(P352="","",IFERROR(INDEX(DM_MA_LOI!$F$6:$F$105,MATCH(P352,DM_MA_LOI!$A$6:$A$105,0)),""))</x:f>
      </x:c>
      <x:c r="T352" s="21"/>
      <x:c r="U352" s="21"/>
      <x:c r="V352" s="21"/>
      <x:c r="W352" s="21"/>
      <x:c r="X352" s="21"/>
      <x:c r="Y352" s="21"/>
      <x:c r="Z352" s="21"/>
      <x:c r="AA352" s="29" t="str">
        <x:f>IF(A352="","",IF(OR(B352="",C352="",D352="",H352="",K352="",L352=""),"Thiếu dữ liệu",IF(M352&lt;&gt;N352+O352,"Sai cân đối SL",IF(AND(O352&gt;0,P352=""),"Thiếu mã lỗi","Hợp lệ"))))</x:f>
      </x:c>
    </x:row>
    <x:row r="353">
      <x:c r="A353" s="21"/>
      <x:c r="B353" s="43"/>
      <x:c r="C353" s="21"/>
      <x:c r="D353" s="21"/>
      <x:c r="E353" s="21"/>
      <x:c r="F353" s="21"/>
      <x:c r="G353" s="29" t="str">
        <x:f>IF(OR(C353="",D353=""),"",C353&amp;"|"&amp;D353&amp;"|"&amp;IF(E353="","00",E353)&amp;"|"&amp;IF(F353="","01",F353))</x:f>
      </x:c>
      <x:c r="H353" s="21"/>
      <x:c r="I353" s="29" t="str">
        <x:f>IF(OR(G353="",H353=""),"",G353&amp;"|"&amp;TEXT(H353,"000"))</x:f>
      </x:c>
      <x:c r="J353" s="21"/>
      <x:c r="K353" s="21"/>
      <x:c r="L353" s="21"/>
      <x:c r="M353" s="23"/>
      <x:c r="N353" s="23"/>
      <x:c r="O353" s="23"/>
      <x:c r="P353" s="21"/>
      <x:c r="Q353" s="29" t="str">
        <x:f>IF(P353="","",IFERROR(INDEX(DM_MA_LOI!$B$6:$B$105,MATCH(P353,DM_MA_LOI!$A$6:$A$105,0)),""))</x:f>
      </x:c>
      <x:c r="R353" s="29" t="str">
        <x:f>IF(P353="","",IFERROR(INDEX(DM_MA_LOI!$E$6:$E$105,MATCH(P353,DM_MA_LOI!$A$6:$A$105,0)),""))</x:f>
      </x:c>
      <x:c r="S353" s="29" t="str">
        <x:f>IF(P353="","",IFERROR(INDEX(DM_MA_LOI!$F$6:$F$105,MATCH(P353,DM_MA_LOI!$A$6:$A$105,0)),""))</x:f>
      </x:c>
      <x:c r="T353" s="21"/>
      <x:c r="U353" s="21"/>
      <x:c r="V353" s="21"/>
      <x:c r="W353" s="21"/>
      <x:c r="X353" s="21"/>
      <x:c r="Y353" s="21"/>
      <x:c r="Z353" s="21"/>
      <x:c r="AA353" s="29" t="str">
        <x:f>IF(A353="","",IF(OR(B353="",C353="",D353="",H353="",K353="",L353=""),"Thiếu dữ liệu",IF(M353&lt;&gt;N353+O353,"Sai cân đối SL",IF(AND(O353&gt;0,P353=""),"Thiếu mã lỗi","Hợp lệ"))))</x:f>
      </x:c>
    </x:row>
    <x:row r="354">
      <x:c r="A354" s="21"/>
      <x:c r="B354" s="43"/>
      <x:c r="C354" s="21"/>
      <x:c r="D354" s="21"/>
      <x:c r="E354" s="21"/>
      <x:c r="F354" s="21"/>
      <x:c r="G354" s="29" t="str">
        <x:f>IF(OR(C354="",D354=""),"",C354&amp;"|"&amp;D354&amp;"|"&amp;IF(E354="","00",E354)&amp;"|"&amp;IF(F354="","01",F354))</x:f>
      </x:c>
      <x:c r="H354" s="21"/>
      <x:c r="I354" s="29" t="str">
        <x:f>IF(OR(G354="",H354=""),"",G354&amp;"|"&amp;TEXT(H354,"000"))</x:f>
      </x:c>
      <x:c r="J354" s="21"/>
      <x:c r="K354" s="21"/>
      <x:c r="L354" s="21"/>
      <x:c r="M354" s="23"/>
      <x:c r="N354" s="23"/>
      <x:c r="O354" s="23"/>
      <x:c r="P354" s="21"/>
      <x:c r="Q354" s="29" t="str">
        <x:f>IF(P354="","",IFERROR(INDEX(DM_MA_LOI!$B$6:$B$105,MATCH(P354,DM_MA_LOI!$A$6:$A$105,0)),""))</x:f>
      </x:c>
      <x:c r="R354" s="29" t="str">
        <x:f>IF(P354="","",IFERROR(INDEX(DM_MA_LOI!$E$6:$E$105,MATCH(P354,DM_MA_LOI!$A$6:$A$105,0)),""))</x:f>
      </x:c>
      <x:c r="S354" s="29" t="str">
        <x:f>IF(P354="","",IFERROR(INDEX(DM_MA_LOI!$F$6:$F$105,MATCH(P354,DM_MA_LOI!$A$6:$A$105,0)),""))</x:f>
      </x:c>
      <x:c r="T354" s="21"/>
      <x:c r="U354" s="21"/>
      <x:c r="V354" s="21"/>
      <x:c r="W354" s="21"/>
      <x:c r="X354" s="21"/>
      <x:c r="Y354" s="21"/>
      <x:c r="Z354" s="21"/>
      <x:c r="AA354" s="29" t="str">
        <x:f>IF(A354="","",IF(OR(B354="",C354="",D354="",H354="",K354="",L354=""),"Thiếu dữ liệu",IF(M354&lt;&gt;N354+O354,"Sai cân đối SL",IF(AND(O354&gt;0,P354=""),"Thiếu mã lỗi","Hợp lệ"))))</x:f>
      </x:c>
    </x:row>
    <x:row r="355">
      <x:c r="A355" s="21"/>
      <x:c r="B355" s="43"/>
      <x:c r="C355" s="21"/>
      <x:c r="D355" s="21"/>
      <x:c r="E355" s="21"/>
      <x:c r="F355" s="21"/>
      <x:c r="G355" s="29" t="str">
        <x:f>IF(OR(C355="",D355=""),"",C355&amp;"|"&amp;D355&amp;"|"&amp;IF(E355="","00",E355)&amp;"|"&amp;IF(F355="","01",F355))</x:f>
      </x:c>
      <x:c r="H355" s="21"/>
      <x:c r="I355" s="29" t="str">
        <x:f>IF(OR(G355="",H355=""),"",G355&amp;"|"&amp;TEXT(H355,"000"))</x:f>
      </x:c>
      <x:c r="J355" s="21"/>
      <x:c r="K355" s="21"/>
      <x:c r="L355" s="21"/>
      <x:c r="M355" s="23"/>
      <x:c r="N355" s="23"/>
      <x:c r="O355" s="23"/>
      <x:c r="P355" s="21"/>
      <x:c r="Q355" s="29" t="str">
        <x:f>IF(P355="","",IFERROR(INDEX(DM_MA_LOI!$B$6:$B$105,MATCH(P355,DM_MA_LOI!$A$6:$A$105,0)),""))</x:f>
      </x:c>
      <x:c r="R355" s="29" t="str">
        <x:f>IF(P355="","",IFERROR(INDEX(DM_MA_LOI!$E$6:$E$105,MATCH(P355,DM_MA_LOI!$A$6:$A$105,0)),""))</x:f>
      </x:c>
      <x:c r="S355" s="29" t="str">
        <x:f>IF(P355="","",IFERROR(INDEX(DM_MA_LOI!$F$6:$F$105,MATCH(P355,DM_MA_LOI!$A$6:$A$105,0)),""))</x:f>
      </x:c>
      <x:c r="T355" s="21"/>
      <x:c r="U355" s="21"/>
      <x:c r="V355" s="21"/>
      <x:c r="W355" s="21"/>
      <x:c r="X355" s="21"/>
      <x:c r="Y355" s="21"/>
      <x:c r="Z355" s="21"/>
      <x:c r="AA355" s="29" t="str">
        <x:f>IF(A355="","",IF(OR(B355="",C355="",D355="",H355="",K355="",L355=""),"Thiếu dữ liệu",IF(M355&lt;&gt;N355+O355,"Sai cân đối SL",IF(AND(O355&gt;0,P355=""),"Thiếu mã lỗi","Hợp lệ"))))</x:f>
      </x:c>
    </x:row>
    <x:row r="356">
      <x:c r="A356" s="21"/>
      <x:c r="B356" s="43"/>
      <x:c r="C356" s="21"/>
      <x:c r="D356" s="21"/>
      <x:c r="E356" s="21"/>
      <x:c r="F356" s="21"/>
      <x:c r="G356" s="29" t="str">
        <x:f>IF(OR(C356="",D356=""),"",C356&amp;"|"&amp;D356&amp;"|"&amp;IF(E356="","00",E356)&amp;"|"&amp;IF(F356="","01",F356))</x:f>
      </x:c>
      <x:c r="H356" s="21"/>
      <x:c r="I356" s="29" t="str">
        <x:f>IF(OR(G356="",H356=""),"",G356&amp;"|"&amp;TEXT(H356,"000"))</x:f>
      </x:c>
      <x:c r="J356" s="21"/>
      <x:c r="K356" s="21"/>
      <x:c r="L356" s="21"/>
      <x:c r="M356" s="23"/>
      <x:c r="N356" s="23"/>
      <x:c r="O356" s="23"/>
      <x:c r="P356" s="21"/>
      <x:c r="Q356" s="29" t="str">
        <x:f>IF(P356="","",IFERROR(INDEX(DM_MA_LOI!$B$6:$B$105,MATCH(P356,DM_MA_LOI!$A$6:$A$105,0)),""))</x:f>
      </x:c>
      <x:c r="R356" s="29" t="str">
        <x:f>IF(P356="","",IFERROR(INDEX(DM_MA_LOI!$E$6:$E$105,MATCH(P356,DM_MA_LOI!$A$6:$A$105,0)),""))</x:f>
      </x:c>
      <x:c r="S356" s="29" t="str">
        <x:f>IF(P356="","",IFERROR(INDEX(DM_MA_LOI!$F$6:$F$105,MATCH(P356,DM_MA_LOI!$A$6:$A$105,0)),""))</x:f>
      </x:c>
      <x:c r="T356" s="21"/>
      <x:c r="U356" s="21"/>
      <x:c r="V356" s="21"/>
      <x:c r="W356" s="21"/>
      <x:c r="X356" s="21"/>
      <x:c r="Y356" s="21"/>
      <x:c r="Z356" s="21"/>
      <x:c r="AA356" s="29" t="str">
        <x:f>IF(A356="","",IF(OR(B356="",C356="",D356="",H356="",K356="",L356=""),"Thiếu dữ liệu",IF(M356&lt;&gt;N356+O356,"Sai cân đối SL",IF(AND(O356&gt;0,P356=""),"Thiếu mã lỗi","Hợp lệ"))))</x:f>
      </x:c>
    </x:row>
    <x:row r="357">
      <x:c r="A357" s="21"/>
      <x:c r="B357" s="43"/>
      <x:c r="C357" s="21"/>
      <x:c r="D357" s="21"/>
      <x:c r="E357" s="21"/>
      <x:c r="F357" s="21"/>
      <x:c r="G357" s="29" t="str">
        <x:f>IF(OR(C357="",D357=""),"",C357&amp;"|"&amp;D357&amp;"|"&amp;IF(E357="","00",E357)&amp;"|"&amp;IF(F357="","01",F357))</x:f>
      </x:c>
      <x:c r="H357" s="21"/>
      <x:c r="I357" s="29" t="str">
        <x:f>IF(OR(G357="",H357=""),"",G357&amp;"|"&amp;TEXT(H357,"000"))</x:f>
      </x:c>
      <x:c r="J357" s="21"/>
      <x:c r="K357" s="21"/>
      <x:c r="L357" s="21"/>
      <x:c r="M357" s="23"/>
      <x:c r="N357" s="23"/>
      <x:c r="O357" s="23"/>
      <x:c r="P357" s="21"/>
      <x:c r="Q357" s="29" t="str">
        <x:f>IF(P357="","",IFERROR(INDEX(DM_MA_LOI!$B$6:$B$105,MATCH(P357,DM_MA_LOI!$A$6:$A$105,0)),""))</x:f>
      </x:c>
      <x:c r="R357" s="29" t="str">
        <x:f>IF(P357="","",IFERROR(INDEX(DM_MA_LOI!$E$6:$E$105,MATCH(P357,DM_MA_LOI!$A$6:$A$105,0)),""))</x:f>
      </x:c>
      <x:c r="S357" s="29" t="str">
        <x:f>IF(P357="","",IFERROR(INDEX(DM_MA_LOI!$F$6:$F$105,MATCH(P357,DM_MA_LOI!$A$6:$A$105,0)),""))</x:f>
      </x:c>
      <x:c r="T357" s="21"/>
      <x:c r="U357" s="21"/>
      <x:c r="V357" s="21"/>
      <x:c r="W357" s="21"/>
      <x:c r="X357" s="21"/>
      <x:c r="Y357" s="21"/>
      <x:c r="Z357" s="21"/>
      <x:c r="AA357" s="29" t="str">
        <x:f>IF(A357="","",IF(OR(B357="",C357="",D357="",H357="",K357="",L357=""),"Thiếu dữ liệu",IF(M357&lt;&gt;N357+O357,"Sai cân đối SL",IF(AND(O357&gt;0,P357=""),"Thiếu mã lỗi","Hợp lệ"))))</x:f>
      </x:c>
    </x:row>
    <x:row r="358">
      <x:c r="A358" s="21"/>
      <x:c r="B358" s="43"/>
      <x:c r="C358" s="21"/>
      <x:c r="D358" s="21"/>
      <x:c r="E358" s="21"/>
      <x:c r="F358" s="21"/>
      <x:c r="G358" s="29" t="str">
        <x:f>IF(OR(C358="",D358=""),"",C358&amp;"|"&amp;D358&amp;"|"&amp;IF(E358="","00",E358)&amp;"|"&amp;IF(F358="","01",F358))</x:f>
      </x:c>
      <x:c r="H358" s="21"/>
      <x:c r="I358" s="29" t="str">
        <x:f>IF(OR(G358="",H358=""),"",G358&amp;"|"&amp;TEXT(H358,"000"))</x:f>
      </x:c>
      <x:c r="J358" s="21"/>
      <x:c r="K358" s="21"/>
      <x:c r="L358" s="21"/>
      <x:c r="M358" s="23"/>
      <x:c r="N358" s="23"/>
      <x:c r="O358" s="23"/>
      <x:c r="P358" s="21"/>
      <x:c r="Q358" s="29" t="str">
        <x:f>IF(P358="","",IFERROR(INDEX(DM_MA_LOI!$B$6:$B$105,MATCH(P358,DM_MA_LOI!$A$6:$A$105,0)),""))</x:f>
      </x:c>
      <x:c r="R358" s="29" t="str">
        <x:f>IF(P358="","",IFERROR(INDEX(DM_MA_LOI!$E$6:$E$105,MATCH(P358,DM_MA_LOI!$A$6:$A$105,0)),""))</x:f>
      </x:c>
      <x:c r="S358" s="29" t="str">
        <x:f>IF(P358="","",IFERROR(INDEX(DM_MA_LOI!$F$6:$F$105,MATCH(P358,DM_MA_LOI!$A$6:$A$105,0)),""))</x:f>
      </x:c>
      <x:c r="T358" s="21"/>
      <x:c r="U358" s="21"/>
      <x:c r="V358" s="21"/>
      <x:c r="W358" s="21"/>
      <x:c r="X358" s="21"/>
      <x:c r="Y358" s="21"/>
      <x:c r="Z358" s="21"/>
      <x:c r="AA358" s="29" t="str">
        <x:f>IF(A358="","",IF(OR(B358="",C358="",D358="",H358="",K358="",L358=""),"Thiếu dữ liệu",IF(M358&lt;&gt;N358+O358,"Sai cân đối SL",IF(AND(O358&gt;0,P358=""),"Thiếu mã lỗi","Hợp lệ"))))</x:f>
      </x:c>
    </x:row>
    <x:row r="359">
      <x:c r="A359" s="21"/>
      <x:c r="B359" s="43"/>
      <x:c r="C359" s="21"/>
      <x:c r="D359" s="21"/>
      <x:c r="E359" s="21"/>
      <x:c r="F359" s="21"/>
      <x:c r="G359" s="29" t="str">
        <x:f>IF(OR(C359="",D359=""),"",C359&amp;"|"&amp;D359&amp;"|"&amp;IF(E359="","00",E359)&amp;"|"&amp;IF(F359="","01",F359))</x:f>
      </x:c>
      <x:c r="H359" s="21"/>
      <x:c r="I359" s="29" t="str">
        <x:f>IF(OR(G359="",H359=""),"",G359&amp;"|"&amp;TEXT(H359,"000"))</x:f>
      </x:c>
      <x:c r="J359" s="21"/>
      <x:c r="K359" s="21"/>
      <x:c r="L359" s="21"/>
      <x:c r="M359" s="23"/>
      <x:c r="N359" s="23"/>
      <x:c r="O359" s="23"/>
      <x:c r="P359" s="21"/>
      <x:c r="Q359" s="29" t="str">
        <x:f>IF(P359="","",IFERROR(INDEX(DM_MA_LOI!$B$6:$B$105,MATCH(P359,DM_MA_LOI!$A$6:$A$105,0)),""))</x:f>
      </x:c>
      <x:c r="R359" s="29" t="str">
        <x:f>IF(P359="","",IFERROR(INDEX(DM_MA_LOI!$E$6:$E$105,MATCH(P359,DM_MA_LOI!$A$6:$A$105,0)),""))</x:f>
      </x:c>
      <x:c r="S359" s="29" t="str">
        <x:f>IF(P359="","",IFERROR(INDEX(DM_MA_LOI!$F$6:$F$105,MATCH(P359,DM_MA_LOI!$A$6:$A$105,0)),""))</x:f>
      </x:c>
      <x:c r="T359" s="21"/>
      <x:c r="U359" s="21"/>
      <x:c r="V359" s="21"/>
      <x:c r="W359" s="21"/>
      <x:c r="X359" s="21"/>
      <x:c r="Y359" s="21"/>
      <x:c r="Z359" s="21"/>
      <x:c r="AA359" s="29" t="str">
        <x:f>IF(A359="","",IF(OR(B359="",C359="",D359="",H359="",K359="",L359=""),"Thiếu dữ liệu",IF(M359&lt;&gt;N359+O359,"Sai cân đối SL",IF(AND(O359&gt;0,P359=""),"Thiếu mã lỗi","Hợp lệ"))))</x:f>
      </x:c>
    </x:row>
    <x:row r="360">
      <x:c r="A360" s="21"/>
      <x:c r="B360" s="43"/>
      <x:c r="C360" s="21"/>
      <x:c r="D360" s="21"/>
      <x:c r="E360" s="21"/>
      <x:c r="F360" s="21"/>
      <x:c r="G360" s="29" t="str">
        <x:f>IF(OR(C360="",D360=""),"",C360&amp;"|"&amp;D360&amp;"|"&amp;IF(E360="","00",E360)&amp;"|"&amp;IF(F360="","01",F360))</x:f>
      </x:c>
      <x:c r="H360" s="21"/>
      <x:c r="I360" s="29" t="str">
        <x:f>IF(OR(G360="",H360=""),"",G360&amp;"|"&amp;TEXT(H360,"000"))</x:f>
      </x:c>
      <x:c r="J360" s="21"/>
      <x:c r="K360" s="21"/>
      <x:c r="L360" s="21"/>
      <x:c r="M360" s="23"/>
      <x:c r="N360" s="23"/>
      <x:c r="O360" s="23"/>
      <x:c r="P360" s="21"/>
      <x:c r="Q360" s="29" t="str">
        <x:f>IF(P360="","",IFERROR(INDEX(DM_MA_LOI!$B$6:$B$105,MATCH(P360,DM_MA_LOI!$A$6:$A$105,0)),""))</x:f>
      </x:c>
      <x:c r="R360" s="29" t="str">
        <x:f>IF(P360="","",IFERROR(INDEX(DM_MA_LOI!$E$6:$E$105,MATCH(P360,DM_MA_LOI!$A$6:$A$105,0)),""))</x:f>
      </x:c>
      <x:c r="S360" s="29" t="str">
        <x:f>IF(P360="","",IFERROR(INDEX(DM_MA_LOI!$F$6:$F$105,MATCH(P360,DM_MA_LOI!$A$6:$A$105,0)),""))</x:f>
      </x:c>
      <x:c r="T360" s="21"/>
      <x:c r="U360" s="21"/>
      <x:c r="V360" s="21"/>
      <x:c r="W360" s="21"/>
      <x:c r="X360" s="21"/>
      <x:c r="Y360" s="21"/>
      <x:c r="Z360" s="21"/>
      <x:c r="AA360" s="29" t="str">
        <x:f>IF(A360="","",IF(OR(B360="",C360="",D360="",H360="",K360="",L360=""),"Thiếu dữ liệu",IF(M360&lt;&gt;N360+O360,"Sai cân đối SL",IF(AND(O360&gt;0,P360=""),"Thiếu mã lỗi","Hợp lệ"))))</x:f>
      </x:c>
    </x:row>
    <x:row r="361">
      <x:c r="A361" s="21"/>
      <x:c r="B361" s="43"/>
      <x:c r="C361" s="21"/>
      <x:c r="D361" s="21"/>
      <x:c r="E361" s="21"/>
      <x:c r="F361" s="21"/>
      <x:c r="G361" s="29" t="str">
        <x:f>IF(OR(C361="",D361=""),"",C361&amp;"|"&amp;D361&amp;"|"&amp;IF(E361="","00",E361)&amp;"|"&amp;IF(F361="","01",F361))</x:f>
      </x:c>
      <x:c r="H361" s="21"/>
      <x:c r="I361" s="29" t="str">
        <x:f>IF(OR(G361="",H361=""),"",G361&amp;"|"&amp;TEXT(H361,"000"))</x:f>
      </x:c>
      <x:c r="J361" s="21"/>
      <x:c r="K361" s="21"/>
      <x:c r="L361" s="21"/>
      <x:c r="M361" s="23"/>
      <x:c r="N361" s="23"/>
      <x:c r="O361" s="23"/>
      <x:c r="P361" s="21"/>
      <x:c r="Q361" s="29" t="str">
        <x:f>IF(P361="","",IFERROR(INDEX(DM_MA_LOI!$B$6:$B$105,MATCH(P361,DM_MA_LOI!$A$6:$A$105,0)),""))</x:f>
      </x:c>
      <x:c r="R361" s="29" t="str">
        <x:f>IF(P361="","",IFERROR(INDEX(DM_MA_LOI!$E$6:$E$105,MATCH(P361,DM_MA_LOI!$A$6:$A$105,0)),""))</x:f>
      </x:c>
      <x:c r="S361" s="29" t="str">
        <x:f>IF(P361="","",IFERROR(INDEX(DM_MA_LOI!$F$6:$F$105,MATCH(P361,DM_MA_LOI!$A$6:$A$105,0)),""))</x:f>
      </x:c>
      <x:c r="T361" s="21"/>
      <x:c r="U361" s="21"/>
      <x:c r="V361" s="21"/>
      <x:c r="W361" s="21"/>
      <x:c r="X361" s="21"/>
      <x:c r="Y361" s="21"/>
      <x:c r="Z361" s="21"/>
      <x:c r="AA361" s="29" t="str">
        <x:f>IF(A361="","",IF(OR(B361="",C361="",D361="",H361="",K361="",L361=""),"Thiếu dữ liệu",IF(M361&lt;&gt;N361+O361,"Sai cân đối SL",IF(AND(O361&gt;0,P361=""),"Thiếu mã lỗi","Hợp lệ"))))</x:f>
      </x:c>
    </x:row>
    <x:row r="362">
      <x:c r="A362" s="21"/>
      <x:c r="B362" s="43"/>
      <x:c r="C362" s="21"/>
      <x:c r="D362" s="21"/>
      <x:c r="E362" s="21"/>
      <x:c r="F362" s="21"/>
      <x:c r="G362" s="29" t="str">
        <x:f>IF(OR(C362="",D362=""),"",C362&amp;"|"&amp;D362&amp;"|"&amp;IF(E362="","00",E362)&amp;"|"&amp;IF(F362="","01",F362))</x:f>
      </x:c>
      <x:c r="H362" s="21"/>
      <x:c r="I362" s="29" t="str">
        <x:f>IF(OR(G362="",H362=""),"",G362&amp;"|"&amp;TEXT(H362,"000"))</x:f>
      </x:c>
      <x:c r="J362" s="21"/>
      <x:c r="K362" s="21"/>
      <x:c r="L362" s="21"/>
      <x:c r="M362" s="23"/>
      <x:c r="N362" s="23"/>
      <x:c r="O362" s="23"/>
      <x:c r="P362" s="21"/>
      <x:c r="Q362" s="29" t="str">
        <x:f>IF(P362="","",IFERROR(INDEX(DM_MA_LOI!$B$6:$B$105,MATCH(P362,DM_MA_LOI!$A$6:$A$105,0)),""))</x:f>
      </x:c>
      <x:c r="R362" s="29" t="str">
        <x:f>IF(P362="","",IFERROR(INDEX(DM_MA_LOI!$E$6:$E$105,MATCH(P362,DM_MA_LOI!$A$6:$A$105,0)),""))</x:f>
      </x:c>
      <x:c r="S362" s="29" t="str">
        <x:f>IF(P362="","",IFERROR(INDEX(DM_MA_LOI!$F$6:$F$105,MATCH(P362,DM_MA_LOI!$A$6:$A$105,0)),""))</x:f>
      </x:c>
      <x:c r="T362" s="21"/>
      <x:c r="U362" s="21"/>
      <x:c r="V362" s="21"/>
      <x:c r="W362" s="21"/>
      <x:c r="X362" s="21"/>
      <x:c r="Y362" s="21"/>
      <x:c r="Z362" s="21"/>
      <x:c r="AA362" s="29" t="str">
        <x:f>IF(A362="","",IF(OR(B362="",C362="",D362="",H362="",K362="",L362=""),"Thiếu dữ liệu",IF(M362&lt;&gt;N362+O362,"Sai cân đối SL",IF(AND(O362&gt;0,P362=""),"Thiếu mã lỗi","Hợp lệ"))))</x:f>
      </x:c>
    </x:row>
    <x:row r="363">
      <x:c r="A363" s="21"/>
      <x:c r="B363" s="43"/>
      <x:c r="C363" s="21"/>
      <x:c r="D363" s="21"/>
      <x:c r="E363" s="21"/>
      <x:c r="F363" s="21"/>
      <x:c r="G363" s="29" t="str">
        <x:f>IF(OR(C363="",D363=""),"",C363&amp;"|"&amp;D363&amp;"|"&amp;IF(E363="","00",E363)&amp;"|"&amp;IF(F363="","01",F363))</x:f>
      </x:c>
      <x:c r="H363" s="21"/>
      <x:c r="I363" s="29" t="str">
        <x:f>IF(OR(G363="",H363=""),"",G363&amp;"|"&amp;TEXT(H363,"000"))</x:f>
      </x:c>
      <x:c r="J363" s="21"/>
      <x:c r="K363" s="21"/>
      <x:c r="L363" s="21"/>
      <x:c r="M363" s="23"/>
      <x:c r="N363" s="23"/>
      <x:c r="O363" s="23"/>
      <x:c r="P363" s="21"/>
      <x:c r="Q363" s="29" t="str">
        <x:f>IF(P363="","",IFERROR(INDEX(DM_MA_LOI!$B$6:$B$105,MATCH(P363,DM_MA_LOI!$A$6:$A$105,0)),""))</x:f>
      </x:c>
      <x:c r="R363" s="29" t="str">
        <x:f>IF(P363="","",IFERROR(INDEX(DM_MA_LOI!$E$6:$E$105,MATCH(P363,DM_MA_LOI!$A$6:$A$105,0)),""))</x:f>
      </x:c>
      <x:c r="S363" s="29" t="str">
        <x:f>IF(P363="","",IFERROR(INDEX(DM_MA_LOI!$F$6:$F$105,MATCH(P363,DM_MA_LOI!$A$6:$A$105,0)),""))</x:f>
      </x:c>
      <x:c r="T363" s="21"/>
      <x:c r="U363" s="21"/>
      <x:c r="V363" s="21"/>
      <x:c r="W363" s="21"/>
      <x:c r="X363" s="21"/>
      <x:c r="Y363" s="21"/>
      <x:c r="Z363" s="21"/>
      <x:c r="AA363" s="29" t="str">
        <x:f>IF(A363="","",IF(OR(B363="",C363="",D363="",H363="",K363="",L363=""),"Thiếu dữ liệu",IF(M363&lt;&gt;N363+O363,"Sai cân đối SL",IF(AND(O363&gt;0,P363=""),"Thiếu mã lỗi","Hợp lệ"))))</x:f>
      </x:c>
    </x:row>
    <x:row r="364">
      <x:c r="A364" s="21"/>
      <x:c r="B364" s="43"/>
      <x:c r="C364" s="21"/>
      <x:c r="D364" s="21"/>
      <x:c r="E364" s="21"/>
      <x:c r="F364" s="21"/>
      <x:c r="G364" s="29" t="str">
        <x:f>IF(OR(C364="",D364=""),"",C364&amp;"|"&amp;D364&amp;"|"&amp;IF(E364="","00",E364)&amp;"|"&amp;IF(F364="","01",F364))</x:f>
      </x:c>
      <x:c r="H364" s="21"/>
      <x:c r="I364" s="29" t="str">
        <x:f>IF(OR(G364="",H364=""),"",G364&amp;"|"&amp;TEXT(H364,"000"))</x:f>
      </x:c>
      <x:c r="J364" s="21"/>
      <x:c r="K364" s="21"/>
      <x:c r="L364" s="21"/>
      <x:c r="M364" s="23"/>
      <x:c r="N364" s="23"/>
      <x:c r="O364" s="23"/>
      <x:c r="P364" s="21"/>
      <x:c r="Q364" s="29" t="str">
        <x:f>IF(P364="","",IFERROR(INDEX(DM_MA_LOI!$B$6:$B$105,MATCH(P364,DM_MA_LOI!$A$6:$A$105,0)),""))</x:f>
      </x:c>
      <x:c r="R364" s="29" t="str">
        <x:f>IF(P364="","",IFERROR(INDEX(DM_MA_LOI!$E$6:$E$105,MATCH(P364,DM_MA_LOI!$A$6:$A$105,0)),""))</x:f>
      </x:c>
      <x:c r="S364" s="29" t="str">
        <x:f>IF(P364="","",IFERROR(INDEX(DM_MA_LOI!$F$6:$F$105,MATCH(P364,DM_MA_LOI!$A$6:$A$105,0)),""))</x:f>
      </x:c>
      <x:c r="T364" s="21"/>
      <x:c r="U364" s="21"/>
      <x:c r="V364" s="21"/>
      <x:c r="W364" s="21"/>
      <x:c r="X364" s="21"/>
      <x:c r="Y364" s="21"/>
      <x:c r="Z364" s="21"/>
      <x:c r="AA364" s="29" t="str">
        <x:f>IF(A364="","",IF(OR(B364="",C364="",D364="",H364="",K364="",L364=""),"Thiếu dữ liệu",IF(M364&lt;&gt;N364+O364,"Sai cân đối SL",IF(AND(O364&gt;0,P364=""),"Thiếu mã lỗi","Hợp lệ"))))</x:f>
      </x:c>
    </x:row>
    <x:row r="365">
      <x:c r="A365" s="21"/>
      <x:c r="B365" s="43"/>
      <x:c r="C365" s="21"/>
      <x:c r="D365" s="21"/>
      <x:c r="E365" s="21"/>
      <x:c r="F365" s="21"/>
      <x:c r="G365" s="29" t="str">
        <x:f>IF(OR(C365="",D365=""),"",C365&amp;"|"&amp;D365&amp;"|"&amp;IF(E365="","00",E365)&amp;"|"&amp;IF(F365="","01",F365))</x:f>
      </x:c>
      <x:c r="H365" s="21"/>
      <x:c r="I365" s="29" t="str">
        <x:f>IF(OR(G365="",H365=""),"",G365&amp;"|"&amp;TEXT(H365,"000"))</x:f>
      </x:c>
      <x:c r="J365" s="21"/>
      <x:c r="K365" s="21"/>
      <x:c r="L365" s="21"/>
      <x:c r="M365" s="23"/>
      <x:c r="N365" s="23"/>
      <x:c r="O365" s="23"/>
      <x:c r="P365" s="21"/>
      <x:c r="Q365" s="29" t="str">
        <x:f>IF(P365="","",IFERROR(INDEX(DM_MA_LOI!$B$6:$B$105,MATCH(P365,DM_MA_LOI!$A$6:$A$105,0)),""))</x:f>
      </x:c>
      <x:c r="R365" s="29" t="str">
        <x:f>IF(P365="","",IFERROR(INDEX(DM_MA_LOI!$E$6:$E$105,MATCH(P365,DM_MA_LOI!$A$6:$A$105,0)),""))</x:f>
      </x:c>
      <x:c r="S365" s="29" t="str">
        <x:f>IF(P365="","",IFERROR(INDEX(DM_MA_LOI!$F$6:$F$105,MATCH(P365,DM_MA_LOI!$A$6:$A$105,0)),""))</x:f>
      </x:c>
      <x:c r="T365" s="21"/>
      <x:c r="U365" s="21"/>
      <x:c r="V365" s="21"/>
      <x:c r="W365" s="21"/>
      <x:c r="X365" s="21"/>
      <x:c r="Y365" s="21"/>
      <x:c r="Z365" s="21"/>
      <x:c r="AA365" s="29" t="str">
        <x:f>IF(A365="","",IF(OR(B365="",C365="",D365="",H365="",K365="",L365=""),"Thiếu dữ liệu",IF(M365&lt;&gt;N365+O365,"Sai cân đối SL",IF(AND(O365&gt;0,P365=""),"Thiếu mã lỗi","Hợp lệ"))))</x:f>
      </x:c>
    </x:row>
    <x:row r="366">
      <x:c r="A366" s="21"/>
      <x:c r="B366" s="43"/>
      <x:c r="C366" s="21"/>
      <x:c r="D366" s="21"/>
      <x:c r="E366" s="21"/>
      <x:c r="F366" s="21"/>
      <x:c r="G366" s="29" t="str">
        <x:f>IF(OR(C366="",D366=""),"",C366&amp;"|"&amp;D366&amp;"|"&amp;IF(E366="","00",E366)&amp;"|"&amp;IF(F366="","01",F366))</x:f>
      </x:c>
      <x:c r="H366" s="21"/>
      <x:c r="I366" s="29" t="str">
        <x:f>IF(OR(G366="",H366=""),"",G366&amp;"|"&amp;TEXT(H366,"000"))</x:f>
      </x:c>
      <x:c r="J366" s="21"/>
      <x:c r="K366" s="21"/>
      <x:c r="L366" s="21"/>
      <x:c r="M366" s="23"/>
      <x:c r="N366" s="23"/>
      <x:c r="O366" s="23"/>
      <x:c r="P366" s="21"/>
      <x:c r="Q366" s="29" t="str">
        <x:f>IF(P366="","",IFERROR(INDEX(DM_MA_LOI!$B$6:$B$105,MATCH(P366,DM_MA_LOI!$A$6:$A$105,0)),""))</x:f>
      </x:c>
      <x:c r="R366" s="29" t="str">
        <x:f>IF(P366="","",IFERROR(INDEX(DM_MA_LOI!$E$6:$E$105,MATCH(P366,DM_MA_LOI!$A$6:$A$105,0)),""))</x:f>
      </x:c>
      <x:c r="S366" s="29" t="str">
        <x:f>IF(P366="","",IFERROR(INDEX(DM_MA_LOI!$F$6:$F$105,MATCH(P366,DM_MA_LOI!$A$6:$A$105,0)),""))</x:f>
      </x:c>
      <x:c r="T366" s="21"/>
      <x:c r="U366" s="21"/>
      <x:c r="V366" s="21"/>
      <x:c r="W366" s="21"/>
      <x:c r="X366" s="21"/>
      <x:c r="Y366" s="21"/>
      <x:c r="Z366" s="21"/>
      <x:c r="AA366" s="29" t="str">
        <x:f>IF(A366="","",IF(OR(B366="",C366="",D366="",H366="",K366="",L366=""),"Thiếu dữ liệu",IF(M366&lt;&gt;N366+O366,"Sai cân đối SL",IF(AND(O366&gt;0,P366=""),"Thiếu mã lỗi","Hợp lệ"))))</x:f>
      </x:c>
    </x:row>
    <x:row r="367">
      <x:c r="A367" s="21"/>
      <x:c r="B367" s="43"/>
      <x:c r="C367" s="21"/>
      <x:c r="D367" s="21"/>
      <x:c r="E367" s="21"/>
      <x:c r="F367" s="21"/>
      <x:c r="G367" s="29" t="str">
        <x:f>IF(OR(C367="",D367=""),"",C367&amp;"|"&amp;D367&amp;"|"&amp;IF(E367="","00",E367)&amp;"|"&amp;IF(F367="","01",F367))</x:f>
      </x:c>
      <x:c r="H367" s="21"/>
      <x:c r="I367" s="29" t="str">
        <x:f>IF(OR(G367="",H367=""),"",G367&amp;"|"&amp;TEXT(H367,"000"))</x:f>
      </x:c>
      <x:c r="J367" s="21"/>
      <x:c r="K367" s="21"/>
      <x:c r="L367" s="21"/>
      <x:c r="M367" s="23"/>
      <x:c r="N367" s="23"/>
      <x:c r="O367" s="23"/>
      <x:c r="P367" s="21"/>
      <x:c r="Q367" s="29" t="str">
        <x:f>IF(P367="","",IFERROR(INDEX(DM_MA_LOI!$B$6:$B$105,MATCH(P367,DM_MA_LOI!$A$6:$A$105,0)),""))</x:f>
      </x:c>
      <x:c r="R367" s="29" t="str">
        <x:f>IF(P367="","",IFERROR(INDEX(DM_MA_LOI!$E$6:$E$105,MATCH(P367,DM_MA_LOI!$A$6:$A$105,0)),""))</x:f>
      </x:c>
      <x:c r="S367" s="29" t="str">
        <x:f>IF(P367="","",IFERROR(INDEX(DM_MA_LOI!$F$6:$F$105,MATCH(P367,DM_MA_LOI!$A$6:$A$105,0)),""))</x:f>
      </x:c>
      <x:c r="T367" s="21"/>
      <x:c r="U367" s="21"/>
      <x:c r="V367" s="21"/>
      <x:c r="W367" s="21"/>
      <x:c r="X367" s="21"/>
      <x:c r="Y367" s="21"/>
      <x:c r="Z367" s="21"/>
      <x:c r="AA367" s="29" t="str">
        <x:f>IF(A367="","",IF(OR(B367="",C367="",D367="",H367="",K367="",L367=""),"Thiếu dữ liệu",IF(M367&lt;&gt;N367+O367,"Sai cân đối SL",IF(AND(O367&gt;0,P367=""),"Thiếu mã lỗi","Hợp lệ"))))</x:f>
      </x:c>
    </x:row>
    <x:row r="368">
      <x:c r="A368" s="21"/>
      <x:c r="B368" s="43"/>
      <x:c r="C368" s="21"/>
      <x:c r="D368" s="21"/>
      <x:c r="E368" s="21"/>
      <x:c r="F368" s="21"/>
      <x:c r="G368" s="29" t="str">
        <x:f>IF(OR(C368="",D368=""),"",C368&amp;"|"&amp;D368&amp;"|"&amp;IF(E368="","00",E368)&amp;"|"&amp;IF(F368="","01",F368))</x:f>
      </x:c>
      <x:c r="H368" s="21"/>
      <x:c r="I368" s="29" t="str">
        <x:f>IF(OR(G368="",H368=""),"",G368&amp;"|"&amp;TEXT(H368,"000"))</x:f>
      </x:c>
      <x:c r="J368" s="21"/>
      <x:c r="K368" s="21"/>
      <x:c r="L368" s="21"/>
      <x:c r="M368" s="23"/>
      <x:c r="N368" s="23"/>
      <x:c r="O368" s="23"/>
      <x:c r="P368" s="21"/>
      <x:c r="Q368" s="29" t="str">
        <x:f>IF(P368="","",IFERROR(INDEX(DM_MA_LOI!$B$6:$B$105,MATCH(P368,DM_MA_LOI!$A$6:$A$105,0)),""))</x:f>
      </x:c>
      <x:c r="R368" s="29" t="str">
        <x:f>IF(P368="","",IFERROR(INDEX(DM_MA_LOI!$E$6:$E$105,MATCH(P368,DM_MA_LOI!$A$6:$A$105,0)),""))</x:f>
      </x:c>
      <x:c r="S368" s="29" t="str">
        <x:f>IF(P368="","",IFERROR(INDEX(DM_MA_LOI!$F$6:$F$105,MATCH(P368,DM_MA_LOI!$A$6:$A$105,0)),""))</x:f>
      </x:c>
      <x:c r="T368" s="21"/>
      <x:c r="U368" s="21"/>
      <x:c r="V368" s="21"/>
      <x:c r="W368" s="21"/>
      <x:c r="X368" s="21"/>
      <x:c r="Y368" s="21"/>
      <x:c r="Z368" s="21"/>
      <x:c r="AA368" s="29" t="str">
        <x:f>IF(A368="","",IF(OR(B368="",C368="",D368="",H368="",K368="",L368=""),"Thiếu dữ liệu",IF(M368&lt;&gt;N368+O368,"Sai cân đối SL",IF(AND(O368&gt;0,P368=""),"Thiếu mã lỗi","Hợp lệ"))))</x:f>
      </x:c>
    </x:row>
    <x:row r="369">
      <x:c r="A369" s="21"/>
      <x:c r="B369" s="43"/>
      <x:c r="C369" s="21"/>
      <x:c r="D369" s="21"/>
      <x:c r="E369" s="21"/>
      <x:c r="F369" s="21"/>
      <x:c r="G369" s="29" t="str">
        <x:f>IF(OR(C369="",D369=""),"",C369&amp;"|"&amp;D369&amp;"|"&amp;IF(E369="","00",E369)&amp;"|"&amp;IF(F369="","01",F369))</x:f>
      </x:c>
      <x:c r="H369" s="21"/>
      <x:c r="I369" s="29" t="str">
        <x:f>IF(OR(G369="",H369=""),"",G369&amp;"|"&amp;TEXT(H369,"000"))</x:f>
      </x:c>
      <x:c r="J369" s="21"/>
      <x:c r="K369" s="21"/>
      <x:c r="L369" s="21"/>
      <x:c r="M369" s="23"/>
      <x:c r="N369" s="23"/>
      <x:c r="O369" s="23"/>
      <x:c r="P369" s="21"/>
      <x:c r="Q369" s="29" t="str">
        <x:f>IF(P369="","",IFERROR(INDEX(DM_MA_LOI!$B$6:$B$105,MATCH(P369,DM_MA_LOI!$A$6:$A$105,0)),""))</x:f>
      </x:c>
      <x:c r="R369" s="29" t="str">
        <x:f>IF(P369="","",IFERROR(INDEX(DM_MA_LOI!$E$6:$E$105,MATCH(P369,DM_MA_LOI!$A$6:$A$105,0)),""))</x:f>
      </x:c>
      <x:c r="S369" s="29" t="str">
        <x:f>IF(P369="","",IFERROR(INDEX(DM_MA_LOI!$F$6:$F$105,MATCH(P369,DM_MA_LOI!$A$6:$A$105,0)),""))</x:f>
      </x:c>
      <x:c r="T369" s="21"/>
      <x:c r="U369" s="21"/>
      <x:c r="V369" s="21"/>
      <x:c r="W369" s="21"/>
      <x:c r="X369" s="21"/>
      <x:c r="Y369" s="21"/>
      <x:c r="Z369" s="21"/>
      <x:c r="AA369" s="29" t="str">
        <x:f>IF(A369="","",IF(OR(B369="",C369="",D369="",H369="",K369="",L369=""),"Thiếu dữ liệu",IF(M369&lt;&gt;N369+O369,"Sai cân đối SL",IF(AND(O369&gt;0,P369=""),"Thiếu mã lỗi","Hợp lệ"))))</x:f>
      </x:c>
    </x:row>
    <x:row r="370">
      <x:c r="A370" s="21"/>
      <x:c r="B370" s="43"/>
      <x:c r="C370" s="21"/>
      <x:c r="D370" s="21"/>
      <x:c r="E370" s="21"/>
      <x:c r="F370" s="21"/>
      <x:c r="G370" s="29" t="str">
        <x:f>IF(OR(C370="",D370=""),"",C370&amp;"|"&amp;D370&amp;"|"&amp;IF(E370="","00",E370)&amp;"|"&amp;IF(F370="","01",F370))</x:f>
      </x:c>
      <x:c r="H370" s="21"/>
      <x:c r="I370" s="29" t="str">
        <x:f>IF(OR(G370="",H370=""),"",G370&amp;"|"&amp;TEXT(H370,"000"))</x:f>
      </x:c>
      <x:c r="J370" s="21"/>
      <x:c r="K370" s="21"/>
      <x:c r="L370" s="21"/>
      <x:c r="M370" s="23"/>
      <x:c r="N370" s="23"/>
      <x:c r="O370" s="23"/>
      <x:c r="P370" s="21"/>
      <x:c r="Q370" s="29" t="str">
        <x:f>IF(P370="","",IFERROR(INDEX(DM_MA_LOI!$B$6:$B$105,MATCH(P370,DM_MA_LOI!$A$6:$A$105,0)),""))</x:f>
      </x:c>
      <x:c r="R370" s="29" t="str">
        <x:f>IF(P370="","",IFERROR(INDEX(DM_MA_LOI!$E$6:$E$105,MATCH(P370,DM_MA_LOI!$A$6:$A$105,0)),""))</x:f>
      </x:c>
      <x:c r="S370" s="29" t="str">
        <x:f>IF(P370="","",IFERROR(INDEX(DM_MA_LOI!$F$6:$F$105,MATCH(P370,DM_MA_LOI!$A$6:$A$105,0)),""))</x:f>
      </x:c>
      <x:c r="T370" s="21"/>
      <x:c r="U370" s="21"/>
      <x:c r="V370" s="21"/>
      <x:c r="W370" s="21"/>
      <x:c r="X370" s="21"/>
      <x:c r="Y370" s="21"/>
      <x:c r="Z370" s="21"/>
      <x:c r="AA370" s="29" t="str">
        <x:f>IF(A370="","",IF(OR(B370="",C370="",D370="",H370="",K370="",L370=""),"Thiếu dữ liệu",IF(M370&lt;&gt;N370+O370,"Sai cân đối SL",IF(AND(O370&gt;0,P370=""),"Thiếu mã lỗi","Hợp lệ"))))</x:f>
      </x:c>
    </x:row>
    <x:row r="371">
      <x:c r="A371" s="21"/>
      <x:c r="B371" s="43"/>
      <x:c r="C371" s="21"/>
      <x:c r="D371" s="21"/>
      <x:c r="E371" s="21"/>
      <x:c r="F371" s="21"/>
      <x:c r="G371" s="29" t="str">
        <x:f>IF(OR(C371="",D371=""),"",C371&amp;"|"&amp;D371&amp;"|"&amp;IF(E371="","00",E371)&amp;"|"&amp;IF(F371="","01",F371))</x:f>
      </x:c>
      <x:c r="H371" s="21"/>
      <x:c r="I371" s="29" t="str">
        <x:f>IF(OR(G371="",H371=""),"",G371&amp;"|"&amp;TEXT(H371,"000"))</x:f>
      </x:c>
      <x:c r="J371" s="21"/>
      <x:c r="K371" s="21"/>
      <x:c r="L371" s="21"/>
      <x:c r="M371" s="23"/>
      <x:c r="N371" s="23"/>
      <x:c r="O371" s="23"/>
      <x:c r="P371" s="21"/>
      <x:c r="Q371" s="29" t="str">
        <x:f>IF(P371="","",IFERROR(INDEX(DM_MA_LOI!$B$6:$B$105,MATCH(P371,DM_MA_LOI!$A$6:$A$105,0)),""))</x:f>
      </x:c>
      <x:c r="R371" s="29" t="str">
        <x:f>IF(P371="","",IFERROR(INDEX(DM_MA_LOI!$E$6:$E$105,MATCH(P371,DM_MA_LOI!$A$6:$A$105,0)),""))</x:f>
      </x:c>
      <x:c r="S371" s="29" t="str">
        <x:f>IF(P371="","",IFERROR(INDEX(DM_MA_LOI!$F$6:$F$105,MATCH(P371,DM_MA_LOI!$A$6:$A$105,0)),""))</x:f>
      </x:c>
      <x:c r="T371" s="21"/>
      <x:c r="U371" s="21"/>
      <x:c r="V371" s="21"/>
      <x:c r="W371" s="21"/>
      <x:c r="X371" s="21"/>
      <x:c r="Y371" s="21"/>
      <x:c r="Z371" s="21"/>
      <x:c r="AA371" s="29" t="str">
        <x:f>IF(A371="","",IF(OR(B371="",C371="",D371="",H371="",K371="",L371=""),"Thiếu dữ liệu",IF(M371&lt;&gt;N371+O371,"Sai cân đối SL",IF(AND(O371&gt;0,P371=""),"Thiếu mã lỗi","Hợp lệ"))))</x:f>
      </x:c>
    </x:row>
    <x:row r="372">
      <x:c r="A372" s="21"/>
      <x:c r="B372" s="43"/>
      <x:c r="C372" s="21"/>
      <x:c r="D372" s="21"/>
      <x:c r="E372" s="21"/>
      <x:c r="F372" s="21"/>
      <x:c r="G372" s="29" t="str">
        <x:f>IF(OR(C372="",D372=""),"",C372&amp;"|"&amp;D372&amp;"|"&amp;IF(E372="","00",E372)&amp;"|"&amp;IF(F372="","01",F372))</x:f>
      </x:c>
      <x:c r="H372" s="21"/>
      <x:c r="I372" s="29" t="str">
        <x:f>IF(OR(G372="",H372=""),"",G372&amp;"|"&amp;TEXT(H372,"000"))</x:f>
      </x:c>
      <x:c r="J372" s="21"/>
      <x:c r="K372" s="21"/>
      <x:c r="L372" s="21"/>
      <x:c r="M372" s="23"/>
      <x:c r="N372" s="23"/>
      <x:c r="O372" s="23"/>
      <x:c r="P372" s="21"/>
      <x:c r="Q372" s="29" t="str">
        <x:f>IF(P372="","",IFERROR(INDEX(DM_MA_LOI!$B$6:$B$105,MATCH(P372,DM_MA_LOI!$A$6:$A$105,0)),""))</x:f>
      </x:c>
      <x:c r="R372" s="29" t="str">
        <x:f>IF(P372="","",IFERROR(INDEX(DM_MA_LOI!$E$6:$E$105,MATCH(P372,DM_MA_LOI!$A$6:$A$105,0)),""))</x:f>
      </x:c>
      <x:c r="S372" s="29" t="str">
        <x:f>IF(P372="","",IFERROR(INDEX(DM_MA_LOI!$F$6:$F$105,MATCH(P372,DM_MA_LOI!$A$6:$A$105,0)),""))</x:f>
      </x:c>
      <x:c r="T372" s="21"/>
      <x:c r="U372" s="21"/>
      <x:c r="V372" s="21"/>
      <x:c r="W372" s="21"/>
      <x:c r="X372" s="21"/>
      <x:c r="Y372" s="21"/>
      <x:c r="Z372" s="21"/>
      <x:c r="AA372" s="29" t="str">
        <x:f>IF(A372="","",IF(OR(B372="",C372="",D372="",H372="",K372="",L372=""),"Thiếu dữ liệu",IF(M372&lt;&gt;N372+O372,"Sai cân đối SL",IF(AND(O372&gt;0,P372=""),"Thiếu mã lỗi","Hợp lệ"))))</x:f>
      </x:c>
    </x:row>
    <x:row r="373">
      <x:c r="A373" s="21"/>
      <x:c r="B373" s="43"/>
      <x:c r="C373" s="21"/>
      <x:c r="D373" s="21"/>
      <x:c r="E373" s="21"/>
      <x:c r="F373" s="21"/>
      <x:c r="G373" s="29" t="str">
        <x:f>IF(OR(C373="",D373=""),"",C373&amp;"|"&amp;D373&amp;"|"&amp;IF(E373="","00",E373)&amp;"|"&amp;IF(F373="","01",F373))</x:f>
      </x:c>
      <x:c r="H373" s="21"/>
      <x:c r="I373" s="29" t="str">
        <x:f>IF(OR(G373="",H373=""),"",G373&amp;"|"&amp;TEXT(H373,"000"))</x:f>
      </x:c>
      <x:c r="J373" s="21"/>
      <x:c r="K373" s="21"/>
      <x:c r="L373" s="21"/>
      <x:c r="M373" s="23"/>
      <x:c r="N373" s="23"/>
      <x:c r="O373" s="23"/>
      <x:c r="P373" s="21"/>
      <x:c r="Q373" s="29" t="str">
        <x:f>IF(P373="","",IFERROR(INDEX(DM_MA_LOI!$B$6:$B$105,MATCH(P373,DM_MA_LOI!$A$6:$A$105,0)),""))</x:f>
      </x:c>
      <x:c r="R373" s="29" t="str">
        <x:f>IF(P373="","",IFERROR(INDEX(DM_MA_LOI!$E$6:$E$105,MATCH(P373,DM_MA_LOI!$A$6:$A$105,0)),""))</x:f>
      </x:c>
      <x:c r="S373" s="29" t="str">
        <x:f>IF(P373="","",IFERROR(INDEX(DM_MA_LOI!$F$6:$F$105,MATCH(P373,DM_MA_LOI!$A$6:$A$105,0)),""))</x:f>
      </x:c>
      <x:c r="T373" s="21"/>
      <x:c r="U373" s="21"/>
      <x:c r="V373" s="21"/>
      <x:c r="W373" s="21"/>
      <x:c r="X373" s="21"/>
      <x:c r="Y373" s="21"/>
      <x:c r="Z373" s="21"/>
      <x:c r="AA373" s="29" t="str">
        <x:f>IF(A373="","",IF(OR(B373="",C373="",D373="",H373="",K373="",L373=""),"Thiếu dữ liệu",IF(M373&lt;&gt;N373+O373,"Sai cân đối SL",IF(AND(O373&gt;0,P373=""),"Thiếu mã lỗi","Hợp lệ"))))</x:f>
      </x:c>
    </x:row>
    <x:row r="374">
      <x:c r="A374" s="21"/>
      <x:c r="B374" s="43"/>
      <x:c r="C374" s="21"/>
      <x:c r="D374" s="21"/>
      <x:c r="E374" s="21"/>
      <x:c r="F374" s="21"/>
      <x:c r="G374" s="29" t="str">
        <x:f>IF(OR(C374="",D374=""),"",C374&amp;"|"&amp;D374&amp;"|"&amp;IF(E374="","00",E374)&amp;"|"&amp;IF(F374="","01",F374))</x:f>
      </x:c>
      <x:c r="H374" s="21"/>
      <x:c r="I374" s="29" t="str">
        <x:f>IF(OR(G374="",H374=""),"",G374&amp;"|"&amp;TEXT(H374,"000"))</x:f>
      </x:c>
      <x:c r="J374" s="21"/>
      <x:c r="K374" s="21"/>
      <x:c r="L374" s="21"/>
      <x:c r="M374" s="23"/>
      <x:c r="N374" s="23"/>
      <x:c r="O374" s="23"/>
      <x:c r="P374" s="21"/>
      <x:c r="Q374" s="29" t="str">
        <x:f>IF(P374="","",IFERROR(INDEX(DM_MA_LOI!$B$6:$B$105,MATCH(P374,DM_MA_LOI!$A$6:$A$105,0)),""))</x:f>
      </x:c>
      <x:c r="R374" s="29" t="str">
        <x:f>IF(P374="","",IFERROR(INDEX(DM_MA_LOI!$E$6:$E$105,MATCH(P374,DM_MA_LOI!$A$6:$A$105,0)),""))</x:f>
      </x:c>
      <x:c r="S374" s="29" t="str">
        <x:f>IF(P374="","",IFERROR(INDEX(DM_MA_LOI!$F$6:$F$105,MATCH(P374,DM_MA_LOI!$A$6:$A$105,0)),""))</x:f>
      </x:c>
      <x:c r="T374" s="21"/>
      <x:c r="U374" s="21"/>
      <x:c r="V374" s="21"/>
      <x:c r="W374" s="21"/>
      <x:c r="X374" s="21"/>
      <x:c r="Y374" s="21"/>
      <x:c r="Z374" s="21"/>
      <x:c r="AA374" s="29" t="str">
        <x:f>IF(A374="","",IF(OR(B374="",C374="",D374="",H374="",K374="",L374=""),"Thiếu dữ liệu",IF(M374&lt;&gt;N374+O374,"Sai cân đối SL",IF(AND(O374&gt;0,P374=""),"Thiếu mã lỗi","Hợp lệ"))))</x:f>
      </x:c>
    </x:row>
    <x:row r="375">
      <x:c r="A375" s="21"/>
      <x:c r="B375" s="43"/>
      <x:c r="C375" s="21"/>
      <x:c r="D375" s="21"/>
      <x:c r="E375" s="21"/>
      <x:c r="F375" s="21"/>
      <x:c r="G375" s="29" t="str">
        <x:f>IF(OR(C375="",D375=""),"",C375&amp;"|"&amp;D375&amp;"|"&amp;IF(E375="","00",E375)&amp;"|"&amp;IF(F375="","01",F375))</x:f>
      </x:c>
      <x:c r="H375" s="21"/>
      <x:c r="I375" s="29" t="str">
        <x:f>IF(OR(G375="",H375=""),"",G375&amp;"|"&amp;TEXT(H375,"000"))</x:f>
      </x:c>
      <x:c r="J375" s="21"/>
      <x:c r="K375" s="21"/>
      <x:c r="L375" s="21"/>
      <x:c r="M375" s="23"/>
      <x:c r="N375" s="23"/>
      <x:c r="O375" s="23"/>
      <x:c r="P375" s="21"/>
      <x:c r="Q375" s="29" t="str">
        <x:f>IF(P375="","",IFERROR(INDEX(DM_MA_LOI!$B$6:$B$105,MATCH(P375,DM_MA_LOI!$A$6:$A$105,0)),""))</x:f>
      </x:c>
      <x:c r="R375" s="29" t="str">
        <x:f>IF(P375="","",IFERROR(INDEX(DM_MA_LOI!$E$6:$E$105,MATCH(P375,DM_MA_LOI!$A$6:$A$105,0)),""))</x:f>
      </x:c>
      <x:c r="S375" s="29" t="str">
        <x:f>IF(P375="","",IFERROR(INDEX(DM_MA_LOI!$F$6:$F$105,MATCH(P375,DM_MA_LOI!$A$6:$A$105,0)),""))</x:f>
      </x:c>
      <x:c r="T375" s="21"/>
      <x:c r="U375" s="21"/>
      <x:c r="V375" s="21"/>
      <x:c r="W375" s="21"/>
      <x:c r="X375" s="21"/>
      <x:c r="Y375" s="21"/>
      <x:c r="Z375" s="21"/>
      <x:c r="AA375" s="29" t="str">
        <x:f>IF(A375="","",IF(OR(B375="",C375="",D375="",H375="",K375="",L375=""),"Thiếu dữ liệu",IF(M375&lt;&gt;N375+O375,"Sai cân đối SL",IF(AND(O375&gt;0,P375=""),"Thiếu mã lỗi","Hợp lệ"))))</x:f>
      </x:c>
    </x:row>
    <x:row r="376">
      <x:c r="A376" s="21"/>
      <x:c r="B376" s="43"/>
      <x:c r="C376" s="21"/>
      <x:c r="D376" s="21"/>
      <x:c r="E376" s="21"/>
      <x:c r="F376" s="21"/>
      <x:c r="G376" s="29" t="str">
        <x:f>IF(OR(C376="",D376=""),"",C376&amp;"|"&amp;D376&amp;"|"&amp;IF(E376="","00",E376)&amp;"|"&amp;IF(F376="","01",F376))</x:f>
      </x:c>
      <x:c r="H376" s="21"/>
      <x:c r="I376" s="29" t="str">
        <x:f>IF(OR(G376="",H376=""),"",G376&amp;"|"&amp;TEXT(H376,"000"))</x:f>
      </x:c>
      <x:c r="J376" s="21"/>
      <x:c r="K376" s="21"/>
      <x:c r="L376" s="21"/>
      <x:c r="M376" s="23"/>
      <x:c r="N376" s="23"/>
      <x:c r="O376" s="23"/>
      <x:c r="P376" s="21"/>
      <x:c r="Q376" s="29" t="str">
        <x:f>IF(P376="","",IFERROR(INDEX(DM_MA_LOI!$B$6:$B$105,MATCH(P376,DM_MA_LOI!$A$6:$A$105,0)),""))</x:f>
      </x:c>
      <x:c r="R376" s="29" t="str">
        <x:f>IF(P376="","",IFERROR(INDEX(DM_MA_LOI!$E$6:$E$105,MATCH(P376,DM_MA_LOI!$A$6:$A$105,0)),""))</x:f>
      </x:c>
      <x:c r="S376" s="29" t="str">
        <x:f>IF(P376="","",IFERROR(INDEX(DM_MA_LOI!$F$6:$F$105,MATCH(P376,DM_MA_LOI!$A$6:$A$105,0)),""))</x:f>
      </x:c>
      <x:c r="T376" s="21"/>
      <x:c r="U376" s="21"/>
      <x:c r="V376" s="21"/>
      <x:c r="W376" s="21"/>
      <x:c r="X376" s="21"/>
      <x:c r="Y376" s="21"/>
      <x:c r="Z376" s="21"/>
      <x:c r="AA376" s="29" t="str">
        <x:f>IF(A376="","",IF(OR(B376="",C376="",D376="",H376="",K376="",L376=""),"Thiếu dữ liệu",IF(M376&lt;&gt;N376+O376,"Sai cân đối SL",IF(AND(O376&gt;0,P376=""),"Thiếu mã lỗi","Hợp lệ"))))</x:f>
      </x:c>
    </x:row>
    <x:row r="377">
      <x:c r="A377" s="21"/>
      <x:c r="B377" s="43"/>
      <x:c r="C377" s="21"/>
      <x:c r="D377" s="21"/>
      <x:c r="E377" s="21"/>
      <x:c r="F377" s="21"/>
      <x:c r="G377" s="29" t="str">
        <x:f>IF(OR(C377="",D377=""),"",C377&amp;"|"&amp;D377&amp;"|"&amp;IF(E377="","00",E377)&amp;"|"&amp;IF(F377="","01",F377))</x:f>
      </x:c>
      <x:c r="H377" s="21"/>
      <x:c r="I377" s="29" t="str">
        <x:f>IF(OR(G377="",H377=""),"",G377&amp;"|"&amp;TEXT(H377,"000"))</x:f>
      </x:c>
      <x:c r="J377" s="21"/>
      <x:c r="K377" s="21"/>
      <x:c r="L377" s="21"/>
      <x:c r="M377" s="23"/>
      <x:c r="N377" s="23"/>
      <x:c r="O377" s="23"/>
      <x:c r="P377" s="21"/>
      <x:c r="Q377" s="29" t="str">
        <x:f>IF(P377="","",IFERROR(INDEX(DM_MA_LOI!$B$6:$B$105,MATCH(P377,DM_MA_LOI!$A$6:$A$105,0)),""))</x:f>
      </x:c>
      <x:c r="R377" s="29" t="str">
        <x:f>IF(P377="","",IFERROR(INDEX(DM_MA_LOI!$E$6:$E$105,MATCH(P377,DM_MA_LOI!$A$6:$A$105,0)),""))</x:f>
      </x:c>
      <x:c r="S377" s="29" t="str">
        <x:f>IF(P377="","",IFERROR(INDEX(DM_MA_LOI!$F$6:$F$105,MATCH(P377,DM_MA_LOI!$A$6:$A$105,0)),""))</x:f>
      </x:c>
      <x:c r="T377" s="21"/>
      <x:c r="U377" s="21"/>
      <x:c r="V377" s="21"/>
      <x:c r="W377" s="21"/>
      <x:c r="X377" s="21"/>
      <x:c r="Y377" s="21"/>
      <x:c r="Z377" s="21"/>
      <x:c r="AA377" s="29" t="str">
        <x:f>IF(A377="","",IF(OR(B377="",C377="",D377="",H377="",K377="",L377=""),"Thiếu dữ liệu",IF(M377&lt;&gt;N377+O377,"Sai cân đối SL",IF(AND(O377&gt;0,P377=""),"Thiếu mã lỗi","Hợp lệ"))))</x:f>
      </x:c>
    </x:row>
    <x:row r="378">
      <x:c r="A378" s="21"/>
      <x:c r="B378" s="43"/>
      <x:c r="C378" s="21"/>
      <x:c r="D378" s="21"/>
      <x:c r="E378" s="21"/>
      <x:c r="F378" s="21"/>
      <x:c r="G378" s="29" t="str">
        <x:f>IF(OR(C378="",D378=""),"",C378&amp;"|"&amp;D378&amp;"|"&amp;IF(E378="","00",E378)&amp;"|"&amp;IF(F378="","01",F378))</x:f>
      </x:c>
      <x:c r="H378" s="21"/>
      <x:c r="I378" s="29" t="str">
        <x:f>IF(OR(G378="",H378=""),"",G378&amp;"|"&amp;TEXT(H378,"000"))</x:f>
      </x:c>
      <x:c r="J378" s="21"/>
      <x:c r="K378" s="21"/>
      <x:c r="L378" s="21"/>
      <x:c r="M378" s="23"/>
      <x:c r="N378" s="23"/>
      <x:c r="O378" s="23"/>
      <x:c r="P378" s="21"/>
      <x:c r="Q378" s="29" t="str">
        <x:f>IF(P378="","",IFERROR(INDEX(DM_MA_LOI!$B$6:$B$105,MATCH(P378,DM_MA_LOI!$A$6:$A$105,0)),""))</x:f>
      </x:c>
      <x:c r="R378" s="29" t="str">
        <x:f>IF(P378="","",IFERROR(INDEX(DM_MA_LOI!$E$6:$E$105,MATCH(P378,DM_MA_LOI!$A$6:$A$105,0)),""))</x:f>
      </x:c>
      <x:c r="S378" s="29" t="str">
        <x:f>IF(P378="","",IFERROR(INDEX(DM_MA_LOI!$F$6:$F$105,MATCH(P378,DM_MA_LOI!$A$6:$A$105,0)),""))</x:f>
      </x:c>
      <x:c r="T378" s="21"/>
      <x:c r="U378" s="21"/>
      <x:c r="V378" s="21"/>
      <x:c r="W378" s="21"/>
      <x:c r="X378" s="21"/>
      <x:c r="Y378" s="21"/>
      <x:c r="Z378" s="21"/>
      <x:c r="AA378" s="29" t="str">
        <x:f>IF(A378="","",IF(OR(B378="",C378="",D378="",H378="",K378="",L378=""),"Thiếu dữ liệu",IF(M378&lt;&gt;N378+O378,"Sai cân đối SL",IF(AND(O378&gt;0,P378=""),"Thiếu mã lỗi","Hợp lệ"))))</x:f>
      </x:c>
    </x:row>
    <x:row r="379">
      <x:c r="A379" s="21"/>
      <x:c r="B379" s="43"/>
      <x:c r="C379" s="21"/>
      <x:c r="D379" s="21"/>
      <x:c r="E379" s="21"/>
      <x:c r="F379" s="21"/>
      <x:c r="G379" s="29" t="str">
        <x:f>IF(OR(C379="",D379=""),"",C379&amp;"|"&amp;D379&amp;"|"&amp;IF(E379="","00",E379)&amp;"|"&amp;IF(F379="","01",F379))</x:f>
      </x:c>
      <x:c r="H379" s="21"/>
      <x:c r="I379" s="29" t="str">
        <x:f>IF(OR(G379="",H379=""),"",G379&amp;"|"&amp;TEXT(H379,"000"))</x:f>
      </x:c>
      <x:c r="J379" s="21"/>
      <x:c r="K379" s="21"/>
      <x:c r="L379" s="21"/>
      <x:c r="M379" s="23"/>
      <x:c r="N379" s="23"/>
      <x:c r="O379" s="23"/>
      <x:c r="P379" s="21"/>
      <x:c r="Q379" s="29" t="str">
        <x:f>IF(P379="","",IFERROR(INDEX(DM_MA_LOI!$B$6:$B$105,MATCH(P379,DM_MA_LOI!$A$6:$A$105,0)),""))</x:f>
      </x:c>
      <x:c r="R379" s="29" t="str">
        <x:f>IF(P379="","",IFERROR(INDEX(DM_MA_LOI!$E$6:$E$105,MATCH(P379,DM_MA_LOI!$A$6:$A$105,0)),""))</x:f>
      </x:c>
      <x:c r="S379" s="29" t="str">
        <x:f>IF(P379="","",IFERROR(INDEX(DM_MA_LOI!$F$6:$F$105,MATCH(P379,DM_MA_LOI!$A$6:$A$105,0)),""))</x:f>
      </x:c>
      <x:c r="T379" s="21"/>
      <x:c r="U379" s="21"/>
      <x:c r="V379" s="21"/>
      <x:c r="W379" s="21"/>
      <x:c r="X379" s="21"/>
      <x:c r="Y379" s="21"/>
      <x:c r="Z379" s="21"/>
      <x:c r="AA379" s="29" t="str">
        <x:f>IF(A379="","",IF(OR(B379="",C379="",D379="",H379="",K379="",L379=""),"Thiếu dữ liệu",IF(M379&lt;&gt;N379+O379,"Sai cân đối SL",IF(AND(O379&gt;0,P379=""),"Thiếu mã lỗi","Hợp lệ"))))</x:f>
      </x:c>
    </x:row>
    <x:row r="380">
      <x:c r="A380" s="21"/>
      <x:c r="B380" s="43"/>
      <x:c r="C380" s="21"/>
      <x:c r="D380" s="21"/>
      <x:c r="E380" s="21"/>
      <x:c r="F380" s="21"/>
      <x:c r="G380" s="29" t="str">
        <x:f>IF(OR(C380="",D380=""),"",C380&amp;"|"&amp;D380&amp;"|"&amp;IF(E380="","00",E380)&amp;"|"&amp;IF(F380="","01",F380))</x:f>
      </x:c>
      <x:c r="H380" s="21"/>
      <x:c r="I380" s="29" t="str">
        <x:f>IF(OR(G380="",H380=""),"",G380&amp;"|"&amp;TEXT(H380,"000"))</x:f>
      </x:c>
      <x:c r="J380" s="21"/>
      <x:c r="K380" s="21"/>
      <x:c r="L380" s="21"/>
      <x:c r="M380" s="23"/>
      <x:c r="N380" s="23"/>
      <x:c r="O380" s="23"/>
      <x:c r="P380" s="21"/>
      <x:c r="Q380" s="29" t="str">
        <x:f>IF(P380="","",IFERROR(INDEX(DM_MA_LOI!$B$6:$B$105,MATCH(P380,DM_MA_LOI!$A$6:$A$105,0)),""))</x:f>
      </x:c>
      <x:c r="R380" s="29" t="str">
        <x:f>IF(P380="","",IFERROR(INDEX(DM_MA_LOI!$E$6:$E$105,MATCH(P380,DM_MA_LOI!$A$6:$A$105,0)),""))</x:f>
      </x:c>
      <x:c r="S380" s="29" t="str">
        <x:f>IF(P380="","",IFERROR(INDEX(DM_MA_LOI!$F$6:$F$105,MATCH(P380,DM_MA_LOI!$A$6:$A$105,0)),""))</x:f>
      </x:c>
      <x:c r="T380" s="21"/>
      <x:c r="U380" s="21"/>
      <x:c r="V380" s="21"/>
      <x:c r="W380" s="21"/>
      <x:c r="X380" s="21"/>
      <x:c r="Y380" s="21"/>
      <x:c r="Z380" s="21"/>
      <x:c r="AA380" s="29" t="str">
        <x:f>IF(A380="","",IF(OR(B380="",C380="",D380="",H380="",K380="",L380=""),"Thiếu dữ liệu",IF(M380&lt;&gt;N380+O380,"Sai cân đối SL",IF(AND(O380&gt;0,P380=""),"Thiếu mã lỗi","Hợp lệ"))))</x:f>
      </x:c>
    </x:row>
    <x:row r="381">
      <x:c r="A381" s="21"/>
      <x:c r="B381" s="43"/>
      <x:c r="C381" s="21"/>
      <x:c r="D381" s="21"/>
      <x:c r="E381" s="21"/>
      <x:c r="F381" s="21"/>
      <x:c r="G381" s="29" t="str">
        <x:f>IF(OR(C381="",D381=""),"",C381&amp;"|"&amp;D381&amp;"|"&amp;IF(E381="","00",E381)&amp;"|"&amp;IF(F381="","01",F381))</x:f>
      </x:c>
      <x:c r="H381" s="21"/>
      <x:c r="I381" s="29" t="str">
        <x:f>IF(OR(G381="",H381=""),"",G381&amp;"|"&amp;TEXT(H381,"000"))</x:f>
      </x:c>
      <x:c r="J381" s="21"/>
      <x:c r="K381" s="21"/>
      <x:c r="L381" s="21"/>
      <x:c r="M381" s="23"/>
      <x:c r="N381" s="23"/>
      <x:c r="O381" s="23"/>
      <x:c r="P381" s="21"/>
      <x:c r="Q381" s="29" t="str">
        <x:f>IF(P381="","",IFERROR(INDEX(DM_MA_LOI!$B$6:$B$105,MATCH(P381,DM_MA_LOI!$A$6:$A$105,0)),""))</x:f>
      </x:c>
      <x:c r="R381" s="29" t="str">
        <x:f>IF(P381="","",IFERROR(INDEX(DM_MA_LOI!$E$6:$E$105,MATCH(P381,DM_MA_LOI!$A$6:$A$105,0)),""))</x:f>
      </x:c>
      <x:c r="S381" s="29" t="str">
        <x:f>IF(P381="","",IFERROR(INDEX(DM_MA_LOI!$F$6:$F$105,MATCH(P381,DM_MA_LOI!$A$6:$A$105,0)),""))</x:f>
      </x:c>
      <x:c r="T381" s="21"/>
      <x:c r="U381" s="21"/>
      <x:c r="V381" s="21"/>
      <x:c r="W381" s="21"/>
      <x:c r="X381" s="21"/>
      <x:c r="Y381" s="21"/>
      <x:c r="Z381" s="21"/>
      <x:c r="AA381" s="29" t="str">
        <x:f>IF(A381="","",IF(OR(B381="",C381="",D381="",H381="",K381="",L381=""),"Thiếu dữ liệu",IF(M381&lt;&gt;N381+O381,"Sai cân đối SL",IF(AND(O381&gt;0,P381=""),"Thiếu mã lỗi","Hợp lệ"))))</x:f>
      </x:c>
    </x:row>
    <x:row r="382">
      <x:c r="A382" s="21"/>
      <x:c r="B382" s="43"/>
      <x:c r="C382" s="21"/>
      <x:c r="D382" s="21"/>
      <x:c r="E382" s="21"/>
      <x:c r="F382" s="21"/>
      <x:c r="G382" s="29" t="str">
        <x:f>IF(OR(C382="",D382=""),"",C382&amp;"|"&amp;D382&amp;"|"&amp;IF(E382="","00",E382)&amp;"|"&amp;IF(F382="","01",F382))</x:f>
      </x:c>
      <x:c r="H382" s="21"/>
      <x:c r="I382" s="29" t="str">
        <x:f>IF(OR(G382="",H382=""),"",G382&amp;"|"&amp;TEXT(H382,"000"))</x:f>
      </x:c>
      <x:c r="J382" s="21"/>
      <x:c r="K382" s="21"/>
      <x:c r="L382" s="21"/>
      <x:c r="M382" s="23"/>
      <x:c r="N382" s="23"/>
      <x:c r="O382" s="23"/>
      <x:c r="P382" s="21"/>
      <x:c r="Q382" s="29" t="str">
        <x:f>IF(P382="","",IFERROR(INDEX(DM_MA_LOI!$B$6:$B$105,MATCH(P382,DM_MA_LOI!$A$6:$A$105,0)),""))</x:f>
      </x:c>
      <x:c r="R382" s="29" t="str">
        <x:f>IF(P382="","",IFERROR(INDEX(DM_MA_LOI!$E$6:$E$105,MATCH(P382,DM_MA_LOI!$A$6:$A$105,0)),""))</x:f>
      </x:c>
      <x:c r="S382" s="29" t="str">
        <x:f>IF(P382="","",IFERROR(INDEX(DM_MA_LOI!$F$6:$F$105,MATCH(P382,DM_MA_LOI!$A$6:$A$105,0)),""))</x:f>
      </x:c>
      <x:c r="T382" s="21"/>
      <x:c r="U382" s="21"/>
      <x:c r="V382" s="21"/>
      <x:c r="W382" s="21"/>
      <x:c r="X382" s="21"/>
      <x:c r="Y382" s="21"/>
      <x:c r="Z382" s="21"/>
      <x:c r="AA382" s="29" t="str">
        <x:f>IF(A382="","",IF(OR(B382="",C382="",D382="",H382="",K382="",L382=""),"Thiếu dữ liệu",IF(M382&lt;&gt;N382+O382,"Sai cân đối SL",IF(AND(O382&gt;0,P382=""),"Thiếu mã lỗi","Hợp lệ"))))</x:f>
      </x:c>
    </x:row>
    <x:row r="383">
      <x:c r="A383" s="21"/>
      <x:c r="B383" s="43"/>
      <x:c r="C383" s="21"/>
      <x:c r="D383" s="21"/>
      <x:c r="E383" s="21"/>
      <x:c r="F383" s="21"/>
      <x:c r="G383" s="29" t="str">
        <x:f>IF(OR(C383="",D383=""),"",C383&amp;"|"&amp;D383&amp;"|"&amp;IF(E383="","00",E383)&amp;"|"&amp;IF(F383="","01",F383))</x:f>
      </x:c>
      <x:c r="H383" s="21"/>
      <x:c r="I383" s="29" t="str">
        <x:f>IF(OR(G383="",H383=""),"",G383&amp;"|"&amp;TEXT(H383,"000"))</x:f>
      </x:c>
      <x:c r="J383" s="21"/>
      <x:c r="K383" s="21"/>
      <x:c r="L383" s="21"/>
      <x:c r="M383" s="23"/>
      <x:c r="N383" s="23"/>
      <x:c r="O383" s="23"/>
      <x:c r="P383" s="21"/>
      <x:c r="Q383" s="29" t="str">
        <x:f>IF(P383="","",IFERROR(INDEX(DM_MA_LOI!$B$6:$B$105,MATCH(P383,DM_MA_LOI!$A$6:$A$105,0)),""))</x:f>
      </x:c>
      <x:c r="R383" s="29" t="str">
        <x:f>IF(P383="","",IFERROR(INDEX(DM_MA_LOI!$E$6:$E$105,MATCH(P383,DM_MA_LOI!$A$6:$A$105,0)),""))</x:f>
      </x:c>
      <x:c r="S383" s="29" t="str">
        <x:f>IF(P383="","",IFERROR(INDEX(DM_MA_LOI!$F$6:$F$105,MATCH(P383,DM_MA_LOI!$A$6:$A$105,0)),""))</x:f>
      </x:c>
      <x:c r="T383" s="21"/>
      <x:c r="U383" s="21"/>
      <x:c r="V383" s="21"/>
      <x:c r="W383" s="21"/>
      <x:c r="X383" s="21"/>
      <x:c r="Y383" s="21"/>
      <x:c r="Z383" s="21"/>
      <x:c r="AA383" s="29" t="str">
        <x:f>IF(A383="","",IF(OR(B383="",C383="",D383="",H383="",K383="",L383=""),"Thiếu dữ liệu",IF(M383&lt;&gt;N383+O383,"Sai cân đối SL",IF(AND(O383&gt;0,P383=""),"Thiếu mã lỗi","Hợp lệ"))))</x:f>
      </x:c>
    </x:row>
    <x:row r="384">
      <x:c r="A384" s="21"/>
      <x:c r="B384" s="43"/>
      <x:c r="C384" s="21"/>
      <x:c r="D384" s="21"/>
      <x:c r="E384" s="21"/>
      <x:c r="F384" s="21"/>
      <x:c r="G384" s="29" t="str">
        <x:f>IF(OR(C384="",D384=""),"",C384&amp;"|"&amp;D384&amp;"|"&amp;IF(E384="","00",E384)&amp;"|"&amp;IF(F384="","01",F384))</x:f>
      </x:c>
      <x:c r="H384" s="21"/>
      <x:c r="I384" s="29" t="str">
        <x:f>IF(OR(G384="",H384=""),"",G384&amp;"|"&amp;TEXT(H384,"000"))</x:f>
      </x:c>
      <x:c r="J384" s="21"/>
      <x:c r="K384" s="21"/>
      <x:c r="L384" s="21"/>
      <x:c r="M384" s="23"/>
      <x:c r="N384" s="23"/>
      <x:c r="O384" s="23"/>
      <x:c r="P384" s="21"/>
      <x:c r="Q384" s="29" t="str">
        <x:f>IF(P384="","",IFERROR(INDEX(DM_MA_LOI!$B$6:$B$105,MATCH(P384,DM_MA_LOI!$A$6:$A$105,0)),""))</x:f>
      </x:c>
      <x:c r="R384" s="29" t="str">
        <x:f>IF(P384="","",IFERROR(INDEX(DM_MA_LOI!$E$6:$E$105,MATCH(P384,DM_MA_LOI!$A$6:$A$105,0)),""))</x:f>
      </x:c>
      <x:c r="S384" s="29" t="str">
        <x:f>IF(P384="","",IFERROR(INDEX(DM_MA_LOI!$F$6:$F$105,MATCH(P384,DM_MA_LOI!$A$6:$A$105,0)),""))</x:f>
      </x:c>
      <x:c r="T384" s="21"/>
      <x:c r="U384" s="21"/>
      <x:c r="V384" s="21"/>
      <x:c r="W384" s="21"/>
      <x:c r="X384" s="21"/>
      <x:c r="Y384" s="21"/>
      <x:c r="Z384" s="21"/>
      <x:c r="AA384" s="29" t="str">
        <x:f>IF(A384="","",IF(OR(B384="",C384="",D384="",H384="",K384="",L384=""),"Thiếu dữ liệu",IF(M384&lt;&gt;N384+O384,"Sai cân đối SL",IF(AND(O384&gt;0,P384=""),"Thiếu mã lỗi","Hợp lệ"))))</x:f>
      </x:c>
    </x:row>
    <x:row r="385">
      <x:c r="A385" s="21"/>
      <x:c r="B385" s="43"/>
      <x:c r="C385" s="21"/>
      <x:c r="D385" s="21"/>
      <x:c r="E385" s="21"/>
      <x:c r="F385" s="21"/>
      <x:c r="G385" s="29" t="str">
        <x:f>IF(OR(C385="",D385=""),"",C385&amp;"|"&amp;D385&amp;"|"&amp;IF(E385="","00",E385)&amp;"|"&amp;IF(F385="","01",F385))</x:f>
      </x:c>
      <x:c r="H385" s="21"/>
      <x:c r="I385" s="29" t="str">
        <x:f>IF(OR(G385="",H385=""),"",G385&amp;"|"&amp;TEXT(H385,"000"))</x:f>
      </x:c>
      <x:c r="J385" s="21"/>
      <x:c r="K385" s="21"/>
      <x:c r="L385" s="21"/>
      <x:c r="M385" s="23"/>
      <x:c r="N385" s="23"/>
      <x:c r="O385" s="23"/>
      <x:c r="P385" s="21"/>
      <x:c r="Q385" s="29" t="str">
        <x:f>IF(P385="","",IFERROR(INDEX(DM_MA_LOI!$B$6:$B$105,MATCH(P385,DM_MA_LOI!$A$6:$A$105,0)),""))</x:f>
      </x:c>
      <x:c r="R385" s="29" t="str">
        <x:f>IF(P385="","",IFERROR(INDEX(DM_MA_LOI!$E$6:$E$105,MATCH(P385,DM_MA_LOI!$A$6:$A$105,0)),""))</x:f>
      </x:c>
      <x:c r="S385" s="29" t="str">
        <x:f>IF(P385="","",IFERROR(INDEX(DM_MA_LOI!$F$6:$F$105,MATCH(P385,DM_MA_LOI!$A$6:$A$105,0)),""))</x:f>
      </x:c>
      <x:c r="T385" s="21"/>
      <x:c r="U385" s="21"/>
      <x:c r="V385" s="21"/>
      <x:c r="W385" s="21"/>
      <x:c r="X385" s="21"/>
      <x:c r="Y385" s="21"/>
      <x:c r="Z385" s="21"/>
      <x:c r="AA385" s="29" t="str">
        <x:f>IF(A385="","",IF(OR(B385="",C385="",D385="",H385="",K385="",L385=""),"Thiếu dữ liệu",IF(M385&lt;&gt;N385+O385,"Sai cân đối SL",IF(AND(O385&gt;0,P385=""),"Thiếu mã lỗi","Hợp lệ"))))</x:f>
      </x:c>
    </x:row>
    <x:row r="386">
      <x:c r="A386" s="21"/>
      <x:c r="B386" s="43"/>
      <x:c r="C386" s="21"/>
      <x:c r="D386" s="21"/>
      <x:c r="E386" s="21"/>
      <x:c r="F386" s="21"/>
      <x:c r="G386" s="29" t="str">
        <x:f>IF(OR(C386="",D386=""),"",C386&amp;"|"&amp;D386&amp;"|"&amp;IF(E386="","00",E386)&amp;"|"&amp;IF(F386="","01",F386))</x:f>
      </x:c>
      <x:c r="H386" s="21"/>
      <x:c r="I386" s="29" t="str">
        <x:f>IF(OR(G386="",H386=""),"",G386&amp;"|"&amp;TEXT(H386,"000"))</x:f>
      </x:c>
      <x:c r="J386" s="21"/>
      <x:c r="K386" s="21"/>
      <x:c r="L386" s="21"/>
      <x:c r="M386" s="23"/>
      <x:c r="N386" s="23"/>
      <x:c r="O386" s="23"/>
      <x:c r="P386" s="21"/>
      <x:c r="Q386" s="29" t="str">
        <x:f>IF(P386="","",IFERROR(INDEX(DM_MA_LOI!$B$6:$B$105,MATCH(P386,DM_MA_LOI!$A$6:$A$105,0)),""))</x:f>
      </x:c>
      <x:c r="R386" s="29" t="str">
        <x:f>IF(P386="","",IFERROR(INDEX(DM_MA_LOI!$E$6:$E$105,MATCH(P386,DM_MA_LOI!$A$6:$A$105,0)),""))</x:f>
      </x:c>
      <x:c r="S386" s="29" t="str">
        <x:f>IF(P386="","",IFERROR(INDEX(DM_MA_LOI!$F$6:$F$105,MATCH(P386,DM_MA_LOI!$A$6:$A$105,0)),""))</x:f>
      </x:c>
      <x:c r="T386" s="21"/>
      <x:c r="U386" s="21"/>
      <x:c r="V386" s="21"/>
      <x:c r="W386" s="21"/>
      <x:c r="X386" s="21"/>
      <x:c r="Y386" s="21"/>
      <x:c r="Z386" s="21"/>
      <x:c r="AA386" s="29" t="str">
        <x:f>IF(A386="","",IF(OR(B386="",C386="",D386="",H386="",K386="",L386=""),"Thiếu dữ liệu",IF(M386&lt;&gt;N386+O386,"Sai cân đối SL",IF(AND(O386&gt;0,P386=""),"Thiếu mã lỗi","Hợp lệ"))))</x:f>
      </x:c>
    </x:row>
    <x:row r="387">
      <x:c r="A387" s="21"/>
      <x:c r="B387" s="43"/>
      <x:c r="C387" s="21"/>
      <x:c r="D387" s="21"/>
      <x:c r="E387" s="21"/>
      <x:c r="F387" s="21"/>
      <x:c r="G387" s="29" t="str">
        <x:f>IF(OR(C387="",D387=""),"",C387&amp;"|"&amp;D387&amp;"|"&amp;IF(E387="","00",E387)&amp;"|"&amp;IF(F387="","01",F387))</x:f>
      </x:c>
      <x:c r="H387" s="21"/>
      <x:c r="I387" s="29" t="str">
        <x:f>IF(OR(G387="",H387=""),"",G387&amp;"|"&amp;TEXT(H387,"000"))</x:f>
      </x:c>
      <x:c r="J387" s="21"/>
      <x:c r="K387" s="21"/>
      <x:c r="L387" s="21"/>
      <x:c r="M387" s="23"/>
      <x:c r="N387" s="23"/>
      <x:c r="O387" s="23"/>
      <x:c r="P387" s="21"/>
      <x:c r="Q387" s="29" t="str">
        <x:f>IF(P387="","",IFERROR(INDEX(DM_MA_LOI!$B$6:$B$105,MATCH(P387,DM_MA_LOI!$A$6:$A$105,0)),""))</x:f>
      </x:c>
      <x:c r="R387" s="29" t="str">
        <x:f>IF(P387="","",IFERROR(INDEX(DM_MA_LOI!$E$6:$E$105,MATCH(P387,DM_MA_LOI!$A$6:$A$105,0)),""))</x:f>
      </x:c>
      <x:c r="S387" s="29" t="str">
        <x:f>IF(P387="","",IFERROR(INDEX(DM_MA_LOI!$F$6:$F$105,MATCH(P387,DM_MA_LOI!$A$6:$A$105,0)),""))</x:f>
      </x:c>
      <x:c r="T387" s="21"/>
      <x:c r="U387" s="21"/>
      <x:c r="V387" s="21"/>
      <x:c r="W387" s="21"/>
      <x:c r="X387" s="21"/>
      <x:c r="Y387" s="21"/>
      <x:c r="Z387" s="21"/>
      <x:c r="AA387" s="29" t="str">
        <x:f>IF(A387="","",IF(OR(B387="",C387="",D387="",H387="",K387="",L387=""),"Thiếu dữ liệu",IF(M387&lt;&gt;N387+O387,"Sai cân đối SL",IF(AND(O387&gt;0,P387=""),"Thiếu mã lỗi","Hợp lệ"))))</x:f>
      </x:c>
    </x:row>
    <x:row r="388">
      <x:c r="A388" s="21"/>
      <x:c r="B388" s="43"/>
      <x:c r="C388" s="21"/>
      <x:c r="D388" s="21"/>
      <x:c r="E388" s="21"/>
      <x:c r="F388" s="21"/>
      <x:c r="G388" s="29" t="str">
        <x:f>IF(OR(C388="",D388=""),"",C388&amp;"|"&amp;D388&amp;"|"&amp;IF(E388="","00",E388)&amp;"|"&amp;IF(F388="","01",F388))</x:f>
      </x:c>
      <x:c r="H388" s="21"/>
      <x:c r="I388" s="29" t="str">
        <x:f>IF(OR(G388="",H388=""),"",G388&amp;"|"&amp;TEXT(H388,"000"))</x:f>
      </x:c>
      <x:c r="J388" s="21"/>
      <x:c r="K388" s="21"/>
      <x:c r="L388" s="21"/>
      <x:c r="M388" s="23"/>
      <x:c r="N388" s="23"/>
      <x:c r="O388" s="23"/>
      <x:c r="P388" s="21"/>
      <x:c r="Q388" s="29" t="str">
        <x:f>IF(P388="","",IFERROR(INDEX(DM_MA_LOI!$B$6:$B$105,MATCH(P388,DM_MA_LOI!$A$6:$A$105,0)),""))</x:f>
      </x:c>
      <x:c r="R388" s="29" t="str">
        <x:f>IF(P388="","",IFERROR(INDEX(DM_MA_LOI!$E$6:$E$105,MATCH(P388,DM_MA_LOI!$A$6:$A$105,0)),""))</x:f>
      </x:c>
      <x:c r="S388" s="29" t="str">
        <x:f>IF(P388="","",IFERROR(INDEX(DM_MA_LOI!$F$6:$F$105,MATCH(P388,DM_MA_LOI!$A$6:$A$105,0)),""))</x:f>
      </x:c>
      <x:c r="T388" s="21"/>
      <x:c r="U388" s="21"/>
      <x:c r="V388" s="21"/>
      <x:c r="W388" s="21"/>
      <x:c r="X388" s="21"/>
      <x:c r="Y388" s="21"/>
      <x:c r="Z388" s="21"/>
      <x:c r="AA388" s="29" t="str">
        <x:f>IF(A388="","",IF(OR(B388="",C388="",D388="",H388="",K388="",L388=""),"Thiếu dữ liệu",IF(M388&lt;&gt;N388+O388,"Sai cân đối SL",IF(AND(O388&gt;0,P388=""),"Thiếu mã lỗi","Hợp lệ"))))</x:f>
      </x:c>
    </x:row>
    <x:row r="389">
      <x:c r="A389" s="21"/>
      <x:c r="B389" s="43"/>
      <x:c r="C389" s="21"/>
      <x:c r="D389" s="21"/>
      <x:c r="E389" s="21"/>
      <x:c r="F389" s="21"/>
      <x:c r="G389" s="29" t="str">
        <x:f>IF(OR(C389="",D389=""),"",C389&amp;"|"&amp;D389&amp;"|"&amp;IF(E389="","00",E389)&amp;"|"&amp;IF(F389="","01",F389))</x:f>
      </x:c>
      <x:c r="H389" s="21"/>
      <x:c r="I389" s="29" t="str">
        <x:f>IF(OR(G389="",H389=""),"",G389&amp;"|"&amp;TEXT(H389,"000"))</x:f>
      </x:c>
      <x:c r="J389" s="21"/>
      <x:c r="K389" s="21"/>
      <x:c r="L389" s="21"/>
      <x:c r="M389" s="23"/>
      <x:c r="N389" s="23"/>
      <x:c r="O389" s="23"/>
      <x:c r="P389" s="21"/>
      <x:c r="Q389" s="29" t="str">
        <x:f>IF(P389="","",IFERROR(INDEX(DM_MA_LOI!$B$6:$B$105,MATCH(P389,DM_MA_LOI!$A$6:$A$105,0)),""))</x:f>
      </x:c>
      <x:c r="R389" s="29" t="str">
        <x:f>IF(P389="","",IFERROR(INDEX(DM_MA_LOI!$E$6:$E$105,MATCH(P389,DM_MA_LOI!$A$6:$A$105,0)),""))</x:f>
      </x:c>
      <x:c r="S389" s="29" t="str">
        <x:f>IF(P389="","",IFERROR(INDEX(DM_MA_LOI!$F$6:$F$105,MATCH(P389,DM_MA_LOI!$A$6:$A$105,0)),""))</x:f>
      </x:c>
      <x:c r="T389" s="21"/>
      <x:c r="U389" s="21"/>
      <x:c r="V389" s="21"/>
      <x:c r="W389" s="21"/>
      <x:c r="X389" s="21"/>
      <x:c r="Y389" s="21"/>
      <x:c r="Z389" s="21"/>
      <x:c r="AA389" s="29" t="str">
        <x:f>IF(A389="","",IF(OR(B389="",C389="",D389="",H389="",K389="",L389=""),"Thiếu dữ liệu",IF(M389&lt;&gt;N389+O389,"Sai cân đối SL",IF(AND(O389&gt;0,P389=""),"Thiếu mã lỗi","Hợp lệ"))))</x:f>
      </x:c>
    </x:row>
    <x:row r="390">
      <x:c r="A390" s="21"/>
      <x:c r="B390" s="43"/>
      <x:c r="C390" s="21"/>
      <x:c r="D390" s="21"/>
      <x:c r="E390" s="21"/>
      <x:c r="F390" s="21"/>
      <x:c r="G390" s="29" t="str">
        <x:f>IF(OR(C390="",D390=""),"",C390&amp;"|"&amp;D390&amp;"|"&amp;IF(E390="","00",E390)&amp;"|"&amp;IF(F390="","01",F390))</x:f>
      </x:c>
      <x:c r="H390" s="21"/>
      <x:c r="I390" s="29" t="str">
        <x:f>IF(OR(G390="",H390=""),"",G390&amp;"|"&amp;TEXT(H390,"000"))</x:f>
      </x:c>
      <x:c r="J390" s="21"/>
      <x:c r="K390" s="21"/>
      <x:c r="L390" s="21"/>
      <x:c r="M390" s="23"/>
      <x:c r="N390" s="23"/>
      <x:c r="O390" s="23"/>
      <x:c r="P390" s="21"/>
      <x:c r="Q390" s="29" t="str">
        <x:f>IF(P390="","",IFERROR(INDEX(DM_MA_LOI!$B$6:$B$105,MATCH(P390,DM_MA_LOI!$A$6:$A$105,0)),""))</x:f>
      </x:c>
      <x:c r="R390" s="29" t="str">
        <x:f>IF(P390="","",IFERROR(INDEX(DM_MA_LOI!$E$6:$E$105,MATCH(P390,DM_MA_LOI!$A$6:$A$105,0)),""))</x:f>
      </x:c>
      <x:c r="S390" s="29" t="str">
        <x:f>IF(P390="","",IFERROR(INDEX(DM_MA_LOI!$F$6:$F$105,MATCH(P390,DM_MA_LOI!$A$6:$A$105,0)),""))</x:f>
      </x:c>
      <x:c r="T390" s="21"/>
      <x:c r="U390" s="21"/>
      <x:c r="V390" s="21"/>
      <x:c r="W390" s="21"/>
      <x:c r="X390" s="21"/>
      <x:c r="Y390" s="21"/>
      <x:c r="Z390" s="21"/>
      <x:c r="AA390" s="29" t="str">
        <x:f>IF(A390="","",IF(OR(B390="",C390="",D390="",H390="",K390="",L390=""),"Thiếu dữ liệu",IF(M390&lt;&gt;N390+O390,"Sai cân đối SL",IF(AND(O390&gt;0,P390=""),"Thiếu mã lỗi","Hợp lệ"))))</x:f>
      </x:c>
    </x:row>
    <x:row r="391">
      <x:c r="A391" s="21"/>
      <x:c r="B391" s="43"/>
      <x:c r="C391" s="21"/>
      <x:c r="D391" s="21"/>
      <x:c r="E391" s="21"/>
      <x:c r="F391" s="21"/>
      <x:c r="G391" s="29" t="str">
        <x:f>IF(OR(C391="",D391=""),"",C391&amp;"|"&amp;D391&amp;"|"&amp;IF(E391="","00",E391)&amp;"|"&amp;IF(F391="","01",F391))</x:f>
      </x:c>
      <x:c r="H391" s="21"/>
      <x:c r="I391" s="29" t="str">
        <x:f>IF(OR(G391="",H391=""),"",G391&amp;"|"&amp;TEXT(H391,"000"))</x:f>
      </x:c>
      <x:c r="J391" s="21"/>
      <x:c r="K391" s="21"/>
      <x:c r="L391" s="21"/>
      <x:c r="M391" s="23"/>
      <x:c r="N391" s="23"/>
      <x:c r="O391" s="23"/>
      <x:c r="P391" s="21"/>
      <x:c r="Q391" s="29" t="str">
        <x:f>IF(P391="","",IFERROR(INDEX(DM_MA_LOI!$B$6:$B$105,MATCH(P391,DM_MA_LOI!$A$6:$A$105,0)),""))</x:f>
      </x:c>
      <x:c r="R391" s="29" t="str">
        <x:f>IF(P391="","",IFERROR(INDEX(DM_MA_LOI!$E$6:$E$105,MATCH(P391,DM_MA_LOI!$A$6:$A$105,0)),""))</x:f>
      </x:c>
      <x:c r="S391" s="29" t="str">
        <x:f>IF(P391="","",IFERROR(INDEX(DM_MA_LOI!$F$6:$F$105,MATCH(P391,DM_MA_LOI!$A$6:$A$105,0)),""))</x:f>
      </x:c>
      <x:c r="T391" s="21"/>
      <x:c r="U391" s="21"/>
      <x:c r="V391" s="21"/>
      <x:c r="W391" s="21"/>
      <x:c r="X391" s="21"/>
      <x:c r="Y391" s="21"/>
      <x:c r="Z391" s="21"/>
      <x:c r="AA391" s="29" t="str">
        <x:f>IF(A391="","",IF(OR(B391="",C391="",D391="",H391="",K391="",L391=""),"Thiếu dữ liệu",IF(M391&lt;&gt;N391+O391,"Sai cân đối SL",IF(AND(O391&gt;0,P391=""),"Thiếu mã lỗi","Hợp lệ"))))</x:f>
      </x:c>
    </x:row>
    <x:row r="392">
      <x:c r="A392" s="21"/>
      <x:c r="B392" s="43"/>
      <x:c r="C392" s="21"/>
      <x:c r="D392" s="21"/>
      <x:c r="E392" s="21"/>
      <x:c r="F392" s="21"/>
      <x:c r="G392" s="29" t="str">
        <x:f>IF(OR(C392="",D392=""),"",C392&amp;"|"&amp;D392&amp;"|"&amp;IF(E392="","00",E392)&amp;"|"&amp;IF(F392="","01",F392))</x:f>
      </x:c>
      <x:c r="H392" s="21"/>
      <x:c r="I392" s="29" t="str">
        <x:f>IF(OR(G392="",H392=""),"",G392&amp;"|"&amp;TEXT(H392,"000"))</x:f>
      </x:c>
      <x:c r="J392" s="21"/>
      <x:c r="K392" s="21"/>
      <x:c r="L392" s="21"/>
      <x:c r="M392" s="23"/>
      <x:c r="N392" s="23"/>
      <x:c r="O392" s="23"/>
      <x:c r="P392" s="21"/>
      <x:c r="Q392" s="29" t="str">
        <x:f>IF(P392="","",IFERROR(INDEX(DM_MA_LOI!$B$6:$B$105,MATCH(P392,DM_MA_LOI!$A$6:$A$105,0)),""))</x:f>
      </x:c>
      <x:c r="R392" s="29" t="str">
        <x:f>IF(P392="","",IFERROR(INDEX(DM_MA_LOI!$E$6:$E$105,MATCH(P392,DM_MA_LOI!$A$6:$A$105,0)),""))</x:f>
      </x:c>
      <x:c r="S392" s="29" t="str">
        <x:f>IF(P392="","",IFERROR(INDEX(DM_MA_LOI!$F$6:$F$105,MATCH(P392,DM_MA_LOI!$A$6:$A$105,0)),""))</x:f>
      </x:c>
      <x:c r="T392" s="21"/>
      <x:c r="U392" s="21"/>
      <x:c r="V392" s="21"/>
      <x:c r="W392" s="21"/>
      <x:c r="X392" s="21"/>
      <x:c r="Y392" s="21"/>
      <x:c r="Z392" s="21"/>
      <x:c r="AA392" s="29" t="str">
        <x:f>IF(A392="","",IF(OR(B392="",C392="",D392="",H392="",K392="",L392=""),"Thiếu dữ liệu",IF(M392&lt;&gt;N392+O392,"Sai cân đối SL",IF(AND(O392&gt;0,P392=""),"Thiếu mã lỗi","Hợp lệ"))))</x:f>
      </x:c>
    </x:row>
    <x:row r="393">
      <x:c r="A393" s="21"/>
      <x:c r="B393" s="43"/>
      <x:c r="C393" s="21"/>
      <x:c r="D393" s="21"/>
      <x:c r="E393" s="21"/>
      <x:c r="F393" s="21"/>
      <x:c r="G393" s="29" t="str">
        <x:f>IF(OR(C393="",D393=""),"",C393&amp;"|"&amp;D393&amp;"|"&amp;IF(E393="","00",E393)&amp;"|"&amp;IF(F393="","01",F393))</x:f>
      </x:c>
      <x:c r="H393" s="21"/>
      <x:c r="I393" s="29" t="str">
        <x:f>IF(OR(G393="",H393=""),"",G393&amp;"|"&amp;TEXT(H393,"000"))</x:f>
      </x:c>
      <x:c r="J393" s="21"/>
      <x:c r="K393" s="21"/>
      <x:c r="L393" s="21"/>
      <x:c r="M393" s="23"/>
      <x:c r="N393" s="23"/>
      <x:c r="O393" s="23"/>
      <x:c r="P393" s="21"/>
      <x:c r="Q393" s="29" t="str">
        <x:f>IF(P393="","",IFERROR(INDEX(DM_MA_LOI!$B$6:$B$105,MATCH(P393,DM_MA_LOI!$A$6:$A$105,0)),""))</x:f>
      </x:c>
      <x:c r="R393" s="29" t="str">
        <x:f>IF(P393="","",IFERROR(INDEX(DM_MA_LOI!$E$6:$E$105,MATCH(P393,DM_MA_LOI!$A$6:$A$105,0)),""))</x:f>
      </x:c>
      <x:c r="S393" s="29" t="str">
        <x:f>IF(P393="","",IFERROR(INDEX(DM_MA_LOI!$F$6:$F$105,MATCH(P393,DM_MA_LOI!$A$6:$A$105,0)),""))</x:f>
      </x:c>
      <x:c r="T393" s="21"/>
      <x:c r="U393" s="21"/>
      <x:c r="V393" s="21"/>
      <x:c r="W393" s="21"/>
      <x:c r="X393" s="21"/>
      <x:c r="Y393" s="21"/>
      <x:c r="Z393" s="21"/>
      <x:c r="AA393" s="29" t="str">
        <x:f>IF(A393="","",IF(OR(B393="",C393="",D393="",H393="",K393="",L393=""),"Thiếu dữ liệu",IF(M393&lt;&gt;N393+O393,"Sai cân đối SL",IF(AND(O393&gt;0,P393=""),"Thiếu mã lỗi","Hợp lệ"))))</x:f>
      </x:c>
    </x:row>
    <x:row r="394">
      <x:c r="A394" s="21"/>
      <x:c r="B394" s="43"/>
      <x:c r="C394" s="21"/>
      <x:c r="D394" s="21"/>
      <x:c r="E394" s="21"/>
      <x:c r="F394" s="21"/>
      <x:c r="G394" s="29" t="str">
        <x:f>IF(OR(C394="",D394=""),"",C394&amp;"|"&amp;D394&amp;"|"&amp;IF(E394="","00",E394)&amp;"|"&amp;IF(F394="","01",F394))</x:f>
      </x:c>
      <x:c r="H394" s="21"/>
      <x:c r="I394" s="29" t="str">
        <x:f>IF(OR(G394="",H394=""),"",G394&amp;"|"&amp;TEXT(H394,"000"))</x:f>
      </x:c>
      <x:c r="J394" s="21"/>
      <x:c r="K394" s="21"/>
      <x:c r="L394" s="21"/>
      <x:c r="M394" s="23"/>
      <x:c r="N394" s="23"/>
      <x:c r="O394" s="23"/>
      <x:c r="P394" s="21"/>
      <x:c r="Q394" s="29" t="str">
        <x:f>IF(P394="","",IFERROR(INDEX(DM_MA_LOI!$B$6:$B$105,MATCH(P394,DM_MA_LOI!$A$6:$A$105,0)),""))</x:f>
      </x:c>
      <x:c r="R394" s="29" t="str">
        <x:f>IF(P394="","",IFERROR(INDEX(DM_MA_LOI!$E$6:$E$105,MATCH(P394,DM_MA_LOI!$A$6:$A$105,0)),""))</x:f>
      </x:c>
      <x:c r="S394" s="29" t="str">
        <x:f>IF(P394="","",IFERROR(INDEX(DM_MA_LOI!$F$6:$F$105,MATCH(P394,DM_MA_LOI!$A$6:$A$105,0)),""))</x:f>
      </x:c>
      <x:c r="T394" s="21"/>
      <x:c r="U394" s="21"/>
      <x:c r="V394" s="21"/>
      <x:c r="W394" s="21"/>
      <x:c r="X394" s="21"/>
      <x:c r="Y394" s="21"/>
      <x:c r="Z394" s="21"/>
      <x:c r="AA394" s="29" t="str">
        <x:f>IF(A394="","",IF(OR(B394="",C394="",D394="",H394="",K394="",L394=""),"Thiếu dữ liệu",IF(M394&lt;&gt;N394+O394,"Sai cân đối SL",IF(AND(O394&gt;0,P394=""),"Thiếu mã lỗi","Hợp lệ"))))</x:f>
      </x:c>
    </x:row>
    <x:row r="395">
      <x:c r="A395" s="21"/>
      <x:c r="B395" s="43"/>
      <x:c r="C395" s="21"/>
      <x:c r="D395" s="21"/>
      <x:c r="E395" s="21"/>
      <x:c r="F395" s="21"/>
      <x:c r="G395" s="29" t="str">
        <x:f>IF(OR(C395="",D395=""),"",C395&amp;"|"&amp;D395&amp;"|"&amp;IF(E395="","00",E395)&amp;"|"&amp;IF(F395="","01",F395))</x:f>
      </x:c>
      <x:c r="H395" s="21"/>
      <x:c r="I395" s="29" t="str">
        <x:f>IF(OR(G395="",H395=""),"",G395&amp;"|"&amp;TEXT(H395,"000"))</x:f>
      </x:c>
      <x:c r="J395" s="21"/>
      <x:c r="K395" s="21"/>
      <x:c r="L395" s="21"/>
      <x:c r="M395" s="23"/>
      <x:c r="N395" s="23"/>
      <x:c r="O395" s="23"/>
      <x:c r="P395" s="21"/>
      <x:c r="Q395" s="29" t="str">
        <x:f>IF(P395="","",IFERROR(INDEX(DM_MA_LOI!$B$6:$B$105,MATCH(P395,DM_MA_LOI!$A$6:$A$105,0)),""))</x:f>
      </x:c>
      <x:c r="R395" s="29" t="str">
        <x:f>IF(P395="","",IFERROR(INDEX(DM_MA_LOI!$E$6:$E$105,MATCH(P395,DM_MA_LOI!$A$6:$A$105,0)),""))</x:f>
      </x:c>
      <x:c r="S395" s="29" t="str">
        <x:f>IF(P395="","",IFERROR(INDEX(DM_MA_LOI!$F$6:$F$105,MATCH(P395,DM_MA_LOI!$A$6:$A$105,0)),""))</x:f>
      </x:c>
      <x:c r="T395" s="21"/>
      <x:c r="U395" s="21"/>
      <x:c r="V395" s="21"/>
      <x:c r="W395" s="21"/>
      <x:c r="X395" s="21"/>
      <x:c r="Y395" s="21"/>
      <x:c r="Z395" s="21"/>
      <x:c r="AA395" s="29" t="str">
        <x:f>IF(A395="","",IF(OR(B395="",C395="",D395="",H395="",K395="",L395=""),"Thiếu dữ liệu",IF(M395&lt;&gt;N395+O395,"Sai cân đối SL",IF(AND(O395&gt;0,P395=""),"Thiếu mã lỗi","Hợp lệ"))))</x:f>
      </x:c>
    </x:row>
    <x:row r="396">
      <x:c r="A396" s="21"/>
      <x:c r="B396" s="43"/>
      <x:c r="C396" s="21"/>
      <x:c r="D396" s="21"/>
      <x:c r="E396" s="21"/>
      <x:c r="F396" s="21"/>
      <x:c r="G396" s="29" t="str">
        <x:f>IF(OR(C396="",D396=""),"",C396&amp;"|"&amp;D396&amp;"|"&amp;IF(E396="","00",E396)&amp;"|"&amp;IF(F396="","01",F396))</x:f>
      </x:c>
      <x:c r="H396" s="21"/>
      <x:c r="I396" s="29" t="str">
        <x:f>IF(OR(G396="",H396=""),"",G396&amp;"|"&amp;TEXT(H396,"000"))</x:f>
      </x:c>
      <x:c r="J396" s="21"/>
      <x:c r="K396" s="21"/>
      <x:c r="L396" s="21"/>
      <x:c r="M396" s="23"/>
      <x:c r="N396" s="23"/>
      <x:c r="O396" s="23"/>
      <x:c r="P396" s="21"/>
      <x:c r="Q396" s="29" t="str">
        <x:f>IF(P396="","",IFERROR(INDEX(DM_MA_LOI!$B$6:$B$105,MATCH(P396,DM_MA_LOI!$A$6:$A$105,0)),""))</x:f>
      </x:c>
      <x:c r="R396" s="29" t="str">
        <x:f>IF(P396="","",IFERROR(INDEX(DM_MA_LOI!$E$6:$E$105,MATCH(P396,DM_MA_LOI!$A$6:$A$105,0)),""))</x:f>
      </x:c>
      <x:c r="S396" s="29" t="str">
        <x:f>IF(P396="","",IFERROR(INDEX(DM_MA_LOI!$F$6:$F$105,MATCH(P396,DM_MA_LOI!$A$6:$A$105,0)),""))</x:f>
      </x:c>
      <x:c r="T396" s="21"/>
      <x:c r="U396" s="21"/>
      <x:c r="V396" s="21"/>
      <x:c r="W396" s="21"/>
      <x:c r="X396" s="21"/>
      <x:c r="Y396" s="21"/>
      <x:c r="Z396" s="21"/>
      <x:c r="AA396" s="29" t="str">
        <x:f>IF(A396="","",IF(OR(B396="",C396="",D396="",H396="",K396="",L396=""),"Thiếu dữ liệu",IF(M396&lt;&gt;N396+O396,"Sai cân đối SL",IF(AND(O396&gt;0,P396=""),"Thiếu mã lỗi","Hợp lệ"))))</x:f>
      </x:c>
    </x:row>
    <x:row r="397">
      <x:c r="A397" s="21"/>
      <x:c r="B397" s="43"/>
      <x:c r="C397" s="21"/>
      <x:c r="D397" s="21"/>
      <x:c r="E397" s="21"/>
      <x:c r="F397" s="21"/>
      <x:c r="G397" s="29" t="str">
        <x:f>IF(OR(C397="",D397=""),"",C397&amp;"|"&amp;D397&amp;"|"&amp;IF(E397="","00",E397)&amp;"|"&amp;IF(F397="","01",F397))</x:f>
      </x:c>
      <x:c r="H397" s="21"/>
      <x:c r="I397" s="29" t="str">
        <x:f>IF(OR(G397="",H397=""),"",G397&amp;"|"&amp;TEXT(H397,"000"))</x:f>
      </x:c>
      <x:c r="J397" s="21"/>
      <x:c r="K397" s="21"/>
      <x:c r="L397" s="21"/>
      <x:c r="M397" s="23"/>
      <x:c r="N397" s="23"/>
      <x:c r="O397" s="23"/>
      <x:c r="P397" s="21"/>
      <x:c r="Q397" s="29" t="str">
        <x:f>IF(P397="","",IFERROR(INDEX(DM_MA_LOI!$B$6:$B$105,MATCH(P397,DM_MA_LOI!$A$6:$A$105,0)),""))</x:f>
      </x:c>
      <x:c r="R397" s="29" t="str">
        <x:f>IF(P397="","",IFERROR(INDEX(DM_MA_LOI!$E$6:$E$105,MATCH(P397,DM_MA_LOI!$A$6:$A$105,0)),""))</x:f>
      </x:c>
      <x:c r="S397" s="29" t="str">
        <x:f>IF(P397="","",IFERROR(INDEX(DM_MA_LOI!$F$6:$F$105,MATCH(P397,DM_MA_LOI!$A$6:$A$105,0)),""))</x:f>
      </x:c>
      <x:c r="T397" s="21"/>
      <x:c r="U397" s="21"/>
      <x:c r="V397" s="21"/>
      <x:c r="W397" s="21"/>
      <x:c r="X397" s="21"/>
      <x:c r="Y397" s="21"/>
      <x:c r="Z397" s="21"/>
      <x:c r="AA397" s="29" t="str">
        <x:f>IF(A397="","",IF(OR(B397="",C397="",D397="",H397="",K397="",L397=""),"Thiếu dữ liệu",IF(M397&lt;&gt;N397+O397,"Sai cân đối SL",IF(AND(O397&gt;0,P397=""),"Thiếu mã lỗi","Hợp lệ"))))</x:f>
      </x:c>
    </x:row>
    <x:row r="398">
      <x:c r="A398" s="21"/>
      <x:c r="B398" s="43"/>
      <x:c r="C398" s="21"/>
      <x:c r="D398" s="21"/>
      <x:c r="E398" s="21"/>
      <x:c r="F398" s="21"/>
      <x:c r="G398" s="29" t="str">
        <x:f>IF(OR(C398="",D398=""),"",C398&amp;"|"&amp;D398&amp;"|"&amp;IF(E398="","00",E398)&amp;"|"&amp;IF(F398="","01",F398))</x:f>
      </x:c>
      <x:c r="H398" s="21"/>
      <x:c r="I398" s="29" t="str">
        <x:f>IF(OR(G398="",H398=""),"",G398&amp;"|"&amp;TEXT(H398,"000"))</x:f>
      </x:c>
      <x:c r="J398" s="21"/>
      <x:c r="K398" s="21"/>
      <x:c r="L398" s="21"/>
      <x:c r="M398" s="23"/>
      <x:c r="N398" s="23"/>
      <x:c r="O398" s="23"/>
      <x:c r="P398" s="21"/>
      <x:c r="Q398" s="29" t="str">
        <x:f>IF(P398="","",IFERROR(INDEX(DM_MA_LOI!$B$6:$B$105,MATCH(P398,DM_MA_LOI!$A$6:$A$105,0)),""))</x:f>
      </x:c>
      <x:c r="R398" s="29" t="str">
        <x:f>IF(P398="","",IFERROR(INDEX(DM_MA_LOI!$E$6:$E$105,MATCH(P398,DM_MA_LOI!$A$6:$A$105,0)),""))</x:f>
      </x:c>
      <x:c r="S398" s="29" t="str">
        <x:f>IF(P398="","",IFERROR(INDEX(DM_MA_LOI!$F$6:$F$105,MATCH(P398,DM_MA_LOI!$A$6:$A$105,0)),""))</x:f>
      </x:c>
      <x:c r="T398" s="21"/>
      <x:c r="U398" s="21"/>
      <x:c r="V398" s="21"/>
      <x:c r="W398" s="21"/>
      <x:c r="X398" s="21"/>
      <x:c r="Y398" s="21"/>
      <x:c r="Z398" s="21"/>
      <x:c r="AA398" s="29" t="str">
        <x:f>IF(A398="","",IF(OR(B398="",C398="",D398="",H398="",K398="",L398=""),"Thiếu dữ liệu",IF(M398&lt;&gt;N398+O398,"Sai cân đối SL",IF(AND(O398&gt;0,P398=""),"Thiếu mã lỗi","Hợp lệ"))))</x:f>
      </x:c>
    </x:row>
    <x:row r="399">
      <x:c r="A399" s="21"/>
      <x:c r="B399" s="43"/>
      <x:c r="C399" s="21"/>
      <x:c r="D399" s="21"/>
      <x:c r="E399" s="21"/>
      <x:c r="F399" s="21"/>
      <x:c r="G399" s="29" t="str">
        <x:f>IF(OR(C399="",D399=""),"",C399&amp;"|"&amp;D399&amp;"|"&amp;IF(E399="","00",E399)&amp;"|"&amp;IF(F399="","01",F399))</x:f>
      </x:c>
      <x:c r="H399" s="21"/>
      <x:c r="I399" s="29" t="str">
        <x:f>IF(OR(G399="",H399=""),"",G399&amp;"|"&amp;TEXT(H399,"000"))</x:f>
      </x:c>
      <x:c r="J399" s="21"/>
      <x:c r="K399" s="21"/>
      <x:c r="L399" s="21"/>
      <x:c r="M399" s="23"/>
      <x:c r="N399" s="23"/>
      <x:c r="O399" s="23"/>
      <x:c r="P399" s="21"/>
      <x:c r="Q399" s="29" t="str">
        <x:f>IF(P399="","",IFERROR(INDEX(DM_MA_LOI!$B$6:$B$105,MATCH(P399,DM_MA_LOI!$A$6:$A$105,0)),""))</x:f>
      </x:c>
      <x:c r="R399" s="29" t="str">
        <x:f>IF(P399="","",IFERROR(INDEX(DM_MA_LOI!$E$6:$E$105,MATCH(P399,DM_MA_LOI!$A$6:$A$105,0)),""))</x:f>
      </x:c>
      <x:c r="S399" s="29" t="str">
        <x:f>IF(P399="","",IFERROR(INDEX(DM_MA_LOI!$F$6:$F$105,MATCH(P399,DM_MA_LOI!$A$6:$A$105,0)),""))</x:f>
      </x:c>
      <x:c r="T399" s="21"/>
      <x:c r="U399" s="21"/>
      <x:c r="V399" s="21"/>
      <x:c r="W399" s="21"/>
      <x:c r="X399" s="21"/>
      <x:c r="Y399" s="21"/>
      <x:c r="Z399" s="21"/>
      <x:c r="AA399" s="29" t="str">
        <x:f>IF(A399="","",IF(OR(B399="",C399="",D399="",H399="",K399="",L399=""),"Thiếu dữ liệu",IF(M399&lt;&gt;N399+O399,"Sai cân đối SL",IF(AND(O399&gt;0,P399=""),"Thiếu mã lỗi","Hợp lệ"))))</x:f>
      </x:c>
    </x:row>
    <x:row r="400">
      <x:c r="A400" s="21"/>
      <x:c r="B400" s="43"/>
      <x:c r="C400" s="21"/>
      <x:c r="D400" s="21"/>
      <x:c r="E400" s="21"/>
      <x:c r="F400" s="21"/>
      <x:c r="G400" s="29" t="str">
        <x:f>IF(OR(C400="",D400=""),"",C400&amp;"|"&amp;D400&amp;"|"&amp;IF(E400="","00",E400)&amp;"|"&amp;IF(F400="","01",F400))</x:f>
      </x:c>
      <x:c r="H400" s="21"/>
      <x:c r="I400" s="29" t="str">
        <x:f>IF(OR(G400="",H400=""),"",G400&amp;"|"&amp;TEXT(H400,"000"))</x:f>
      </x:c>
      <x:c r="J400" s="21"/>
      <x:c r="K400" s="21"/>
      <x:c r="L400" s="21"/>
      <x:c r="M400" s="23"/>
      <x:c r="N400" s="23"/>
      <x:c r="O400" s="23"/>
      <x:c r="P400" s="21"/>
      <x:c r="Q400" s="29" t="str">
        <x:f>IF(P400="","",IFERROR(INDEX(DM_MA_LOI!$B$6:$B$105,MATCH(P400,DM_MA_LOI!$A$6:$A$105,0)),""))</x:f>
      </x:c>
      <x:c r="R400" s="29" t="str">
        <x:f>IF(P400="","",IFERROR(INDEX(DM_MA_LOI!$E$6:$E$105,MATCH(P400,DM_MA_LOI!$A$6:$A$105,0)),""))</x:f>
      </x:c>
      <x:c r="S400" s="29" t="str">
        <x:f>IF(P400="","",IFERROR(INDEX(DM_MA_LOI!$F$6:$F$105,MATCH(P400,DM_MA_LOI!$A$6:$A$105,0)),""))</x:f>
      </x:c>
      <x:c r="T400" s="21"/>
      <x:c r="U400" s="21"/>
      <x:c r="V400" s="21"/>
      <x:c r="W400" s="21"/>
      <x:c r="X400" s="21"/>
      <x:c r="Y400" s="21"/>
      <x:c r="Z400" s="21"/>
      <x:c r="AA400" s="29" t="str">
        <x:f>IF(A400="","",IF(OR(B400="",C400="",D400="",H400="",K400="",L400=""),"Thiếu dữ liệu",IF(M400&lt;&gt;N400+O400,"Sai cân đối SL",IF(AND(O400&gt;0,P400=""),"Thiếu mã lỗi","Hợp lệ"))))</x:f>
      </x:c>
    </x:row>
    <x:row r="401">
      <x:c r="A401" s="21"/>
      <x:c r="B401" s="43"/>
      <x:c r="C401" s="21"/>
      <x:c r="D401" s="21"/>
      <x:c r="E401" s="21"/>
      <x:c r="F401" s="21"/>
      <x:c r="G401" s="29" t="str">
        <x:f>IF(OR(C401="",D401=""),"",C401&amp;"|"&amp;D401&amp;"|"&amp;IF(E401="","00",E401)&amp;"|"&amp;IF(F401="","01",F401))</x:f>
      </x:c>
      <x:c r="H401" s="21"/>
      <x:c r="I401" s="29" t="str">
        <x:f>IF(OR(G401="",H401=""),"",G401&amp;"|"&amp;TEXT(H401,"000"))</x:f>
      </x:c>
      <x:c r="J401" s="21"/>
      <x:c r="K401" s="21"/>
      <x:c r="L401" s="21"/>
      <x:c r="M401" s="23"/>
      <x:c r="N401" s="23"/>
      <x:c r="O401" s="23"/>
      <x:c r="P401" s="21"/>
      <x:c r="Q401" s="29" t="str">
        <x:f>IF(P401="","",IFERROR(INDEX(DM_MA_LOI!$B$6:$B$105,MATCH(P401,DM_MA_LOI!$A$6:$A$105,0)),""))</x:f>
      </x:c>
      <x:c r="R401" s="29" t="str">
        <x:f>IF(P401="","",IFERROR(INDEX(DM_MA_LOI!$E$6:$E$105,MATCH(P401,DM_MA_LOI!$A$6:$A$105,0)),""))</x:f>
      </x:c>
      <x:c r="S401" s="29" t="str">
        <x:f>IF(P401="","",IFERROR(INDEX(DM_MA_LOI!$F$6:$F$105,MATCH(P401,DM_MA_LOI!$A$6:$A$105,0)),""))</x:f>
      </x:c>
      <x:c r="T401" s="21"/>
      <x:c r="U401" s="21"/>
      <x:c r="V401" s="21"/>
      <x:c r="W401" s="21"/>
      <x:c r="X401" s="21"/>
      <x:c r="Y401" s="21"/>
      <x:c r="Z401" s="21"/>
      <x:c r="AA401" s="29" t="str">
        <x:f>IF(A401="","",IF(OR(B401="",C401="",D401="",H401="",K401="",L401=""),"Thiếu dữ liệu",IF(M401&lt;&gt;N401+O401,"Sai cân đối SL",IF(AND(O401&gt;0,P401=""),"Thiếu mã lỗi","Hợp lệ"))))</x:f>
      </x:c>
    </x:row>
    <x:row r="402">
      <x:c r="A402" s="21"/>
      <x:c r="B402" s="43"/>
      <x:c r="C402" s="21"/>
      <x:c r="D402" s="21"/>
      <x:c r="E402" s="21"/>
      <x:c r="F402" s="21"/>
      <x:c r="G402" s="29" t="str">
        <x:f>IF(OR(C402="",D402=""),"",C402&amp;"|"&amp;D402&amp;"|"&amp;IF(E402="","00",E402)&amp;"|"&amp;IF(F402="","01",F402))</x:f>
      </x:c>
      <x:c r="H402" s="21"/>
      <x:c r="I402" s="29" t="str">
        <x:f>IF(OR(G402="",H402=""),"",G402&amp;"|"&amp;TEXT(H402,"000"))</x:f>
      </x:c>
      <x:c r="J402" s="21"/>
      <x:c r="K402" s="21"/>
      <x:c r="L402" s="21"/>
      <x:c r="M402" s="23"/>
      <x:c r="N402" s="23"/>
      <x:c r="O402" s="23"/>
      <x:c r="P402" s="21"/>
      <x:c r="Q402" s="29" t="str">
        <x:f>IF(P402="","",IFERROR(INDEX(DM_MA_LOI!$B$6:$B$105,MATCH(P402,DM_MA_LOI!$A$6:$A$105,0)),""))</x:f>
      </x:c>
      <x:c r="R402" s="29" t="str">
        <x:f>IF(P402="","",IFERROR(INDEX(DM_MA_LOI!$E$6:$E$105,MATCH(P402,DM_MA_LOI!$A$6:$A$105,0)),""))</x:f>
      </x:c>
      <x:c r="S402" s="29" t="str">
        <x:f>IF(P402="","",IFERROR(INDEX(DM_MA_LOI!$F$6:$F$105,MATCH(P402,DM_MA_LOI!$A$6:$A$105,0)),""))</x:f>
      </x:c>
      <x:c r="T402" s="21"/>
      <x:c r="U402" s="21"/>
      <x:c r="V402" s="21"/>
      <x:c r="W402" s="21"/>
      <x:c r="X402" s="21"/>
      <x:c r="Y402" s="21"/>
      <x:c r="Z402" s="21"/>
      <x:c r="AA402" s="29" t="str">
        <x:f>IF(A402="","",IF(OR(B402="",C402="",D402="",H402="",K402="",L402=""),"Thiếu dữ liệu",IF(M402&lt;&gt;N402+O402,"Sai cân đối SL",IF(AND(O402&gt;0,P402=""),"Thiếu mã lỗi","Hợp lệ"))))</x:f>
      </x:c>
    </x:row>
    <x:row r="403">
      <x:c r="A403" s="21"/>
      <x:c r="B403" s="43"/>
      <x:c r="C403" s="21"/>
      <x:c r="D403" s="21"/>
      <x:c r="E403" s="21"/>
      <x:c r="F403" s="21"/>
      <x:c r="G403" s="29" t="str">
        <x:f>IF(OR(C403="",D403=""),"",C403&amp;"|"&amp;D403&amp;"|"&amp;IF(E403="","00",E403)&amp;"|"&amp;IF(F403="","01",F403))</x:f>
      </x:c>
      <x:c r="H403" s="21"/>
      <x:c r="I403" s="29" t="str">
        <x:f>IF(OR(G403="",H403=""),"",G403&amp;"|"&amp;TEXT(H403,"000"))</x:f>
      </x:c>
      <x:c r="J403" s="21"/>
      <x:c r="K403" s="21"/>
      <x:c r="L403" s="21"/>
      <x:c r="M403" s="23"/>
      <x:c r="N403" s="23"/>
      <x:c r="O403" s="23"/>
      <x:c r="P403" s="21"/>
      <x:c r="Q403" s="29" t="str">
        <x:f>IF(P403="","",IFERROR(INDEX(DM_MA_LOI!$B$6:$B$105,MATCH(P403,DM_MA_LOI!$A$6:$A$105,0)),""))</x:f>
      </x:c>
      <x:c r="R403" s="29" t="str">
        <x:f>IF(P403="","",IFERROR(INDEX(DM_MA_LOI!$E$6:$E$105,MATCH(P403,DM_MA_LOI!$A$6:$A$105,0)),""))</x:f>
      </x:c>
      <x:c r="S403" s="29" t="str">
        <x:f>IF(P403="","",IFERROR(INDEX(DM_MA_LOI!$F$6:$F$105,MATCH(P403,DM_MA_LOI!$A$6:$A$105,0)),""))</x:f>
      </x:c>
      <x:c r="T403" s="21"/>
      <x:c r="U403" s="21"/>
      <x:c r="V403" s="21"/>
      <x:c r="W403" s="21"/>
      <x:c r="X403" s="21"/>
      <x:c r="Y403" s="21"/>
      <x:c r="Z403" s="21"/>
      <x:c r="AA403" s="29" t="str">
        <x:f>IF(A403="","",IF(OR(B403="",C403="",D403="",H403="",K403="",L403=""),"Thiếu dữ liệu",IF(M403&lt;&gt;N403+O403,"Sai cân đối SL",IF(AND(O403&gt;0,P403=""),"Thiếu mã lỗi","Hợp lệ"))))</x:f>
      </x:c>
    </x:row>
    <x:row r="404">
      <x:c r="A404" s="21"/>
      <x:c r="B404" s="43"/>
      <x:c r="C404" s="21"/>
      <x:c r="D404" s="21"/>
      <x:c r="E404" s="21"/>
      <x:c r="F404" s="21"/>
      <x:c r="G404" s="29" t="str">
        <x:f>IF(OR(C404="",D404=""),"",C404&amp;"|"&amp;D404&amp;"|"&amp;IF(E404="","00",E404)&amp;"|"&amp;IF(F404="","01",F404))</x:f>
      </x:c>
      <x:c r="H404" s="21"/>
      <x:c r="I404" s="29" t="str">
        <x:f>IF(OR(G404="",H404=""),"",G404&amp;"|"&amp;TEXT(H404,"000"))</x:f>
      </x:c>
      <x:c r="J404" s="21"/>
      <x:c r="K404" s="21"/>
      <x:c r="L404" s="21"/>
      <x:c r="M404" s="23"/>
      <x:c r="N404" s="23"/>
      <x:c r="O404" s="23"/>
      <x:c r="P404" s="21"/>
      <x:c r="Q404" s="29" t="str">
        <x:f>IF(P404="","",IFERROR(INDEX(DM_MA_LOI!$B$6:$B$105,MATCH(P404,DM_MA_LOI!$A$6:$A$105,0)),""))</x:f>
      </x:c>
      <x:c r="R404" s="29" t="str">
        <x:f>IF(P404="","",IFERROR(INDEX(DM_MA_LOI!$E$6:$E$105,MATCH(P404,DM_MA_LOI!$A$6:$A$105,0)),""))</x:f>
      </x:c>
      <x:c r="S404" s="29" t="str">
        <x:f>IF(P404="","",IFERROR(INDEX(DM_MA_LOI!$F$6:$F$105,MATCH(P404,DM_MA_LOI!$A$6:$A$105,0)),""))</x:f>
      </x:c>
      <x:c r="T404" s="21"/>
      <x:c r="U404" s="21"/>
      <x:c r="V404" s="21"/>
      <x:c r="W404" s="21"/>
      <x:c r="X404" s="21"/>
      <x:c r="Y404" s="21"/>
      <x:c r="Z404" s="21"/>
      <x:c r="AA404" s="29" t="str">
        <x:f>IF(A404="","",IF(OR(B404="",C404="",D404="",H404="",K404="",L404=""),"Thiếu dữ liệu",IF(M404&lt;&gt;N404+O404,"Sai cân đối SL",IF(AND(O404&gt;0,P404=""),"Thiếu mã lỗi","Hợp lệ"))))</x:f>
      </x:c>
    </x:row>
    <x:row r="405">
      <x:c r="A405" s="21"/>
      <x:c r="B405" s="43"/>
      <x:c r="C405" s="21"/>
      <x:c r="D405" s="21"/>
      <x:c r="E405" s="21"/>
      <x:c r="F405" s="21"/>
      <x:c r="G405" s="29" t="str">
        <x:f>IF(OR(C405="",D405=""),"",C405&amp;"|"&amp;D405&amp;"|"&amp;IF(E405="","00",E405)&amp;"|"&amp;IF(F405="","01",F405))</x:f>
      </x:c>
      <x:c r="H405" s="21"/>
      <x:c r="I405" s="29" t="str">
        <x:f>IF(OR(G405="",H405=""),"",G405&amp;"|"&amp;TEXT(H405,"000"))</x:f>
      </x:c>
      <x:c r="J405" s="21"/>
      <x:c r="K405" s="21"/>
      <x:c r="L405" s="21"/>
      <x:c r="M405" s="23"/>
      <x:c r="N405" s="23"/>
      <x:c r="O405" s="23"/>
      <x:c r="P405" s="21"/>
      <x:c r="Q405" s="29" t="str">
        <x:f>IF(P405="","",IFERROR(INDEX(DM_MA_LOI!$B$6:$B$105,MATCH(P405,DM_MA_LOI!$A$6:$A$105,0)),""))</x:f>
      </x:c>
      <x:c r="R405" s="29" t="str">
        <x:f>IF(P405="","",IFERROR(INDEX(DM_MA_LOI!$E$6:$E$105,MATCH(P405,DM_MA_LOI!$A$6:$A$105,0)),""))</x:f>
      </x:c>
      <x:c r="S405" s="29" t="str">
        <x:f>IF(P405="","",IFERROR(INDEX(DM_MA_LOI!$F$6:$F$105,MATCH(P405,DM_MA_LOI!$A$6:$A$105,0)),""))</x:f>
      </x:c>
      <x:c r="T405" s="21"/>
      <x:c r="U405" s="21"/>
      <x:c r="V405" s="21"/>
      <x:c r="W405" s="21"/>
      <x:c r="X405" s="21"/>
      <x:c r="Y405" s="21"/>
      <x:c r="Z405" s="21"/>
      <x:c r="AA405" s="29" t="str">
        <x:f>IF(A405="","",IF(OR(B405="",C405="",D405="",H405="",K405="",L405=""),"Thiếu dữ liệu",IF(M405&lt;&gt;N405+O405,"Sai cân đối SL",IF(AND(O405&gt;0,P405=""),"Thiếu mã lỗi","Hợp lệ"))))</x:f>
      </x:c>
    </x:row>
    <x:row r="406">
      <x:c r="A406" s="21"/>
      <x:c r="B406" s="43"/>
      <x:c r="C406" s="21"/>
      <x:c r="D406" s="21"/>
      <x:c r="E406" s="21"/>
      <x:c r="F406" s="21"/>
      <x:c r="G406" s="29" t="str">
        <x:f>IF(OR(C406="",D406=""),"",C406&amp;"|"&amp;D406&amp;"|"&amp;IF(E406="","00",E406)&amp;"|"&amp;IF(F406="","01",F406))</x:f>
      </x:c>
      <x:c r="H406" s="21"/>
      <x:c r="I406" s="29" t="str">
        <x:f>IF(OR(G406="",H406=""),"",G406&amp;"|"&amp;TEXT(H406,"000"))</x:f>
      </x:c>
      <x:c r="J406" s="21"/>
      <x:c r="K406" s="21"/>
      <x:c r="L406" s="21"/>
      <x:c r="M406" s="23"/>
      <x:c r="N406" s="23"/>
      <x:c r="O406" s="23"/>
      <x:c r="P406" s="21"/>
      <x:c r="Q406" s="29" t="str">
        <x:f>IF(P406="","",IFERROR(INDEX(DM_MA_LOI!$B$6:$B$105,MATCH(P406,DM_MA_LOI!$A$6:$A$105,0)),""))</x:f>
      </x:c>
      <x:c r="R406" s="29" t="str">
        <x:f>IF(P406="","",IFERROR(INDEX(DM_MA_LOI!$E$6:$E$105,MATCH(P406,DM_MA_LOI!$A$6:$A$105,0)),""))</x:f>
      </x:c>
      <x:c r="S406" s="29" t="str">
        <x:f>IF(P406="","",IFERROR(INDEX(DM_MA_LOI!$F$6:$F$105,MATCH(P406,DM_MA_LOI!$A$6:$A$105,0)),""))</x:f>
      </x:c>
      <x:c r="T406" s="21"/>
      <x:c r="U406" s="21"/>
      <x:c r="V406" s="21"/>
      <x:c r="W406" s="21"/>
      <x:c r="X406" s="21"/>
      <x:c r="Y406" s="21"/>
      <x:c r="Z406" s="21"/>
      <x:c r="AA406" s="29" t="str">
        <x:f>IF(A406="","",IF(OR(B406="",C406="",D406="",H406="",K406="",L406=""),"Thiếu dữ liệu",IF(M406&lt;&gt;N406+O406,"Sai cân đối SL",IF(AND(O406&gt;0,P406=""),"Thiếu mã lỗi","Hợp lệ"))))</x:f>
      </x:c>
    </x:row>
    <x:row r="407">
      <x:c r="A407" s="21"/>
      <x:c r="B407" s="43"/>
      <x:c r="C407" s="21"/>
      <x:c r="D407" s="21"/>
      <x:c r="E407" s="21"/>
      <x:c r="F407" s="21"/>
      <x:c r="G407" s="29" t="str">
        <x:f>IF(OR(C407="",D407=""),"",C407&amp;"|"&amp;D407&amp;"|"&amp;IF(E407="","00",E407)&amp;"|"&amp;IF(F407="","01",F407))</x:f>
      </x:c>
      <x:c r="H407" s="21"/>
      <x:c r="I407" s="29" t="str">
        <x:f>IF(OR(G407="",H407=""),"",G407&amp;"|"&amp;TEXT(H407,"000"))</x:f>
      </x:c>
      <x:c r="J407" s="21"/>
      <x:c r="K407" s="21"/>
      <x:c r="L407" s="21"/>
      <x:c r="M407" s="23"/>
      <x:c r="N407" s="23"/>
      <x:c r="O407" s="23"/>
      <x:c r="P407" s="21"/>
      <x:c r="Q407" s="29" t="str">
        <x:f>IF(P407="","",IFERROR(INDEX(DM_MA_LOI!$B$6:$B$105,MATCH(P407,DM_MA_LOI!$A$6:$A$105,0)),""))</x:f>
      </x:c>
      <x:c r="R407" s="29" t="str">
        <x:f>IF(P407="","",IFERROR(INDEX(DM_MA_LOI!$E$6:$E$105,MATCH(P407,DM_MA_LOI!$A$6:$A$105,0)),""))</x:f>
      </x:c>
      <x:c r="S407" s="29" t="str">
        <x:f>IF(P407="","",IFERROR(INDEX(DM_MA_LOI!$F$6:$F$105,MATCH(P407,DM_MA_LOI!$A$6:$A$105,0)),""))</x:f>
      </x:c>
      <x:c r="T407" s="21"/>
      <x:c r="U407" s="21"/>
      <x:c r="V407" s="21"/>
      <x:c r="W407" s="21"/>
      <x:c r="X407" s="21"/>
      <x:c r="Y407" s="21"/>
      <x:c r="Z407" s="21"/>
      <x:c r="AA407" s="29" t="str">
        <x:f>IF(A407="","",IF(OR(B407="",C407="",D407="",H407="",K407="",L407=""),"Thiếu dữ liệu",IF(M407&lt;&gt;N407+O407,"Sai cân đối SL",IF(AND(O407&gt;0,P407=""),"Thiếu mã lỗi","Hợp lệ"))))</x:f>
      </x:c>
    </x:row>
    <x:row r="408">
      <x:c r="A408" s="21"/>
      <x:c r="B408" s="43"/>
      <x:c r="C408" s="21"/>
      <x:c r="D408" s="21"/>
      <x:c r="E408" s="21"/>
      <x:c r="F408" s="21"/>
      <x:c r="G408" s="29" t="str">
        <x:f>IF(OR(C408="",D408=""),"",C408&amp;"|"&amp;D408&amp;"|"&amp;IF(E408="","00",E408)&amp;"|"&amp;IF(F408="","01",F408))</x:f>
      </x:c>
      <x:c r="H408" s="21"/>
      <x:c r="I408" s="29" t="str">
        <x:f>IF(OR(G408="",H408=""),"",G408&amp;"|"&amp;TEXT(H408,"000"))</x:f>
      </x:c>
      <x:c r="J408" s="21"/>
      <x:c r="K408" s="21"/>
      <x:c r="L408" s="21"/>
      <x:c r="M408" s="23"/>
      <x:c r="N408" s="23"/>
      <x:c r="O408" s="23"/>
      <x:c r="P408" s="21"/>
      <x:c r="Q408" s="29" t="str">
        <x:f>IF(P408="","",IFERROR(INDEX(DM_MA_LOI!$B$6:$B$105,MATCH(P408,DM_MA_LOI!$A$6:$A$105,0)),""))</x:f>
      </x:c>
      <x:c r="R408" s="29" t="str">
        <x:f>IF(P408="","",IFERROR(INDEX(DM_MA_LOI!$E$6:$E$105,MATCH(P408,DM_MA_LOI!$A$6:$A$105,0)),""))</x:f>
      </x:c>
      <x:c r="S408" s="29" t="str">
        <x:f>IF(P408="","",IFERROR(INDEX(DM_MA_LOI!$F$6:$F$105,MATCH(P408,DM_MA_LOI!$A$6:$A$105,0)),""))</x:f>
      </x:c>
      <x:c r="T408" s="21"/>
      <x:c r="U408" s="21"/>
      <x:c r="V408" s="21"/>
      <x:c r="W408" s="21"/>
      <x:c r="X408" s="21"/>
      <x:c r="Y408" s="21"/>
      <x:c r="Z408" s="21"/>
      <x:c r="AA408" s="29" t="str">
        <x:f>IF(A408="","",IF(OR(B408="",C408="",D408="",H408="",K408="",L408=""),"Thiếu dữ liệu",IF(M408&lt;&gt;N408+O408,"Sai cân đối SL",IF(AND(O408&gt;0,P408=""),"Thiếu mã lỗi","Hợp lệ"))))</x:f>
      </x:c>
    </x:row>
    <x:row r="409">
      <x:c r="A409" s="21"/>
      <x:c r="B409" s="43"/>
      <x:c r="C409" s="21"/>
      <x:c r="D409" s="21"/>
      <x:c r="E409" s="21"/>
      <x:c r="F409" s="21"/>
      <x:c r="G409" s="29" t="str">
        <x:f>IF(OR(C409="",D409=""),"",C409&amp;"|"&amp;D409&amp;"|"&amp;IF(E409="","00",E409)&amp;"|"&amp;IF(F409="","01",F409))</x:f>
      </x:c>
      <x:c r="H409" s="21"/>
      <x:c r="I409" s="29" t="str">
        <x:f>IF(OR(G409="",H409=""),"",G409&amp;"|"&amp;TEXT(H409,"000"))</x:f>
      </x:c>
      <x:c r="J409" s="21"/>
      <x:c r="K409" s="21"/>
      <x:c r="L409" s="21"/>
      <x:c r="M409" s="23"/>
      <x:c r="N409" s="23"/>
      <x:c r="O409" s="23"/>
      <x:c r="P409" s="21"/>
      <x:c r="Q409" s="29" t="str">
        <x:f>IF(P409="","",IFERROR(INDEX(DM_MA_LOI!$B$6:$B$105,MATCH(P409,DM_MA_LOI!$A$6:$A$105,0)),""))</x:f>
      </x:c>
      <x:c r="R409" s="29" t="str">
        <x:f>IF(P409="","",IFERROR(INDEX(DM_MA_LOI!$E$6:$E$105,MATCH(P409,DM_MA_LOI!$A$6:$A$105,0)),""))</x:f>
      </x:c>
      <x:c r="S409" s="29" t="str">
        <x:f>IF(P409="","",IFERROR(INDEX(DM_MA_LOI!$F$6:$F$105,MATCH(P409,DM_MA_LOI!$A$6:$A$105,0)),""))</x:f>
      </x:c>
      <x:c r="T409" s="21"/>
      <x:c r="U409" s="21"/>
      <x:c r="V409" s="21"/>
      <x:c r="W409" s="21"/>
      <x:c r="X409" s="21"/>
      <x:c r="Y409" s="21"/>
      <x:c r="Z409" s="21"/>
      <x:c r="AA409" s="29" t="str">
        <x:f>IF(A409="","",IF(OR(B409="",C409="",D409="",H409="",K409="",L409=""),"Thiếu dữ liệu",IF(M409&lt;&gt;N409+O409,"Sai cân đối SL",IF(AND(O409&gt;0,P409=""),"Thiếu mã lỗi","Hợp lệ"))))</x:f>
      </x:c>
    </x:row>
    <x:row r="410">
      <x:c r="A410" s="21"/>
      <x:c r="B410" s="43"/>
      <x:c r="C410" s="21"/>
      <x:c r="D410" s="21"/>
      <x:c r="E410" s="21"/>
      <x:c r="F410" s="21"/>
      <x:c r="G410" s="29" t="str">
        <x:f>IF(OR(C410="",D410=""),"",C410&amp;"|"&amp;D410&amp;"|"&amp;IF(E410="","00",E410)&amp;"|"&amp;IF(F410="","01",F410))</x:f>
      </x:c>
      <x:c r="H410" s="21"/>
      <x:c r="I410" s="29" t="str">
        <x:f>IF(OR(G410="",H410=""),"",G410&amp;"|"&amp;TEXT(H410,"000"))</x:f>
      </x:c>
      <x:c r="J410" s="21"/>
      <x:c r="K410" s="21"/>
      <x:c r="L410" s="21"/>
      <x:c r="M410" s="23"/>
      <x:c r="N410" s="23"/>
      <x:c r="O410" s="23"/>
      <x:c r="P410" s="21"/>
      <x:c r="Q410" s="29" t="str">
        <x:f>IF(P410="","",IFERROR(INDEX(DM_MA_LOI!$B$6:$B$105,MATCH(P410,DM_MA_LOI!$A$6:$A$105,0)),""))</x:f>
      </x:c>
      <x:c r="R410" s="29" t="str">
        <x:f>IF(P410="","",IFERROR(INDEX(DM_MA_LOI!$E$6:$E$105,MATCH(P410,DM_MA_LOI!$A$6:$A$105,0)),""))</x:f>
      </x:c>
      <x:c r="S410" s="29" t="str">
        <x:f>IF(P410="","",IFERROR(INDEX(DM_MA_LOI!$F$6:$F$105,MATCH(P410,DM_MA_LOI!$A$6:$A$105,0)),""))</x:f>
      </x:c>
      <x:c r="T410" s="21"/>
      <x:c r="U410" s="21"/>
      <x:c r="V410" s="21"/>
      <x:c r="W410" s="21"/>
      <x:c r="X410" s="21"/>
      <x:c r="Y410" s="21"/>
      <x:c r="Z410" s="21"/>
      <x:c r="AA410" s="29" t="str">
        <x:f>IF(A410="","",IF(OR(B410="",C410="",D410="",H410="",K410="",L410=""),"Thiếu dữ liệu",IF(M410&lt;&gt;N410+O410,"Sai cân đối SL",IF(AND(O410&gt;0,P410=""),"Thiếu mã lỗi","Hợp lệ"))))</x:f>
      </x:c>
    </x:row>
    <x:row r="411">
      <x:c r="A411" s="21"/>
      <x:c r="B411" s="43"/>
      <x:c r="C411" s="21"/>
      <x:c r="D411" s="21"/>
      <x:c r="E411" s="21"/>
      <x:c r="F411" s="21"/>
      <x:c r="G411" s="29" t="str">
        <x:f>IF(OR(C411="",D411=""),"",C411&amp;"|"&amp;D411&amp;"|"&amp;IF(E411="","00",E411)&amp;"|"&amp;IF(F411="","01",F411))</x:f>
      </x:c>
      <x:c r="H411" s="21"/>
      <x:c r="I411" s="29" t="str">
        <x:f>IF(OR(G411="",H411=""),"",G411&amp;"|"&amp;TEXT(H411,"000"))</x:f>
      </x:c>
      <x:c r="J411" s="21"/>
      <x:c r="K411" s="21"/>
      <x:c r="L411" s="21"/>
      <x:c r="M411" s="23"/>
      <x:c r="N411" s="23"/>
      <x:c r="O411" s="23"/>
      <x:c r="P411" s="21"/>
      <x:c r="Q411" s="29" t="str">
        <x:f>IF(P411="","",IFERROR(INDEX(DM_MA_LOI!$B$6:$B$105,MATCH(P411,DM_MA_LOI!$A$6:$A$105,0)),""))</x:f>
      </x:c>
      <x:c r="R411" s="29" t="str">
        <x:f>IF(P411="","",IFERROR(INDEX(DM_MA_LOI!$E$6:$E$105,MATCH(P411,DM_MA_LOI!$A$6:$A$105,0)),""))</x:f>
      </x:c>
      <x:c r="S411" s="29" t="str">
        <x:f>IF(P411="","",IFERROR(INDEX(DM_MA_LOI!$F$6:$F$105,MATCH(P411,DM_MA_LOI!$A$6:$A$105,0)),""))</x:f>
      </x:c>
      <x:c r="T411" s="21"/>
      <x:c r="U411" s="21"/>
      <x:c r="V411" s="21"/>
      <x:c r="W411" s="21"/>
      <x:c r="X411" s="21"/>
      <x:c r="Y411" s="21"/>
      <x:c r="Z411" s="21"/>
      <x:c r="AA411" s="29" t="str">
        <x:f>IF(A411="","",IF(OR(B411="",C411="",D411="",H411="",K411="",L411=""),"Thiếu dữ liệu",IF(M411&lt;&gt;N411+O411,"Sai cân đối SL",IF(AND(O411&gt;0,P411=""),"Thiếu mã lỗi","Hợp lệ"))))</x:f>
      </x:c>
    </x:row>
    <x:row r="412">
      <x:c r="A412" s="21"/>
      <x:c r="B412" s="43"/>
      <x:c r="C412" s="21"/>
      <x:c r="D412" s="21"/>
      <x:c r="E412" s="21"/>
      <x:c r="F412" s="21"/>
      <x:c r="G412" s="29" t="str">
        <x:f>IF(OR(C412="",D412=""),"",C412&amp;"|"&amp;D412&amp;"|"&amp;IF(E412="","00",E412)&amp;"|"&amp;IF(F412="","01",F412))</x:f>
      </x:c>
      <x:c r="H412" s="21"/>
      <x:c r="I412" s="29" t="str">
        <x:f>IF(OR(G412="",H412=""),"",G412&amp;"|"&amp;TEXT(H412,"000"))</x:f>
      </x:c>
      <x:c r="J412" s="21"/>
      <x:c r="K412" s="21"/>
      <x:c r="L412" s="21"/>
      <x:c r="M412" s="23"/>
      <x:c r="N412" s="23"/>
      <x:c r="O412" s="23"/>
      <x:c r="P412" s="21"/>
      <x:c r="Q412" s="29" t="str">
        <x:f>IF(P412="","",IFERROR(INDEX(DM_MA_LOI!$B$6:$B$105,MATCH(P412,DM_MA_LOI!$A$6:$A$105,0)),""))</x:f>
      </x:c>
      <x:c r="R412" s="29" t="str">
        <x:f>IF(P412="","",IFERROR(INDEX(DM_MA_LOI!$E$6:$E$105,MATCH(P412,DM_MA_LOI!$A$6:$A$105,0)),""))</x:f>
      </x:c>
      <x:c r="S412" s="29" t="str">
        <x:f>IF(P412="","",IFERROR(INDEX(DM_MA_LOI!$F$6:$F$105,MATCH(P412,DM_MA_LOI!$A$6:$A$105,0)),""))</x:f>
      </x:c>
      <x:c r="T412" s="21"/>
      <x:c r="U412" s="21"/>
      <x:c r="V412" s="21"/>
      <x:c r="W412" s="21"/>
      <x:c r="X412" s="21"/>
      <x:c r="Y412" s="21"/>
      <x:c r="Z412" s="21"/>
      <x:c r="AA412" s="29" t="str">
        <x:f>IF(A412="","",IF(OR(B412="",C412="",D412="",H412="",K412="",L412=""),"Thiếu dữ liệu",IF(M412&lt;&gt;N412+O412,"Sai cân đối SL",IF(AND(O412&gt;0,P412=""),"Thiếu mã lỗi","Hợp lệ"))))</x:f>
      </x:c>
    </x:row>
    <x:row r="413">
      <x:c r="A413" s="21"/>
      <x:c r="B413" s="43"/>
      <x:c r="C413" s="21"/>
      <x:c r="D413" s="21"/>
      <x:c r="E413" s="21"/>
      <x:c r="F413" s="21"/>
      <x:c r="G413" s="29" t="str">
        <x:f>IF(OR(C413="",D413=""),"",C413&amp;"|"&amp;D413&amp;"|"&amp;IF(E413="","00",E413)&amp;"|"&amp;IF(F413="","01",F413))</x:f>
      </x:c>
      <x:c r="H413" s="21"/>
      <x:c r="I413" s="29" t="str">
        <x:f>IF(OR(G413="",H413=""),"",G413&amp;"|"&amp;TEXT(H413,"000"))</x:f>
      </x:c>
      <x:c r="J413" s="21"/>
      <x:c r="K413" s="21"/>
      <x:c r="L413" s="21"/>
      <x:c r="M413" s="23"/>
      <x:c r="N413" s="23"/>
      <x:c r="O413" s="23"/>
      <x:c r="P413" s="21"/>
      <x:c r="Q413" s="29" t="str">
        <x:f>IF(P413="","",IFERROR(INDEX(DM_MA_LOI!$B$6:$B$105,MATCH(P413,DM_MA_LOI!$A$6:$A$105,0)),""))</x:f>
      </x:c>
      <x:c r="R413" s="29" t="str">
        <x:f>IF(P413="","",IFERROR(INDEX(DM_MA_LOI!$E$6:$E$105,MATCH(P413,DM_MA_LOI!$A$6:$A$105,0)),""))</x:f>
      </x:c>
      <x:c r="S413" s="29" t="str">
        <x:f>IF(P413="","",IFERROR(INDEX(DM_MA_LOI!$F$6:$F$105,MATCH(P413,DM_MA_LOI!$A$6:$A$105,0)),""))</x:f>
      </x:c>
      <x:c r="T413" s="21"/>
      <x:c r="U413" s="21"/>
      <x:c r="V413" s="21"/>
      <x:c r="W413" s="21"/>
      <x:c r="X413" s="21"/>
      <x:c r="Y413" s="21"/>
      <x:c r="Z413" s="21"/>
      <x:c r="AA413" s="29" t="str">
        <x:f>IF(A413="","",IF(OR(B413="",C413="",D413="",H413="",K413="",L413=""),"Thiếu dữ liệu",IF(M413&lt;&gt;N413+O413,"Sai cân đối SL",IF(AND(O413&gt;0,P413=""),"Thiếu mã lỗi","Hợp lệ"))))</x:f>
      </x:c>
    </x:row>
    <x:row r="414">
      <x:c r="A414" s="21"/>
      <x:c r="B414" s="43"/>
      <x:c r="C414" s="21"/>
      <x:c r="D414" s="21"/>
      <x:c r="E414" s="21"/>
      <x:c r="F414" s="21"/>
      <x:c r="G414" s="29" t="str">
        <x:f>IF(OR(C414="",D414=""),"",C414&amp;"|"&amp;D414&amp;"|"&amp;IF(E414="","00",E414)&amp;"|"&amp;IF(F414="","01",F414))</x:f>
      </x:c>
      <x:c r="H414" s="21"/>
      <x:c r="I414" s="29" t="str">
        <x:f>IF(OR(G414="",H414=""),"",G414&amp;"|"&amp;TEXT(H414,"000"))</x:f>
      </x:c>
      <x:c r="J414" s="21"/>
      <x:c r="K414" s="21"/>
      <x:c r="L414" s="21"/>
      <x:c r="M414" s="23"/>
      <x:c r="N414" s="23"/>
      <x:c r="O414" s="23"/>
      <x:c r="P414" s="21"/>
      <x:c r="Q414" s="29" t="str">
        <x:f>IF(P414="","",IFERROR(INDEX(DM_MA_LOI!$B$6:$B$105,MATCH(P414,DM_MA_LOI!$A$6:$A$105,0)),""))</x:f>
      </x:c>
      <x:c r="R414" s="29" t="str">
        <x:f>IF(P414="","",IFERROR(INDEX(DM_MA_LOI!$E$6:$E$105,MATCH(P414,DM_MA_LOI!$A$6:$A$105,0)),""))</x:f>
      </x:c>
      <x:c r="S414" s="29" t="str">
        <x:f>IF(P414="","",IFERROR(INDEX(DM_MA_LOI!$F$6:$F$105,MATCH(P414,DM_MA_LOI!$A$6:$A$105,0)),""))</x:f>
      </x:c>
      <x:c r="T414" s="21"/>
      <x:c r="U414" s="21"/>
      <x:c r="V414" s="21"/>
      <x:c r="W414" s="21"/>
      <x:c r="X414" s="21"/>
      <x:c r="Y414" s="21"/>
      <x:c r="Z414" s="21"/>
      <x:c r="AA414" s="29" t="str">
        <x:f>IF(A414="","",IF(OR(B414="",C414="",D414="",H414="",K414="",L414=""),"Thiếu dữ liệu",IF(M414&lt;&gt;N414+O414,"Sai cân đối SL",IF(AND(O414&gt;0,P414=""),"Thiếu mã lỗi","Hợp lệ"))))</x:f>
      </x:c>
    </x:row>
    <x:row r="415">
      <x:c r="A415" s="21"/>
      <x:c r="B415" s="43"/>
      <x:c r="C415" s="21"/>
      <x:c r="D415" s="21"/>
      <x:c r="E415" s="21"/>
      <x:c r="F415" s="21"/>
      <x:c r="G415" s="29" t="str">
        <x:f>IF(OR(C415="",D415=""),"",C415&amp;"|"&amp;D415&amp;"|"&amp;IF(E415="","00",E415)&amp;"|"&amp;IF(F415="","01",F415))</x:f>
      </x:c>
      <x:c r="H415" s="21"/>
      <x:c r="I415" s="29" t="str">
        <x:f>IF(OR(G415="",H415=""),"",G415&amp;"|"&amp;TEXT(H415,"000"))</x:f>
      </x:c>
      <x:c r="J415" s="21"/>
      <x:c r="K415" s="21"/>
      <x:c r="L415" s="21"/>
      <x:c r="M415" s="23"/>
      <x:c r="N415" s="23"/>
      <x:c r="O415" s="23"/>
      <x:c r="P415" s="21"/>
      <x:c r="Q415" s="29" t="str">
        <x:f>IF(P415="","",IFERROR(INDEX(DM_MA_LOI!$B$6:$B$105,MATCH(P415,DM_MA_LOI!$A$6:$A$105,0)),""))</x:f>
      </x:c>
      <x:c r="R415" s="29" t="str">
        <x:f>IF(P415="","",IFERROR(INDEX(DM_MA_LOI!$E$6:$E$105,MATCH(P415,DM_MA_LOI!$A$6:$A$105,0)),""))</x:f>
      </x:c>
      <x:c r="S415" s="29" t="str">
        <x:f>IF(P415="","",IFERROR(INDEX(DM_MA_LOI!$F$6:$F$105,MATCH(P415,DM_MA_LOI!$A$6:$A$105,0)),""))</x:f>
      </x:c>
      <x:c r="T415" s="21"/>
      <x:c r="U415" s="21"/>
      <x:c r="V415" s="21"/>
      <x:c r="W415" s="21"/>
      <x:c r="X415" s="21"/>
      <x:c r="Y415" s="21"/>
      <x:c r="Z415" s="21"/>
      <x:c r="AA415" s="29" t="str">
        <x:f>IF(A415="","",IF(OR(B415="",C415="",D415="",H415="",K415="",L415=""),"Thiếu dữ liệu",IF(M415&lt;&gt;N415+O415,"Sai cân đối SL",IF(AND(O415&gt;0,P415=""),"Thiếu mã lỗi","Hợp lệ"))))</x:f>
      </x:c>
    </x:row>
    <x:row r="416">
      <x:c r="A416" s="21"/>
      <x:c r="B416" s="43"/>
      <x:c r="C416" s="21"/>
      <x:c r="D416" s="21"/>
      <x:c r="E416" s="21"/>
      <x:c r="F416" s="21"/>
      <x:c r="G416" s="29" t="str">
        <x:f>IF(OR(C416="",D416=""),"",C416&amp;"|"&amp;D416&amp;"|"&amp;IF(E416="","00",E416)&amp;"|"&amp;IF(F416="","01",F416))</x:f>
      </x:c>
      <x:c r="H416" s="21"/>
      <x:c r="I416" s="29" t="str">
        <x:f>IF(OR(G416="",H416=""),"",G416&amp;"|"&amp;TEXT(H416,"000"))</x:f>
      </x:c>
      <x:c r="J416" s="21"/>
      <x:c r="K416" s="21"/>
      <x:c r="L416" s="21"/>
      <x:c r="M416" s="23"/>
      <x:c r="N416" s="23"/>
      <x:c r="O416" s="23"/>
      <x:c r="P416" s="21"/>
      <x:c r="Q416" s="29" t="str">
        <x:f>IF(P416="","",IFERROR(INDEX(DM_MA_LOI!$B$6:$B$105,MATCH(P416,DM_MA_LOI!$A$6:$A$105,0)),""))</x:f>
      </x:c>
      <x:c r="R416" s="29" t="str">
        <x:f>IF(P416="","",IFERROR(INDEX(DM_MA_LOI!$E$6:$E$105,MATCH(P416,DM_MA_LOI!$A$6:$A$105,0)),""))</x:f>
      </x:c>
      <x:c r="S416" s="29" t="str">
        <x:f>IF(P416="","",IFERROR(INDEX(DM_MA_LOI!$F$6:$F$105,MATCH(P416,DM_MA_LOI!$A$6:$A$105,0)),""))</x:f>
      </x:c>
      <x:c r="T416" s="21"/>
      <x:c r="U416" s="21"/>
      <x:c r="V416" s="21"/>
      <x:c r="W416" s="21"/>
      <x:c r="X416" s="21"/>
      <x:c r="Y416" s="21"/>
      <x:c r="Z416" s="21"/>
      <x:c r="AA416" s="29" t="str">
        <x:f>IF(A416="","",IF(OR(B416="",C416="",D416="",H416="",K416="",L416=""),"Thiếu dữ liệu",IF(M416&lt;&gt;N416+O416,"Sai cân đối SL",IF(AND(O416&gt;0,P416=""),"Thiếu mã lỗi","Hợp lệ"))))</x:f>
      </x:c>
    </x:row>
    <x:row r="417">
      <x:c r="A417" s="21"/>
      <x:c r="B417" s="43"/>
      <x:c r="C417" s="21"/>
      <x:c r="D417" s="21"/>
      <x:c r="E417" s="21"/>
      <x:c r="F417" s="21"/>
      <x:c r="G417" s="29" t="str">
        <x:f>IF(OR(C417="",D417=""),"",C417&amp;"|"&amp;D417&amp;"|"&amp;IF(E417="","00",E417)&amp;"|"&amp;IF(F417="","01",F417))</x:f>
      </x:c>
      <x:c r="H417" s="21"/>
      <x:c r="I417" s="29" t="str">
        <x:f>IF(OR(G417="",H417=""),"",G417&amp;"|"&amp;TEXT(H417,"000"))</x:f>
      </x:c>
      <x:c r="J417" s="21"/>
      <x:c r="K417" s="21"/>
      <x:c r="L417" s="21"/>
      <x:c r="M417" s="23"/>
      <x:c r="N417" s="23"/>
      <x:c r="O417" s="23"/>
      <x:c r="P417" s="21"/>
      <x:c r="Q417" s="29" t="str">
        <x:f>IF(P417="","",IFERROR(INDEX(DM_MA_LOI!$B$6:$B$105,MATCH(P417,DM_MA_LOI!$A$6:$A$105,0)),""))</x:f>
      </x:c>
      <x:c r="R417" s="29" t="str">
        <x:f>IF(P417="","",IFERROR(INDEX(DM_MA_LOI!$E$6:$E$105,MATCH(P417,DM_MA_LOI!$A$6:$A$105,0)),""))</x:f>
      </x:c>
      <x:c r="S417" s="29" t="str">
        <x:f>IF(P417="","",IFERROR(INDEX(DM_MA_LOI!$F$6:$F$105,MATCH(P417,DM_MA_LOI!$A$6:$A$105,0)),""))</x:f>
      </x:c>
      <x:c r="T417" s="21"/>
      <x:c r="U417" s="21"/>
      <x:c r="V417" s="21"/>
      <x:c r="W417" s="21"/>
      <x:c r="X417" s="21"/>
      <x:c r="Y417" s="21"/>
      <x:c r="Z417" s="21"/>
      <x:c r="AA417" s="29" t="str">
        <x:f>IF(A417="","",IF(OR(B417="",C417="",D417="",H417="",K417="",L417=""),"Thiếu dữ liệu",IF(M417&lt;&gt;N417+O417,"Sai cân đối SL",IF(AND(O417&gt;0,P417=""),"Thiếu mã lỗi","Hợp lệ"))))</x:f>
      </x:c>
    </x:row>
    <x:row r="418">
      <x:c r="A418" s="21"/>
      <x:c r="B418" s="43"/>
      <x:c r="C418" s="21"/>
      <x:c r="D418" s="21"/>
      <x:c r="E418" s="21"/>
      <x:c r="F418" s="21"/>
      <x:c r="G418" s="29" t="str">
        <x:f>IF(OR(C418="",D418=""),"",C418&amp;"|"&amp;D418&amp;"|"&amp;IF(E418="","00",E418)&amp;"|"&amp;IF(F418="","01",F418))</x:f>
      </x:c>
      <x:c r="H418" s="21"/>
      <x:c r="I418" s="29" t="str">
        <x:f>IF(OR(G418="",H418=""),"",G418&amp;"|"&amp;TEXT(H418,"000"))</x:f>
      </x:c>
      <x:c r="J418" s="21"/>
      <x:c r="K418" s="21"/>
      <x:c r="L418" s="21"/>
      <x:c r="M418" s="23"/>
      <x:c r="N418" s="23"/>
      <x:c r="O418" s="23"/>
      <x:c r="P418" s="21"/>
      <x:c r="Q418" s="29" t="str">
        <x:f>IF(P418="","",IFERROR(INDEX(DM_MA_LOI!$B$6:$B$105,MATCH(P418,DM_MA_LOI!$A$6:$A$105,0)),""))</x:f>
      </x:c>
      <x:c r="R418" s="29" t="str">
        <x:f>IF(P418="","",IFERROR(INDEX(DM_MA_LOI!$E$6:$E$105,MATCH(P418,DM_MA_LOI!$A$6:$A$105,0)),""))</x:f>
      </x:c>
      <x:c r="S418" s="29" t="str">
        <x:f>IF(P418="","",IFERROR(INDEX(DM_MA_LOI!$F$6:$F$105,MATCH(P418,DM_MA_LOI!$A$6:$A$105,0)),""))</x:f>
      </x:c>
      <x:c r="T418" s="21"/>
      <x:c r="U418" s="21"/>
      <x:c r="V418" s="21"/>
      <x:c r="W418" s="21"/>
      <x:c r="X418" s="21"/>
      <x:c r="Y418" s="21"/>
      <x:c r="Z418" s="21"/>
      <x:c r="AA418" s="29" t="str">
        <x:f>IF(A418="","",IF(OR(B418="",C418="",D418="",H418="",K418="",L418=""),"Thiếu dữ liệu",IF(M418&lt;&gt;N418+O418,"Sai cân đối SL",IF(AND(O418&gt;0,P418=""),"Thiếu mã lỗi","Hợp lệ"))))</x:f>
      </x:c>
    </x:row>
    <x:row r="419">
      <x:c r="A419" s="21"/>
      <x:c r="B419" s="43"/>
      <x:c r="C419" s="21"/>
      <x:c r="D419" s="21"/>
      <x:c r="E419" s="21"/>
      <x:c r="F419" s="21"/>
      <x:c r="G419" s="29" t="str">
        <x:f>IF(OR(C419="",D419=""),"",C419&amp;"|"&amp;D419&amp;"|"&amp;IF(E419="","00",E419)&amp;"|"&amp;IF(F419="","01",F419))</x:f>
      </x:c>
      <x:c r="H419" s="21"/>
      <x:c r="I419" s="29" t="str">
        <x:f>IF(OR(G419="",H419=""),"",G419&amp;"|"&amp;TEXT(H419,"000"))</x:f>
      </x:c>
      <x:c r="J419" s="21"/>
      <x:c r="K419" s="21"/>
      <x:c r="L419" s="21"/>
      <x:c r="M419" s="23"/>
      <x:c r="N419" s="23"/>
      <x:c r="O419" s="23"/>
      <x:c r="P419" s="21"/>
      <x:c r="Q419" s="29" t="str">
        <x:f>IF(P419="","",IFERROR(INDEX(DM_MA_LOI!$B$6:$B$105,MATCH(P419,DM_MA_LOI!$A$6:$A$105,0)),""))</x:f>
      </x:c>
      <x:c r="R419" s="29" t="str">
        <x:f>IF(P419="","",IFERROR(INDEX(DM_MA_LOI!$E$6:$E$105,MATCH(P419,DM_MA_LOI!$A$6:$A$105,0)),""))</x:f>
      </x:c>
      <x:c r="S419" s="29" t="str">
        <x:f>IF(P419="","",IFERROR(INDEX(DM_MA_LOI!$F$6:$F$105,MATCH(P419,DM_MA_LOI!$A$6:$A$105,0)),""))</x:f>
      </x:c>
      <x:c r="T419" s="21"/>
      <x:c r="U419" s="21"/>
      <x:c r="V419" s="21"/>
      <x:c r="W419" s="21"/>
      <x:c r="X419" s="21"/>
      <x:c r="Y419" s="21"/>
      <x:c r="Z419" s="21"/>
      <x:c r="AA419" s="29" t="str">
        <x:f>IF(A419="","",IF(OR(B419="",C419="",D419="",H419="",K419="",L419=""),"Thiếu dữ liệu",IF(M419&lt;&gt;N419+O419,"Sai cân đối SL",IF(AND(O419&gt;0,P419=""),"Thiếu mã lỗi","Hợp lệ"))))</x:f>
      </x:c>
    </x:row>
    <x:row r="420">
      <x:c r="A420" s="21"/>
      <x:c r="B420" s="43"/>
      <x:c r="C420" s="21"/>
      <x:c r="D420" s="21"/>
      <x:c r="E420" s="21"/>
      <x:c r="F420" s="21"/>
      <x:c r="G420" s="29" t="str">
        <x:f>IF(OR(C420="",D420=""),"",C420&amp;"|"&amp;D420&amp;"|"&amp;IF(E420="","00",E420)&amp;"|"&amp;IF(F420="","01",F420))</x:f>
      </x:c>
      <x:c r="H420" s="21"/>
      <x:c r="I420" s="29" t="str">
        <x:f>IF(OR(G420="",H420=""),"",G420&amp;"|"&amp;TEXT(H420,"000"))</x:f>
      </x:c>
      <x:c r="J420" s="21"/>
      <x:c r="K420" s="21"/>
      <x:c r="L420" s="21"/>
      <x:c r="M420" s="23"/>
      <x:c r="N420" s="23"/>
      <x:c r="O420" s="23"/>
      <x:c r="P420" s="21"/>
      <x:c r="Q420" s="29" t="str">
        <x:f>IF(P420="","",IFERROR(INDEX(DM_MA_LOI!$B$6:$B$105,MATCH(P420,DM_MA_LOI!$A$6:$A$105,0)),""))</x:f>
      </x:c>
      <x:c r="R420" s="29" t="str">
        <x:f>IF(P420="","",IFERROR(INDEX(DM_MA_LOI!$E$6:$E$105,MATCH(P420,DM_MA_LOI!$A$6:$A$105,0)),""))</x:f>
      </x:c>
      <x:c r="S420" s="29" t="str">
        <x:f>IF(P420="","",IFERROR(INDEX(DM_MA_LOI!$F$6:$F$105,MATCH(P420,DM_MA_LOI!$A$6:$A$105,0)),""))</x:f>
      </x:c>
      <x:c r="T420" s="21"/>
      <x:c r="U420" s="21"/>
      <x:c r="V420" s="21"/>
      <x:c r="W420" s="21"/>
      <x:c r="X420" s="21"/>
      <x:c r="Y420" s="21"/>
      <x:c r="Z420" s="21"/>
      <x:c r="AA420" s="29" t="str">
        <x:f>IF(A420="","",IF(OR(B420="",C420="",D420="",H420="",K420="",L420=""),"Thiếu dữ liệu",IF(M420&lt;&gt;N420+O420,"Sai cân đối SL",IF(AND(O420&gt;0,P420=""),"Thiếu mã lỗi","Hợp lệ"))))</x:f>
      </x:c>
    </x:row>
    <x:row r="421">
      <x:c r="A421" s="21"/>
      <x:c r="B421" s="43"/>
      <x:c r="C421" s="21"/>
      <x:c r="D421" s="21"/>
      <x:c r="E421" s="21"/>
      <x:c r="F421" s="21"/>
      <x:c r="G421" s="29" t="str">
        <x:f>IF(OR(C421="",D421=""),"",C421&amp;"|"&amp;D421&amp;"|"&amp;IF(E421="","00",E421)&amp;"|"&amp;IF(F421="","01",F421))</x:f>
      </x:c>
      <x:c r="H421" s="21"/>
      <x:c r="I421" s="29" t="str">
        <x:f>IF(OR(G421="",H421=""),"",G421&amp;"|"&amp;TEXT(H421,"000"))</x:f>
      </x:c>
      <x:c r="J421" s="21"/>
      <x:c r="K421" s="21"/>
      <x:c r="L421" s="21"/>
      <x:c r="M421" s="23"/>
      <x:c r="N421" s="23"/>
      <x:c r="O421" s="23"/>
      <x:c r="P421" s="21"/>
      <x:c r="Q421" s="29" t="str">
        <x:f>IF(P421="","",IFERROR(INDEX(DM_MA_LOI!$B$6:$B$105,MATCH(P421,DM_MA_LOI!$A$6:$A$105,0)),""))</x:f>
      </x:c>
      <x:c r="R421" s="29" t="str">
        <x:f>IF(P421="","",IFERROR(INDEX(DM_MA_LOI!$E$6:$E$105,MATCH(P421,DM_MA_LOI!$A$6:$A$105,0)),""))</x:f>
      </x:c>
      <x:c r="S421" s="29" t="str">
        <x:f>IF(P421="","",IFERROR(INDEX(DM_MA_LOI!$F$6:$F$105,MATCH(P421,DM_MA_LOI!$A$6:$A$105,0)),""))</x:f>
      </x:c>
      <x:c r="T421" s="21"/>
      <x:c r="U421" s="21"/>
      <x:c r="V421" s="21"/>
      <x:c r="W421" s="21"/>
      <x:c r="X421" s="21"/>
      <x:c r="Y421" s="21"/>
      <x:c r="Z421" s="21"/>
      <x:c r="AA421" s="29" t="str">
        <x:f>IF(A421="","",IF(OR(B421="",C421="",D421="",H421="",K421="",L421=""),"Thiếu dữ liệu",IF(M421&lt;&gt;N421+O421,"Sai cân đối SL",IF(AND(O421&gt;0,P421=""),"Thiếu mã lỗi","Hợp lệ"))))</x:f>
      </x:c>
    </x:row>
    <x:row r="422">
      <x:c r="A422" s="21"/>
      <x:c r="B422" s="43"/>
      <x:c r="C422" s="21"/>
      <x:c r="D422" s="21"/>
      <x:c r="E422" s="21"/>
      <x:c r="F422" s="21"/>
      <x:c r="G422" s="29" t="str">
        <x:f>IF(OR(C422="",D422=""),"",C422&amp;"|"&amp;D422&amp;"|"&amp;IF(E422="","00",E422)&amp;"|"&amp;IF(F422="","01",F422))</x:f>
      </x:c>
      <x:c r="H422" s="21"/>
      <x:c r="I422" s="29" t="str">
        <x:f>IF(OR(G422="",H422=""),"",G422&amp;"|"&amp;TEXT(H422,"000"))</x:f>
      </x:c>
      <x:c r="J422" s="21"/>
      <x:c r="K422" s="21"/>
      <x:c r="L422" s="21"/>
      <x:c r="M422" s="23"/>
      <x:c r="N422" s="23"/>
      <x:c r="O422" s="23"/>
      <x:c r="P422" s="21"/>
      <x:c r="Q422" s="29" t="str">
        <x:f>IF(P422="","",IFERROR(INDEX(DM_MA_LOI!$B$6:$B$105,MATCH(P422,DM_MA_LOI!$A$6:$A$105,0)),""))</x:f>
      </x:c>
      <x:c r="R422" s="29" t="str">
        <x:f>IF(P422="","",IFERROR(INDEX(DM_MA_LOI!$E$6:$E$105,MATCH(P422,DM_MA_LOI!$A$6:$A$105,0)),""))</x:f>
      </x:c>
      <x:c r="S422" s="29" t="str">
        <x:f>IF(P422="","",IFERROR(INDEX(DM_MA_LOI!$F$6:$F$105,MATCH(P422,DM_MA_LOI!$A$6:$A$105,0)),""))</x:f>
      </x:c>
      <x:c r="T422" s="21"/>
      <x:c r="U422" s="21"/>
      <x:c r="V422" s="21"/>
      <x:c r="W422" s="21"/>
      <x:c r="X422" s="21"/>
      <x:c r="Y422" s="21"/>
      <x:c r="Z422" s="21"/>
      <x:c r="AA422" s="29" t="str">
        <x:f>IF(A422="","",IF(OR(B422="",C422="",D422="",H422="",K422="",L422=""),"Thiếu dữ liệu",IF(M422&lt;&gt;N422+O422,"Sai cân đối SL",IF(AND(O422&gt;0,P422=""),"Thiếu mã lỗi","Hợp lệ"))))</x:f>
      </x:c>
    </x:row>
    <x:row r="423">
      <x:c r="A423" s="21"/>
      <x:c r="B423" s="43"/>
      <x:c r="C423" s="21"/>
      <x:c r="D423" s="21"/>
      <x:c r="E423" s="21"/>
      <x:c r="F423" s="21"/>
      <x:c r="G423" s="29" t="str">
        <x:f>IF(OR(C423="",D423=""),"",C423&amp;"|"&amp;D423&amp;"|"&amp;IF(E423="","00",E423)&amp;"|"&amp;IF(F423="","01",F423))</x:f>
      </x:c>
      <x:c r="H423" s="21"/>
      <x:c r="I423" s="29" t="str">
        <x:f>IF(OR(G423="",H423=""),"",G423&amp;"|"&amp;TEXT(H423,"000"))</x:f>
      </x:c>
      <x:c r="J423" s="21"/>
      <x:c r="K423" s="21"/>
      <x:c r="L423" s="21"/>
      <x:c r="M423" s="23"/>
      <x:c r="N423" s="23"/>
      <x:c r="O423" s="23"/>
      <x:c r="P423" s="21"/>
      <x:c r="Q423" s="29" t="str">
        <x:f>IF(P423="","",IFERROR(INDEX(DM_MA_LOI!$B$6:$B$105,MATCH(P423,DM_MA_LOI!$A$6:$A$105,0)),""))</x:f>
      </x:c>
      <x:c r="R423" s="29" t="str">
        <x:f>IF(P423="","",IFERROR(INDEX(DM_MA_LOI!$E$6:$E$105,MATCH(P423,DM_MA_LOI!$A$6:$A$105,0)),""))</x:f>
      </x:c>
      <x:c r="S423" s="29" t="str">
        <x:f>IF(P423="","",IFERROR(INDEX(DM_MA_LOI!$F$6:$F$105,MATCH(P423,DM_MA_LOI!$A$6:$A$105,0)),""))</x:f>
      </x:c>
      <x:c r="T423" s="21"/>
      <x:c r="U423" s="21"/>
      <x:c r="V423" s="21"/>
      <x:c r="W423" s="21"/>
      <x:c r="X423" s="21"/>
      <x:c r="Y423" s="21"/>
      <x:c r="Z423" s="21"/>
      <x:c r="AA423" s="29" t="str">
        <x:f>IF(A423="","",IF(OR(B423="",C423="",D423="",H423="",K423="",L423=""),"Thiếu dữ liệu",IF(M423&lt;&gt;N423+O423,"Sai cân đối SL",IF(AND(O423&gt;0,P423=""),"Thiếu mã lỗi","Hợp lệ"))))</x:f>
      </x:c>
    </x:row>
    <x:row r="424">
      <x:c r="A424" s="21"/>
      <x:c r="B424" s="43"/>
      <x:c r="C424" s="21"/>
      <x:c r="D424" s="21"/>
      <x:c r="E424" s="21"/>
      <x:c r="F424" s="21"/>
      <x:c r="G424" s="29" t="str">
        <x:f>IF(OR(C424="",D424=""),"",C424&amp;"|"&amp;D424&amp;"|"&amp;IF(E424="","00",E424)&amp;"|"&amp;IF(F424="","01",F424))</x:f>
      </x:c>
      <x:c r="H424" s="21"/>
      <x:c r="I424" s="29" t="str">
        <x:f>IF(OR(G424="",H424=""),"",G424&amp;"|"&amp;TEXT(H424,"000"))</x:f>
      </x:c>
      <x:c r="J424" s="21"/>
      <x:c r="K424" s="21"/>
      <x:c r="L424" s="21"/>
      <x:c r="M424" s="23"/>
      <x:c r="N424" s="23"/>
      <x:c r="O424" s="23"/>
      <x:c r="P424" s="21"/>
      <x:c r="Q424" s="29" t="str">
        <x:f>IF(P424="","",IFERROR(INDEX(DM_MA_LOI!$B$6:$B$105,MATCH(P424,DM_MA_LOI!$A$6:$A$105,0)),""))</x:f>
      </x:c>
      <x:c r="R424" s="29" t="str">
        <x:f>IF(P424="","",IFERROR(INDEX(DM_MA_LOI!$E$6:$E$105,MATCH(P424,DM_MA_LOI!$A$6:$A$105,0)),""))</x:f>
      </x:c>
      <x:c r="S424" s="29" t="str">
        <x:f>IF(P424="","",IFERROR(INDEX(DM_MA_LOI!$F$6:$F$105,MATCH(P424,DM_MA_LOI!$A$6:$A$105,0)),""))</x:f>
      </x:c>
      <x:c r="T424" s="21"/>
      <x:c r="U424" s="21"/>
      <x:c r="V424" s="21"/>
      <x:c r="W424" s="21"/>
      <x:c r="X424" s="21"/>
      <x:c r="Y424" s="21"/>
      <x:c r="Z424" s="21"/>
      <x:c r="AA424" s="29" t="str">
        <x:f>IF(A424="","",IF(OR(B424="",C424="",D424="",H424="",K424="",L424=""),"Thiếu dữ liệu",IF(M424&lt;&gt;N424+O424,"Sai cân đối SL",IF(AND(O424&gt;0,P424=""),"Thiếu mã lỗi","Hợp lệ"))))</x:f>
      </x:c>
    </x:row>
    <x:row r="425">
      <x:c r="A425" s="21"/>
      <x:c r="B425" s="43"/>
      <x:c r="C425" s="21"/>
      <x:c r="D425" s="21"/>
      <x:c r="E425" s="21"/>
      <x:c r="F425" s="21"/>
      <x:c r="G425" s="29" t="str">
        <x:f>IF(OR(C425="",D425=""),"",C425&amp;"|"&amp;D425&amp;"|"&amp;IF(E425="","00",E425)&amp;"|"&amp;IF(F425="","01",F425))</x:f>
      </x:c>
      <x:c r="H425" s="21"/>
      <x:c r="I425" s="29" t="str">
        <x:f>IF(OR(G425="",H425=""),"",G425&amp;"|"&amp;TEXT(H425,"000"))</x:f>
      </x:c>
      <x:c r="J425" s="21"/>
      <x:c r="K425" s="21"/>
      <x:c r="L425" s="21"/>
      <x:c r="M425" s="23"/>
      <x:c r="N425" s="23"/>
      <x:c r="O425" s="23"/>
      <x:c r="P425" s="21"/>
      <x:c r="Q425" s="29" t="str">
        <x:f>IF(P425="","",IFERROR(INDEX(DM_MA_LOI!$B$6:$B$105,MATCH(P425,DM_MA_LOI!$A$6:$A$105,0)),""))</x:f>
      </x:c>
      <x:c r="R425" s="29" t="str">
        <x:f>IF(P425="","",IFERROR(INDEX(DM_MA_LOI!$E$6:$E$105,MATCH(P425,DM_MA_LOI!$A$6:$A$105,0)),""))</x:f>
      </x:c>
      <x:c r="S425" s="29" t="str">
        <x:f>IF(P425="","",IFERROR(INDEX(DM_MA_LOI!$F$6:$F$105,MATCH(P425,DM_MA_LOI!$A$6:$A$105,0)),""))</x:f>
      </x:c>
      <x:c r="T425" s="21"/>
      <x:c r="U425" s="21"/>
      <x:c r="V425" s="21"/>
      <x:c r="W425" s="21"/>
      <x:c r="X425" s="21"/>
      <x:c r="Y425" s="21"/>
      <x:c r="Z425" s="21"/>
      <x:c r="AA425" s="29" t="str">
        <x:f>IF(A425="","",IF(OR(B425="",C425="",D425="",H425="",K425="",L425=""),"Thiếu dữ liệu",IF(M425&lt;&gt;N425+O425,"Sai cân đối SL",IF(AND(O425&gt;0,P425=""),"Thiếu mã lỗi","Hợp lệ"))))</x:f>
      </x:c>
    </x:row>
    <x:row r="426">
      <x:c r="A426" s="21"/>
      <x:c r="B426" s="43"/>
      <x:c r="C426" s="21"/>
      <x:c r="D426" s="21"/>
      <x:c r="E426" s="21"/>
      <x:c r="F426" s="21"/>
      <x:c r="G426" s="29" t="str">
        <x:f>IF(OR(C426="",D426=""),"",C426&amp;"|"&amp;D426&amp;"|"&amp;IF(E426="","00",E426)&amp;"|"&amp;IF(F426="","01",F426))</x:f>
      </x:c>
      <x:c r="H426" s="21"/>
      <x:c r="I426" s="29" t="str">
        <x:f>IF(OR(G426="",H426=""),"",G426&amp;"|"&amp;TEXT(H426,"000"))</x:f>
      </x:c>
      <x:c r="J426" s="21"/>
      <x:c r="K426" s="21"/>
      <x:c r="L426" s="21"/>
      <x:c r="M426" s="23"/>
      <x:c r="N426" s="23"/>
      <x:c r="O426" s="23"/>
      <x:c r="P426" s="21"/>
      <x:c r="Q426" s="29" t="str">
        <x:f>IF(P426="","",IFERROR(INDEX(DM_MA_LOI!$B$6:$B$105,MATCH(P426,DM_MA_LOI!$A$6:$A$105,0)),""))</x:f>
      </x:c>
      <x:c r="R426" s="29" t="str">
        <x:f>IF(P426="","",IFERROR(INDEX(DM_MA_LOI!$E$6:$E$105,MATCH(P426,DM_MA_LOI!$A$6:$A$105,0)),""))</x:f>
      </x:c>
      <x:c r="S426" s="29" t="str">
        <x:f>IF(P426="","",IFERROR(INDEX(DM_MA_LOI!$F$6:$F$105,MATCH(P426,DM_MA_LOI!$A$6:$A$105,0)),""))</x:f>
      </x:c>
      <x:c r="T426" s="21"/>
      <x:c r="U426" s="21"/>
      <x:c r="V426" s="21"/>
      <x:c r="W426" s="21"/>
      <x:c r="X426" s="21"/>
      <x:c r="Y426" s="21"/>
      <x:c r="Z426" s="21"/>
      <x:c r="AA426" s="29" t="str">
        <x:f>IF(A426="","",IF(OR(B426="",C426="",D426="",H426="",K426="",L426=""),"Thiếu dữ liệu",IF(M426&lt;&gt;N426+O426,"Sai cân đối SL",IF(AND(O426&gt;0,P426=""),"Thiếu mã lỗi","Hợp lệ"))))</x:f>
      </x:c>
    </x:row>
    <x:row r="427">
      <x:c r="A427" s="21"/>
      <x:c r="B427" s="43"/>
      <x:c r="C427" s="21"/>
      <x:c r="D427" s="21"/>
      <x:c r="E427" s="21"/>
      <x:c r="F427" s="21"/>
      <x:c r="G427" s="29" t="str">
        <x:f>IF(OR(C427="",D427=""),"",C427&amp;"|"&amp;D427&amp;"|"&amp;IF(E427="","00",E427)&amp;"|"&amp;IF(F427="","01",F427))</x:f>
      </x:c>
      <x:c r="H427" s="21"/>
      <x:c r="I427" s="29" t="str">
        <x:f>IF(OR(G427="",H427=""),"",G427&amp;"|"&amp;TEXT(H427,"000"))</x:f>
      </x:c>
      <x:c r="J427" s="21"/>
      <x:c r="K427" s="21"/>
      <x:c r="L427" s="21"/>
      <x:c r="M427" s="23"/>
      <x:c r="N427" s="23"/>
      <x:c r="O427" s="23"/>
      <x:c r="P427" s="21"/>
      <x:c r="Q427" s="29" t="str">
        <x:f>IF(P427="","",IFERROR(INDEX(DM_MA_LOI!$B$6:$B$105,MATCH(P427,DM_MA_LOI!$A$6:$A$105,0)),""))</x:f>
      </x:c>
      <x:c r="R427" s="29" t="str">
        <x:f>IF(P427="","",IFERROR(INDEX(DM_MA_LOI!$E$6:$E$105,MATCH(P427,DM_MA_LOI!$A$6:$A$105,0)),""))</x:f>
      </x:c>
      <x:c r="S427" s="29" t="str">
        <x:f>IF(P427="","",IFERROR(INDEX(DM_MA_LOI!$F$6:$F$105,MATCH(P427,DM_MA_LOI!$A$6:$A$105,0)),""))</x:f>
      </x:c>
      <x:c r="T427" s="21"/>
      <x:c r="U427" s="21"/>
      <x:c r="V427" s="21"/>
      <x:c r="W427" s="21"/>
      <x:c r="X427" s="21"/>
      <x:c r="Y427" s="21"/>
      <x:c r="Z427" s="21"/>
      <x:c r="AA427" s="29" t="str">
        <x:f>IF(A427="","",IF(OR(B427="",C427="",D427="",H427="",K427="",L427=""),"Thiếu dữ liệu",IF(M427&lt;&gt;N427+O427,"Sai cân đối SL",IF(AND(O427&gt;0,P427=""),"Thiếu mã lỗi","Hợp lệ"))))</x:f>
      </x:c>
    </x:row>
    <x:row r="428">
      <x:c r="A428" s="21"/>
      <x:c r="B428" s="43"/>
      <x:c r="C428" s="21"/>
      <x:c r="D428" s="21"/>
      <x:c r="E428" s="21"/>
      <x:c r="F428" s="21"/>
      <x:c r="G428" s="29" t="str">
        <x:f>IF(OR(C428="",D428=""),"",C428&amp;"|"&amp;D428&amp;"|"&amp;IF(E428="","00",E428)&amp;"|"&amp;IF(F428="","01",F428))</x:f>
      </x:c>
      <x:c r="H428" s="21"/>
      <x:c r="I428" s="29" t="str">
        <x:f>IF(OR(G428="",H428=""),"",G428&amp;"|"&amp;TEXT(H428,"000"))</x:f>
      </x:c>
      <x:c r="J428" s="21"/>
      <x:c r="K428" s="21"/>
      <x:c r="L428" s="21"/>
      <x:c r="M428" s="23"/>
      <x:c r="N428" s="23"/>
      <x:c r="O428" s="23"/>
      <x:c r="P428" s="21"/>
      <x:c r="Q428" s="29" t="str">
        <x:f>IF(P428="","",IFERROR(INDEX(DM_MA_LOI!$B$6:$B$105,MATCH(P428,DM_MA_LOI!$A$6:$A$105,0)),""))</x:f>
      </x:c>
      <x:c r="R428" s="29" t="str">
        <x:f>IF(P428="","",IFERROR(INDEX(DM_MA_LOI!$E$6:$E$105,MATCH(P428,DM_MA_LOI!$A$6:$A$105,0)),""))</x:f>
      </x:c>
      <x:c r="S428" s="29" t="str">
        <x:f>IF(P428="","",IFERROR(INDEX(DM_MA_LOI!$F$6:$F$105,MATCH(P428,DM_MA_LOI!$A$6:$A$105,0)),""))</x:f>
      </x:c>
      <x:c r="T428" s="21"/>
      <x:c r="U428" s="21"/>
      <x:c r="V428" s="21"/>
      <x:c r="W428" s="21"/>
      <x:c r="X428" s="21"/>
      <x:c r="Y428" s="21"/>
      <x:c r="Z428" s="21"/>
      <x:c r="AA428" s="29" t="str">
        <x:f>IF(A428="","",IF(OR(B428="",C428="",D428="",H428="",K428="",L428=""),"Thiếu dữ liệu",IF(M428&lt;&gt;N428+O428,"Sai cân đối SL",IF(AND(O428&gt;0,P428=""),"Thiếu mã lỗi","Hợp lệ"))))</x:f>
      </x:c>
    </x:row>
    <x:row r="429">
      <x:c r="A429" s="21"/>
      <x:c r="B429" s="43"/>
      <x:c r="C429" s="21"/>
      <x:c r="D429" s="21"/>
      <x:c r="E429" s="21"/>
      <x:c r="F429" s="21"/>
      <x:c r="G429" s="29" t="str">
        <x:f>IF(OR(C429="",D429=""),"",C429&amp;"|"&amp;D429&amp;"|"&amp;IF(E429="","00",E429)&amp;"|"&amp;IF(F429="","01",F429))</x:f>
      </x:c>
      <x:c r="H429" s="21"/>
      <x:c r="I429" s="29" t="str">
        <x:f>IF(OR(G429="",H429=""),"",G429&amp;"|"&amp;TEXT(H429,"000"))</x:f>
      </x:c>
      <x:c r="J429" s="21"/>
      <x:c r="K429" s="21"/>
      <x:c r="L429" s="21"/>
      <x:c r="M429" s="23"/>
      <x:c r="N429" s="23"/>
      <x:c r="O429" s="23"/>
      <x:c r="P429" s="21"/>
      <x:c r="Q429" s="29" t="str">
        <x:f>IF(P429="","",IFERROR(INDEX(DM_MA_LOI!$B$6:$B$105,MATCH(P429,DM_MA_LOI!$A$6:$A$105,0)),""))</x:f>
      </x:c>
      <x:c r="R429" s="29" t="str">
        <x:f>IF(P429="","",IFERROR(INDEX(DM_MA_LOI!$E$6:$E$105,MATCH(P429,DM_MA_LOI!$A$6:$A$105,0)),""))</x:f>
      </x:c>
      <x:c r="S429" s="29" t="str">
        <x:f>IF(P429="","",IFERROR(INDEX(DM_MA_LOI!$F$6:$F$105,MATCH(P429,DM_MA_LOI!$A$6:$A$105,0)),""))</x:f>
      </x:c>
      <x:c r="T429" s="21"/>
      <x:c r="U429" s="21"/>
      <x:c r="V429" s="21"/>
      <x:c r="W429" s="21"/>
      <x:c r="X429" s="21"/>
      <x:c r="Y429" s="21"/>
      <x:c r="Z429" s="21"/>
      <x:c r="AA429" s="29" t="str">
        <x:f>IF(A429="","",IF(OR(B429="",C429="",D429="",H429="",K429="",L429=""),"Thiếu dữ liệu",IF(M429&lt;&gt;N429+O429,"Sai cân đối SL",IF(AND(O429&gt;0,P429=""),"Thiếu mã lỗi","Hợp lệ"))))</x:f>
      </x:c>
    </x:row>
    <x:row r="430">
      <x:c r="A430" s="21"/>
      <x:c r="B430" s="43"/>
      <x:c r="C430" s="21"/>
      <x:c r="D430" s="21"/>
      <x:c r="E430" s="21"/>
      <x:c r="F430" s="21"/>
      <x:c r="G430" s="29" t="str">
        <x:f>IF(OR(C430="",D430=""),"",C430&amp;"|"&amp;D430&amp;"|"&amp;IF(E430="","00",E430)&amp;"|"&amp;IF(F430="","01",F430))</x:f>
      </x:c>
      <x:c r="H430" s="21"/>
      <x:c r="I430" s="29" t="str">
        <x:f>IF(OR(G430="",H430=""),"",G430&amp;"|"&amp;TEXT(H430,"000"))</x:f>
      </x:c>
      <x:c r="J430" s="21"/>
      <x:c r="K430" s="21"/>
      <x:c r="L430" s="21"/>
      <x:c r="M430" s="23"/>
      <x:c r="N430" s="23"/>
      <x:c r="O430" s="23"/>
      <x:c r="P430" s="21"/>
      <x:c r="Q430" s="29" t="str">
        <x:f>IF(P430="","",IFERROR(INDEX(DM_MA_LOI!$B$6:$B$105,MATCH(P430,DM_MA_LOI!$A$6:$A$105,0)),""))</x:f>
      </x:c>
      <x:c r="R430" s="29" t="str">
        <x:f>IF(P430="","",IFERROR(INDEX(DM_MA_LOI!$E$6:$E$105,MATCH(P430,DM_MA_LOI!$A$6:$A$105,0)),""))</x:f>
      </x:c>
      <x:c r="S430" s="29" t="str">
        <x:f>IF(P430="","",IFERROR(INDEX(DM_MA_LOI!$F$6:$F$105,MATCH(P430,DM_MA_LOI!$A$6:$A$105,0)),""))</x:f>
      </x:c>
      <x:c r="T430" s="21"/>
      <x:c r="U430" s="21"/>
      <x:c r="V430" s="21"/>
      <x:c r="W430" s="21"/>
      <x:c r="X430" s="21"/>
      <x:c r="Y430" s="21"/>
      <x:c r="Z430" s="21"/>
      <x:c r="AA430" s="29" t="str">
        <x:f>IF(A430="","",IF(OR(B430="",C430="",D430="",H430="",K430="",L430=""),"Thiếu dữ liệu",IF(M430&lt;&gt;N430+O430,"Sai cân đối SL",IF(AND(O430&gt;0,P430=""),"Thiếu mã lỗi","Hợp lệ"))))</x:f>
      </x:c>
    </x:row>
    <x:row r="431">
      <x:c r="A431" s="21"/>
      <x:c r="B431" s="43"/>
      <x:c r="C431" s="21"/>
      <x:c r="D431" s="21"/>
      <x:c r="E431" s="21"/>
      <x:c r="F431" s="21"/>
      <x:c r="G431" s="29" t="str">
        <x:f>IF(OR(C431="",D431=""),"",C431&amp;"|"&amp;D431&amp;"|"&amp;IF(E431="","00",E431)&amp;"|"&amp;IF(F431="","01",F431))</x:f>
      </x:c>
      <x:c r="H431" s="21"/>
      <x:c r="I431" s="29" t="str">
        <x:f>IF(OR(G431="",H431=""),"",G431&amp;"|"&amp;TEXT(H431,"000"))</x:f>
      </x:c>
      <x:c r="J431" s="21"/>
      <x:c r="K431" s="21"/>
      <x:c r="L431" s="21"/>
      <x:c r="M431" s="23"/>
      <x:c r="N431" s="23"/>
      <x:c r="O431" s="23"/>
      <x:c r="P431" s="21"/>
      <x:c r="Q431" s="29" t="str">
        <x:f>IF(P431="","",IFERROR(INDEX(DM_MA_LOI!$B$6:$B$105,MATCH(P431,DM_MA_LOI!$A$6:$A$105,0)),""))</x:f>
      </x:c>
      <x:c r="R431" s="29" t="str">
        <x:f>IF(P431="","",IFERROR(INDEX(DM_MA_LOI!$E$6:$E$105,MATCH(P431,DM_MA_LOI!$A$6:$A$105,0)),""))</x:f>
      </x:c>
      <x:c r="S431" s="29" t="str">
        <x:f>IF(P431="","",IFERROR(INDEX(DM_MA_LOI!$F$6:$F$105,MATCH(P431,DM_MA_LOI!$A$6:$A$105,0)),""))</x:f>
      </x:c>
      <x:c r="T431" s="21"/>
      <x:c r="U431" s="21"/>
      <x:c r="V431" s="21"/>
      <x:c r="W431" s="21"/>
      <x:c r="X431" s="21"/>
      <x:c r="Y431" s="21"/>
      <x:c r="Z431" s="21"/>
      <x:c r="AA431" s="29" t="str">
        <x:f>IF(A431="","",IF(OR(B431="",C431="",D431="",H431="",K431="",L431=""),"Thiếu dữ liệu",IF(M431&lt;&gt;N431+O431,"Sai cân đối SL",IF(AND(O431&gt;0,P431=""),"Thiếu mã lỗi","Hợp lệ"))))</x:f>
      </x:c>
    </x:row>
    <x:row r="432">
      <x:c r="A432" s="21"/>
      <x:c r="B432" s="43"/>
      <x:c r="C432" s="21"/>
      <x:c r="D432" s="21"/>
      <x:c r="E432" s="21"/>
      <x:c r="F432" s="21"/>
      <x:c r="G432" s="29" t="str">
        <x:f>IF(OR(C432="",D432=""),"",C432&amp;"|"&amp;D432&amp;"|"&amp;IF(E432="","00",E432)&amp;"|"&amp;IF(F432="","01",F432))</x:f>
      </x:c>
      <x:c r="H432" s="21"/>
      <x:c r="I432" s="29" t="str">
        <x:f>IF(OR(G432="",H432=""),"",G432&amp;"|"&amp;TEXT(H432,"000"))</x:f>
      </x:c>
      <x:c r="J432" s="21"/>
      <x:c r="K432" s="21"/>
      <x:c r="L432" s="21"/>
      <x:c r="M432" s="23"/>
      <x:c r="N432" s="23"/>
      <x:c r="O432" s="23"/>
      <x:c r="P432" s="21"/>
      <x:c r="Q432" s="29" t="str">
        <x:f>IF(P432="","",IFERROR(INDEX(DM_MA_LOI!$B$6:$B$105,MATCH(P432,DM_MA_LOI!$A$6:$A$105,0)),""))</x:f>
      </x:c>
      <x:c r="R432" s="29" t="str">
        <x:f>IF(P432="","",IFERROR(INDEX(DM_MA_LOI!$E$6:$E$105,MATCH(P432,DM_MA_LOI!$A$6:$A$105,0)),""))</x:f>
      </x:c>
      <x:c r="S432" s="29" t="str">
        <x:f>IF(P432="","",IFERROR(INDEX(DM_MA_LOI!$F$6:$F$105,MATCH(P432,DM_MA_LOI!$A$6:$A$105,0)),""))</x:f>
      </x:c>
      <x:c r="T432" s="21"/>
      <x:c r="U432" s="21"/>
      <x:c r="V432" s="21"/>
      <x:c r="W432" s="21"/>
      <x:c r="X432" s="21"/>
      <x:c r="Y432" s="21"/>
      <x:c r="Z432" s="21"/>
      <x:c r="AA432" s="29" t="str">
        <x:f>IF(A432="","",IF(OR(B432="",C432="",D432="",H432="",K432="",L432=""),"Thiếu dữ liệu",IF(M432&lt;&gt;N432+O432,"Sai cân đối SL",IF(AND(O432&gt;0,P432=""),"Thiếu mã lỗi","Hợp lệ"))))</x:f>
      </x:c>
    </x:row>
    <x:row r="433">
      <x:c r="A433" s="21"/>
      <x:c r="B433" s="43"/>
      <x:c r="C433" s="21"/>
      <x:c r="D433" s="21"/>
      <x:c r="E433" s="21"/>
      <x:c r="F433" s="21"/>
      <x:c r="G433" s="29" t="str">
        <x:f>IF(OR(C433="",D433=""),"",C433&amp;"|"&amp;D433&amp;"|"&amp;IF(E433="","00",E433)&amp;"|"&amp;IF(F433="","01",F433))</x:f>
      </x:c>
      <x:c r="H433" s="21"/>
      <x:c r="I433" s="29" t="str">
        <x:f>IF(OR(G433="",H433=""),"",G433&amp;"|"&amp;TEXT(H433,"000"))</x:f>
      </x:c>
      <x:c r="J433" s="21"/>
      <x:c r="K433" s="21"/>
      <x:c r="L433" s="21"/>
      <x:c r="M433" s="23"/>
      <x:c r="N433" s="23"/>
      <x:c r="O433" s="23"/>
      <x:c r="P433" s="21"/>
      <x:c r="Q433" s="29" t="str">
        <x:f>IF(P433="","",IFERROR(INDEX(DM_MA_LOI!$B$6:$B$105,MATCH(P433,DM_MA_LOI!$A$6:$A$105,0)),""))</x:f>
      </x:c>
      <x:c r="R433" s="29" t="str">
        <x:f>IF(P433="","",IFERROR(INDEX(DM_MA_LOI!$E$6:$E$105,MATCH(P433,DM_MA_LOI!$A$6:$A$105,0)),""))</x:f>
      </x:c>
      <x:c r="S433" s="29" t="str">
        <x:f>IF(P433="","",IFERROR(INDEX(DM_MA_LOI!$F$6:$F$105,MATCH(P433,DM_MA_LOI!$A$6:$A$105,0)),""))</x:f>
      </x:c>
      <x:c r="T433" s="21"/>
      <x:c r="U433" s="21"/>
      <x:c r="V433" s="21"/>
      <x:c r="W433" s="21"/>
      <x:c r="X433" s="21"/>
      <x:c r="Y433" s="21"/>
      <x:c r="Z433" s="21"/>
      <x:c r="AA433" s="29" t="str">
        <x:f>IF(A433="","",IF(OR(B433="",C433="",D433="",H433="",K433="",L433=""),"Thiếu dữ liệu",IF(M433&lt;&gt;N433+O433,"Sai cân đối SL",IF(AND(O433&gt;0,P433=""),"Thiếu mã lỗi","Hợp lệ"))))</x:f>
      </x:c>
    </x:row>
    <x:row r="434">
      <x:c r="A434" s="21"/>
      <x:c r="B434" s="43"/>
      <x:c r="C434" s="21"/>
      <x:c r="D434" s="21"/>
      <x:c r="E434" s="21"/>
      <x:c r="F434" s="21"/>
      <x:c r="G434" s="29" t="str">
        <x:f>IF(OR(C434="",D434=""),"",C434&amp;"|"&amp;D434&amp;"|"&amp;IF(E434="","00",E434)&amp;"|"&amp;IF(F434="","01",F434))</x:f>
      </x:c>
      <x:c r="H434" s="21"/>
      <x:c r="I434" s="29" t="str">
        <x:f>IF(OR(G434="",H434=""),"",G434&amp;"|"&amp;TEXT(H434,"000"))</x:f>
      </x:c>
      <x:c r="J434" s="21"/>
      <x:c r="K434" s="21"/>
      <x:c r="L434" s="21"/>
      <x:c r="M434" s="23"/>
      <x:c r="N434" s="23"/>
      <x:c r="O434" s="23"/>
      <x:c r="P434" s="21"/>
      <x:c r="Q434" s="29" t="str">
        <x:f>IF(P434="","",IFERROR(INDEX(DM_MA_LOI!$B$6:$B$105,MATCH(P434,DM_MA_LOI!$A$6:$A$105,0)),""))</x:f>
      </x:c>
      <x:c r="R434" s="29" t="str">
        <x:f>IF(P434="","",IFERROR(INDEX(DM_MA_LOI!$E$6:$E$105,MATCH(P434,DM_MA_LOI!$A$6:$A$105,0)),""))</x:f>
      </x:c>
      <x:c r="S434" s="29" t="str">
        <x:f>IF(P434="","",IFERROR(INDEX(DM_MA_LOI!$F$6:$F$105,MATCH(P434,DM_MA_LOI!$A$6:$A$105,0)),""))</x:f>
      </x:c>
      <x:c r="T434" s="21"/>
      <x:c r="U434" s="21"/>
      <x:c r="V434" s="21"/>
      <x:c r="W434" s="21"/>
      <x:c r="X434" s="21"/>
      <x:c r="Y434" s="21"/>
      <x:c r="Z434" s="21"/>
      <x:c r="AA434" s="29" t="str">
        <x:f>IF(A434="","",IF(OR(B434="",C434="",D434="",H434="",K434="",L434=""),"Thiếu dữ liệu",IF(M434&lt;&gt;N434+O434,"Sai cân đối SL",IF(AND(O434&gt;0,P434=""),"Thiếu mã lỗi","Hợp lệ"))))</x:f>
      </x:c>
    </x:row>
    <x:row r="435">
      <x:c r="A435" s="21"/>
      <x:c r="B435" s="43"/>
      <x:c r="C435" s="21"/>
      <x:c r="D435" s="21"/>
      <x:c r="E435" s="21"/>
      <x:c r="F435" s="21"/>
      <x:c r="G435" s="29" t="str">
        <x:f>IF(OR(C435="",D435=""),"",C435&amp;"|"&amp;D435&amp;"|"&amp;IF(E435="","00",E435)&amp;"|"&amp;IF(F435="","01",F435))</x:f>
      </x:c>
      <x:c r="H435" s="21"/>
      <x:c r="I435" s="29" t="str">
        <x:f>IF(OR(G435="",H435=""),"",G435&amp;"|"&amp;TEXT(H435,"000"))</x:f>
      </x:c>
      <x:c r="J435" s="21"/>
      <x:c r="K435" s="21"/>
      <x:c r="L435" s="21"/>
      <x:c r="M435" s="23"/>
      <x:c r="N435" s="23"/>
      <x:c r="O435" s="23"/>
      <x:c r="P435" s="21"/>
      <x:c r="Q435" s="29" t="str">
        <x:f>IF(P435="","",IFERROR(INDEX(DM_MA_LOI!$B$6:$B$105,MATCH(P435,DM_MA_LOI!$A$6:$A$105,0)),""))</x:f>
      </x:c>
      <x:c r="R435" s="29" t="str">
        <x:f>IF(P435="","",IFERROR(INDEX(DM_MA_LOI!$E$6:$E$105,MATCH(P435,DM_MA_LOI!$A$6:$A$105,0)),""))</x:f>
      </x:c>
      <x:c r="S435" s="29" t="str">
        <x:f>IF(P435="","",IFERROR(INDEX(DM_MA_LOI!$F$6:$F$105,MATCH(P435,DM_MA_LOI!$A$6:$A$105,0)),""))</x:f>
      </x:c>
      <x:c r="T435" s="21"/>
      <x:c r="U435" s="21"/>
      <x:c r="V435" s="21"/>
      <x:c r="W435" s="21"/>
      <x:c r="X435" s="21"/>
      <x:c r="Y435" s="21"/>
      <x:c r="Z435" s="21"/>
      <x:c r="AA435" s="29" t="str">
        <x:f>IF(A435="","",IF(OR(B435="",C435="",D435="",H435="",K435="",L435=""),"Thiếu dữ liệu",IF(M435&lt;&gt;N435+O435,"Sai cân đối SL",IF(AND(O435&gt;0,P435=""),"Thiếu mã lỗi","Hợp lệ"))))</x:f>
      </x:c>
    </x:row>
    <x:row r="436">
      <x:c r="A436" s="21"/>
      <x:c r="B436" s="43"/>
      <x:c r="C436" s="21"/>
      <x:c r="D436" s="21"/>
      <x:c r="E436" s="21"/>
      <x:c r="F436" s="21"/>
      <x:c r="G436" s="29" t="str">
        <x:f>IF(OR(C436="",D436=""),"",C436&amp;"|"&amp;D436&amp;"|"&amp;IF(E436="","00",E436)&amp;"|"&amp;IF(F436="","01",F436))</x:f>
      </x:c>
      <x:c r="H436" s="21"/>
      <x:c r="I436" s="29" t="str">
        <x:f>IF(OR(G436="",H436=""),"",G436&amp;"|"&amp;TEXT(H436,"000"))</x:f>
      </x:c>
      <x:c r="J436" s="21"/>
      <x:c r="K436" s="21"/>
      <x:c r="L436" s="21"/>
      <x:c r="M436" s="23"/>
      <x:c r="N436" s="23"/>
      <x:c r="O436" s="23"/>
      <x:c r="P436" s="21"/>
      <x:c r="Q436" s="29" t="str">
        <x:f>IF(P436="","",IFERROR(INDEX(DM_MA_LOI!$B$6:$B$105,MATCH(P436,DM_MA_LOI!$A$6:$A$105,0)),""))</x:f>
      </x:c>
      <x:c r="R436" s="29" t="str">
        <x:f>IF(P436="","",IFERROR(INDEX(DM_MA_LOI!$E$6:$E$105,MATCH(P436,DM_MA_LOI!$A$6:$A$105,0)),""))</x:f>
      </x:c>
      <x:c r="S436" s="29" t="str">
        <x:f>IF(P436="","",IFERROR(INDEX(DM_MA_LOI!$F$6:$F$105,MATCH(P436,DM_MA_LOI!$A$6:$A$105,0)),""))</x:f>
      </x:c>
      <x:c r="T436" s="21"/>
      <x:c r="U436" s="21"/>
      <x:c r="V436" s="21"/>
      <x:c r="W436" s="21"/>
      <x:c r="X436" s="21"/>
      <x:c r="Y436" s="21"/>
      <x:c r="Z436" s="21"/>
      <x:c r="AA436" s="29" t="str">
        <x:f>IF(A436="","",IF(OR(B436="",C436="",D436="",H436="",K436="",L436=""),"Thiếu dữ liệu",IF(M436&lt;&gt;N436+O436,"Sai cân đối SL",IF(AND(O436&gt;0,P436=""),"Thiếu mã lỗi","Hợp lệ"))))</x:f>
      </x:c>
    </x:row>
    <x:row r="437">
      <x:c r="A437" s="21"/>
      <x:c r="B437" s="43"/>
      <x:c r="C437" s="21"/>
      <x:c r="D437" s="21"/>
      <x:c r="E437" s="21"/>
      <x:c r="F437" s="21"/>
      <x:c r="G437" s="29" t="str">
        <x:f>IF(OR(C437="",D437=""),"",C437&amp;"|"&amp;D437&amp;"|"&amp;IF(E437="","00",E437)&amp;"|"&amp;IF(F437="","01",F437))</x:f>
      </x:c>
      <x:c r="H437" s="21"/>
      <x:c r="I437" s="29" t="str">
        <x:f>IF(OR(G437="",H437=""),"",G437&amp;"|"&amp;TEXT(H437,"000"))</x:f>
      </x:c>
      <x:c r="J437" s="21"/>
      <x:c r="K437" s="21"/>
      <x:c r="L437" s="21"/>
      <x:c r="M437" s="23"/>
      <x:c r="N437" s="23"/>
      <x:c r="O437" s="23"/>
      <x:c r="P437" s="21"/>
      <x:c r="Q437" s="29" t="str">
        <x:f>IF(P437="","",IFERROR(INDEX(DM_MA_LOI!$B$6:$B$105,MATCH(P437,DM_MA_LOI!$A$6:$A$105,0)),""))</x:f>
      </x:c>
      <x:c r="R437" s="29" t="str">
        <x:f>IF(P437="","",IFERROR(INDEX(DM_MA_LOI!$E$6:$E$105,MATCH(P437,DM_MA_LOI!$A$6:$A$105,0)),""))</x:f>
      </x:c>
      <x:c r="S437" s="29" t="str">
        <x:f>IF(P437="","",IFERROR(INDEX(DM_MA_LOI!$F$6:$F$105,MATCH(P437,DM_MA_LOI!$A$6:$A$105,0)),""))</x:f>
      </x:c>
      <x:c r="T437" s="21"/>
      <x:c r="U437" s="21"/>
      <x:c r="V437" s="21"/>
      <x:c r="W437" s="21"/>
      <x:c r="X437" s="21"/>
      <x:c r="Y437" s="21"/>
      <x:c r="Z437" s="21"/>
      <x:c r="AA437" s="29" t="str">
        <x:f>IF(A437="","",IF(OR(B437="",C437="",D437="",H437="",K437="",L437=""),"Thiếu dữ liệu",IF(M437&lt;&gt;N437+O437,"Sai cân đối SL",IF(AND(O437&gt;0,P437=""),"Thiếu mã lỗi","Hợp lệ"))))</x:f>
      </x:c>
    </x:row>
    <x:row r="438">
      <x:c r="A438" s="21"/>
      <x:c r="B438" s="43"/>
      <x:c r="C438" s="21"/>
      <x:c r="D438" s="21"/>
      <x:c r="E438" s="21"/>
      <x:c r="F438" s="21"/>
      <x:c r="G438" s="29" t="str">
        <x:f>IF(OR(C438="",D438=""),"",C438&amp;"|"&amp;D438&amp;"|"&amp;IF(E438="","00",E438)&amp;"|"&amp;IF(F438="","01",F438))</x:f>
      </x:c>
      <x:c r="H438" s="21"/>
      <x:c r="I438" s="29" t="str">
        <x:f>IF(OR(G438="",H438=""),"",G438&amp;"|"&amp;TEXT(H438,"000"))</x:f>
      </x:c>
      <x:c r="J438" s="21"/>
      <x:c r="K438" s="21"/>
      <x:c r="L438" s="21"/>
      <x:c r="M438" s="23"/>
      <x:c r="N438" s="23"/>
      <x:c r="O438" s="23"/>
      <x:c r="P438" s="21"/>
      <x:c r="Q438" s="29" t="str">
        <x:f>IF(P438="","",IFERROR(INDEX(DM_MA_LOI!$B$6:$B$105,MATCH(P438,DM_MA_LOI!$A$6:$A$105,0)),""))</x:f>
      </x:c>
      <x:c r="R438" s="29" t="str">
        <x:f>IF(P438="","",IFERROR(INDEX(DM_MA_LOI!$E$6:$E$105,MATCH(P438,DM_MA_LOI!$A$6:$A$105,0)),""))</x:f>
      </x:c>
      <x:c r="S438" s="29" t="str">
        <x:f>IF(P438="","",IFERROR(INDEX(DM_MA_LOI!$F$6:$F$105,MATCH(P438,DM_MA_LOI!$A$6:$A$105,0)),""))</x:f>
      </x:c>
      <x:c r="T438" s="21"/>
      <x:c r="U438" s="21"/>
      <x:c r="V438" s="21"/>
      <x:c r="W438" s="21"/>
      <x:c r="X438" s="21"/>
      <x:c r="Y438" s="21"/>
      <x:c r="Z438" s="21"/>
      <x:c r="AA438" s="29" t="str">
        <x:f>IF(A438="","",IF(OR(B438="",C438="",D438="",H438="",K438="",L438=""),"Thiếu dữ liệu",IF(M438&lt;&gt;N438+O438,"Sai cân đối SL",IF(AND(O438&gt;0,P438=""),"Thiếu mã lỗi","Hợp lệ"))))</x:f>
      </x:c>
    </x:row>
    <x:row r="439">
      <x:c r="A439" s="21"/>
      <x:c r="B439" s="43"/>
      <x:c r="C439" s="21"/>
      <x:c r="D439" s="21"/>
      <x:c r="E439" s="21"/>
      <x:c r="F439" s="21"/>
      <x:c r="G439" s="29" t="str">
        <x:f>IF(OR(C439="",D439=""),"",C439&amp;"|"&amp;D439&amp;"|"&amp;IF(E439="","00",E439)&amp;"|"&amp;IF(F439="","01",F439))</x:f>
      </x:c>
      <x:c r="H439" s="21"/>
      <x:c r="I439" s="29" t="str">
        <x:f>IF(OR(G439="",H439=""),"",G439&amp;"|"&amp;TEXT(H439,"000"))</x:f>
      </x:c>
      <x:c r="J439" s="21"/>
      <x:c r="K439" s="21"/>
      <x:c r="L439" s="21"/>
      <x:c r="M439" s="23"/>
      <x:c r="N439" s="23"/>
      <x:c r="O439" s="23"/>
      <x:c r="P439" s="21"/>
      <x:c r="Q439" s="29" t="str">
        <x:f>IF(P439="","",IFERROR(INDEX(DM_MA_LOI!$B$6:$B$105,MATCH(P439,DM_MA_LOI!$A$6:$A$105,0)),""))</x:f>
      </x:c>
      <x:c r="R439" s="29" t="str">
        <x:f>IF(P439="","",IFERROR(INDEX(DM_MA_LOI!$E$6:$E$105,MATCH(P439,DM_MA_LOI!$A$6:$A$105,0)),""))</x:f>
      </x:c>
      <x:c r="S439" s="29" t="str">
        <x:f>IF(P439="","",IFERROR(INDEX(DM_MA_LOI!$F$6:$F$105,MATCH(P439,DM_MA_LOI!$A$6:$A$105,0)),""))</x:f>
      </x:c>
      <x:c r="T439" s="21"/>
      <x:c r="U439" s="21"/>
      <x:c r="V439" s="21"/>
      <x:c r="W439" s="21"/>
      <x:c r="X439" s="21"/>
      <x:c r="Y439" s="21"/>
      <x:c r="Z439" s="21"/>
      <x:c r="AA439" s="29" t="str">
        <x:f>IF(A439="","",IF(OR(B439="",C439="",D439="",H439="",K439="",L439=""),"Thiếu dữ liệu",IF(M439&lt;&gt;N439+O439,"Sai cân đối SL",IF(AND(O439&gt;0,P439=""),"Thiếu mã lỗi","Hợp lệ"))))</x:f>
      </x:c>
    </x:row>
    <x:row r="440">
      <x:c r="A440" s="21"/>
      <x:c r="B440" s="43"/>
      <x:c r="C440" s="21"/>
      <x:c r="D440" s="21"/>
      <x:c r="E440" s="21"/>
      <x:c r="F440" s="21"/>
      <x:c r="G440" s="29" t="str">
        <x:f>IF(OR(C440="",D440=""),"",C440&amp;"|"&amp;D440&amp;"|"&amp;IF(E440="","00",E440)&amp;"|"&amp;IF(F440="","01",F440))</x:f>
      </x:c>
      <x:c r="H440" s="21"/>
      <x:c r="I440" s="29" t="str">
        <x:f>IF(OR(G440="",H440=""),"",G440&amp;"|"&amp;TEXT(H440,"000"))</x:f>
      </x:c>
      <x:c r="J440" s="21"/>
      <x:c r="K440" s="21"/>
      <x:c r="L440" s="21"/>
      <x:c r="M440" s="23"/>
      <x:c r="N440" s="23"/>
      <x:c r="O440" s="23"/>
      <x:c r="P440" s="21"/>
      <x:c r="Q440" s="29" t="str">
        <x:f>IF(P440="","",IFERROR(INDEX(DM_MA_LOI!$B$6:$B$105,MATCH(P440,DM_MA_LOI!$A$6:$A$105,0)),""))</x:f>
      </x:c>
      <x:c r="R440" s="29" t="str">
        <x:f>IF(P440="","",IFERROR(INDEX(DM_MA_LOI!$E$6:$E$105,MATCH(P440,DM_MA_LOI!$A$6:$A$105,0)),""))</x:f>
      </x:c>
      <x:c r="S440" s="29" t="str">
        <x:f>IF(P440="","",IFERROR(INDEX(DM_MA_LOI!$F$6:$F$105,MATCH(P440,DM_MA_LOI!$A$6:$A$105,0)),""))</x:f>
      </x:c>
      <x:c r="T440" s="21"/>
      <x:c r="U440" s="21"/>
      <x:c r="V440" s="21"/>
      <x:c r="W440" s="21"/>
      <x:c r="X440" s="21"/>
      <x:c r="Y440" s="21"/>
      <x:c r="Z440" s="21"/>
      <x:c r="AA440" s="29" t="str">
        <x:f>IF(A440="","",IF(OR(B440="",C440="",D440="",H440="",K440="",L440=""),"Thiếu dữ liệu",IF(M440&lt;&gt;N440+O440,"Sai cân đối SL",IF(AND(O440&gt;0,P440=""),"Thiếu mã lỗi","Hợp lệ"))))</x:f>
      </x:c>
    </x:row>
    <x:row r="441">
      <x:c r="A441" s="21"/>
      <x:c r="B441" s="43"/>
      <x:c r="C441" s="21"/>
      <x:c r="D441" s="21"/>
      <x:c r="E441" s="21"/>
      <x:c r="F441" s="21"/>
      <x:c r="G441" s="29" t="str">
        <x:f>IF(OR(C441="",D441=""),"",C441&amp;"|"&amp;D441&amp;"|"&amp;IF(E441="","00",E441)&amp;"|"&amp;IF(F441="","01",F441))</x:f>
      </x:c>
      <x:c r="H441" s="21"/>
      <x:c r="I441" s="29" t="str">
        <x:f>IF(OR(G441="",H441=""),"",G441&amp;"|"&amp;TEXT(H441,"000"))</x:f>
      </x:c>
      <x:c r="J441" s="21"/>
      <x:c r="K441" s="21"/>
      <x:c r="L441" s="21"/>
      <x:c r="M441" s="23"/>
      <x:c r="N441" s="23"/>
      <x:c r="O441" s="23"/>
      <x:c r="P441" s="21"/>
      <x:c r="Q441" s="29" t="str">
        <x:f>IF(P441="","",IFERROR(INDEX(DM_MA_LOI!$B$6:$B$105,MATCH(P441,DM_MA_LOI!$A$6:$A$105,0)),""))</x:f>
      </x:c>
      <x:c r="R441" s="29" t="str">
        <x:f>IF(P441="","",IFERROR(INDEX(DM_MA_LOI!$E$6:$E$105,MATCH(P441,DM_MA_LOI!$A$6:$A$105,0)),""))</x:f>
      </x:c>
      <x:c r="S441" s="29" t="str">
        <x:f>IF(P441="","",IFERROR(INDEX(DM_MA_LOI!$F$6:$F$105,MATCH(P441,DM_MA_LOI!$A$6:$A$105,0)),""))</x:f>
      </x:c>
      <x:c r="T441" s="21"/>
      <x:c r="U441" s="21"/>
      <x:c r="V441" s="21"/>
      <x:c r="W441" s="21"/>
      <x:c r="X441" s="21"/>
      <x:c r="Y441" s="21"/>
      <x:c r="Z441" s="21"/>
      <x:c r="AA441" s="29" t="str">
        <x:f>IF(A441="","",IF(OR(B441="",C441="",D441="",H441="",K441="",L441=""),"Thiếu dữ liệu",IF(M441&lt;&gt;N441+O441,"Sai cân đối SL",IF(AND(O441&gt;0,P441=""),"Thiếu mã lỗi","Hợp lệ"))))</x:f>
      </x:c>
    </x:row>
    <x:row r="442">
      <x:c r="A442" s="21"/>
      <x:c r="B442" s="43"/>
      <x:c r="C442" s="21"/>
      <x:c r="D442" s="21"/>
      <x:c r="E442" s="21"/>
      <x:c r="F442" s="21"/>
      <x:c r="G442" s="29" t="str">
        <x:f>IF(OR(C442="",D442=""),"",C442&amp;"|"&amp;D442&amp;"|"&amp;IF(E442="","00",E442)&amp;"|"&amp;IF(F442="","01",F442))</x:f>
      </x:c>
      <x:c r="H442" s="21"/>
      <x:c r="I442" s="29" t="str">
        <x:f>IF(OR(G442="",H442=""),"",G442&amp;"|"&amp;TEXT(H442,"000"))</x:f>
      </x:c>
      <x:c r="J442" s="21"/>
      <x:c r="K442" s="21"/>
      <x:c r="L442" s="21"/>
      <x:c r="M442" s="23"/>
      <x:c r="N442" s="23"/>
      <x:c r="O442" s="23"/>
      <x:c r="P442" s="21"/>
      <x:c r="Q442" s="29" t="str">
        <x:f>IF(P442="","",IFERROR(INDEX(DM_MA_LOI!$B$6:$B$105,MATCH(P442,DM_MA_LOI!$A$6:$A$105,0)),""))</x:f>
      </x:c>
      <x:c r="R442" s="29" t="str">
        <x:f>IF(P442="","",IFERROR(INDEX(DM_MA_LOI!$E$6:$E$105,MATCH(P442,DM_MA_LOI!$A$6:$A$105,0)),""))</x:f>
      </x:c>
      <x:c r="S442" s="29" t="str">
        <x:f>IF(P442="","",IFERROR(INDEX(DM_MA_LOI!$F$6:$F$105,MATCH(P442,DM_MA_LOI!$A$6:$A$105,0)),""))</x:f>
      </x:c>
      <x:c r="T442" s="21"/>
      <x:c r="U442" s="21"/>
      <x:c r="V442" s="21"/>
      <x:c r="W442" s="21"/>
      <x:c r="X442" s="21"/>
      <x:c r="Y442" s="21"/>
      <x:c r="Z442" s="21"/>
      <x:c r="AA442" s="29" t="str">
        <x:f>IF(A442="","",IF(OR(B442="",C442="",D442="",H442="",K442="",L442=""),"Thiếu dữ liệu",IF(M442&lt;&gt;N442+O442,"Sai cân đối SL",IF(AND(O442&gt;0,P442=""),"Thiếu mã lỗi","Hợp lệ"))))</x:f>
      </x:c>
    </x:row>
    <x:row r="443">
      <x:c r="A443" s="21"/>
      <x:c r="B443" s="43"/>
      <x:c r="C443" s="21"/>
      <x:c r="D443" s="21"/>
      <x:c r="E443" s="21"/>
      <x:c r="F443" s="21"/>
      <x:c r="G443" s="29" t="str">
        <x:f>IF(OR(C443="",D443=""),"",C443&amp;"|"&amp;D443&amp;"|"&amp;IF(E443="","00",E443)&amp;"|"&amp;IF(F443="","01",F443))</x:f>
      </x:c>
      <x:c r="H443" s="21"/>
      <x:c r="I443" s="29" t="str">
        <x:f>IF(OR(G443="",H443=""),"",G443&amp;"|"&amp;TEXT(H443,"000"))</x:f>
      </x:c>
      <x:c r="J443" s="21"/>
      <x:c r="K443" s="21"/>
      <x:c r="L443" s="21"/>
      <x:c r="M443" s="23"/>
      <x:c r="N443" s="23"/>
      <x:c r="O443" s="23"/>
      <x:c r="P443" s="21"/>
      <x:c r="Q443" s="29" t="str">
        <x:f>IF(P443="","",IFERROR(INDEX(DM_MA_LOI!$B$6:$B$105,MATCH(P443,DM_MA_LOI!$A$6:$A$105,0)),""))</x:f>
      </x:c>
      <x:c r="R443" s="29" t="str">
        <x:f>IF(P443="","",IFERROR(INDEX(DM_MA_LOI!$E$6:$E$105,MATCH(P443,DM_MA_LOI!$A$6:$A$105,0)),""))</x:f>
      </x:c>
      <x:c r="S443" s="29" t="str">
        <x:f>IF(P443="","",IFERROR(INDEX(DM_MA_LOI!$F$6:$F$105,MATCH(P443,DM_MA_LOI!$A$6:$A$105,0)),""))</x:f>
      </x:c>
      <x:c r="T443" s="21"/>
      <x:c r="U443" s="21"/>
      <x:c r="V443" s="21"/>
      <x:c r="W443" s="21"/>
      <x:c r="X443" s="21"/>
      <x:c r="Y443" s="21"/>
      <x:c r="Z443" s="21"/>
      <x:c r="AA443" s="29" t="str">
        <x:f>IF(A443="","",IF(OR(B443="",C443="",D443="",H443="",K443="",L443=""),"Thiếu dữ liệu",IF(M443&lt;&gt;N443+O443,"Sai cân đối SL",IF(AND(O443&gt;0,P443=""),"Thiếu mã lỗi","Hợp lệ"))))</x:f>
      </x:c>
    </x:row>
    <x:row r="444">
      <x:c r="A444" s="21"/>
      <x:c r="B444" s="43"/>
      <x:c r="C444" s="21"/>
      <x:c r="D444" s="21"/>
      <x:c r="E444" s="21"/>
      <x:c r="F444" s="21"/>
      <x:c r="G444" s="29" t="str">
        <x:f>IF(OR(C444="",D444=""),"",C444&amp;"|"&amp;D444&amp;"|"&amp;IF(E444="","00",E444)&amp;"|"&amp;IF(F444="","01",F444))</x:f>
      </x:c>
      <x:c r="H444" s="21"/>
      <x:c r="I444" s="29" t="str">
        <x:f>IF(OR(G444="",H444=""),"",G444&amp;"|"&amp;TEXT(H444,"000"))</x:f>
      </x:c>
      <x:c r="J444" s="21"/>
      <x:c r="K444" s="21"/>
      <x:c r="L444" s="21"/>
      <x:c r="M444" s="23"/>
      <x:c r="N444" s="23"/>
      <x:c r="O444" s="23"/>
      <x:c r="P444" s="21"/>
      <x:c r="Q444" s="29" t="str">
        <x:f>IF(P444="","",IFERROR(INDEX(DM_MA_LOI!$B$6:$B$105,MATCH(P444,DM_MA_LOI!$A$6:$A$105,0)),""))</x:f>
      </x:c>
      <x:c r="R444" s="29" t="str">
        <x:f>IF(P444="","",IFERROR(INDEX(DM_MA_LOI!$E$6:$E$105,MATCH(P444,DM_MA_LOI!$A$6:$A$105,0)),""))</x:f>
      </x:c>
      <x:c r="S444" s="29" t="str">
        <x:f>IF(P444="","",IFERROR(INDEX(DM_MA_LOI!$F$6:$F$105,MATCH(P444,DM_MA_LOI!$A$6:$A$105,0)),""))</x:f>
      </x:c>
      <x:c r="T444" s="21"/>
      <x:c r="U444" s="21"/>
      <x:c r="V444" s="21"/>
      <x:c r="W444" s="21"/>
      <x:c r="X444" s="21"/>
      <x:c r="Y444" s="21"/>
      <x:c r="Z444" s="21"/>
      <x:c r="AA444" s="29" t="str">
        <x:f>IF(A444="","",IF(OR(B444="",C444="",D444="",H444="",K444="",L444=""),"Thiếu dữ liệu",IF(M444&lt;&gt;N444+O444,"Sai cân đối SL",IF(AND(O444&gt;0,P444=""),"Thiếu mã lỗi","Hợp lệ"))))</x:f>
      </x:c>
    </x:row>
    <x:row r="445">
      <x:c r="A445" s="21"/>
      <x:c r="B445" s="43"/>
      <x:c r="C445" s="21"/>
      <x:c r="D445" s="21"/>
      <x:c r="E445" s="21"/>
      <x:c r="F445" s="21"/>
      <x:c r="G445" s="29" t="str">
        <x:f>IF(OR(C445="",D445=""),"",C445&amp;"|"&amp;D445&amp;"|"&amp;IF(E445="","00",E445)&amp;"|"&amp;IF(F445="","01",F445))</x:f>
      </x:c>
      <x:c r="H445" s="21"/>
      <x:c r="I445" s="29" t="str">
        <x:f>IF(OR(G445="",H445=""),"",G445&amp;"|"&amp;TEXT(H445,"000"))</x:f>
      </x:c>
      <x:c r="J445" s="21"/>
      <x:c r="K445" s="21"/>
      <x:c r="L445" s="21"/>
      <x:c r="M445" s="23"/>
      <x:c r="N445" s="23"/>
      <x:c r="O445" s="23"/>
      <x:c r="P445" s="21"/>
      <x:c r="Q445" s="29" t="str">
        <x:f>IF(P445="","",IFERROR(INDEX(DM_MA_LOI!$B$6:$B$105,MATCH(P445,DM_MA_LOI!$A$6:$A$105,0)),""))</x:f>
      </x:c>
      <x:c r="R445" s="29" t="str">
        <x:f>IF(P445="","",IFERROR(INDEX(DM_MA_LOI!$E$6:$E$105,MATCH(P445,DM_MA_LOI!$A$6:$A$105,0)),""))</x:f>
      </x:c>
      <x:c r="S445" s="29" t="str">
        <x:f>IF(P445="","",IFERROR(INDEX(DM_MA_LOI!$F$6:$F$105,MATCH(P445,DM_MA_LOI!$A$6:$A$105,0)),""))</x:f>
      </x:c>
      <x:c r="T445" s="21"/>
      <x:c r="U445" s="21"/>
      <x:c r="V445" s="21"/>
      <x:c r="W445" s="21"/>
      <x:c r="X445" s="21"/>
      <x:c r="Y445" s="21"/>
      <x:c r="Z445" s="21"/>
      <x:c r="AA445" s="29" t="str">
        <x:f>IF(A445="","",IF(OR(B445="",C445="",D445="",H445="",K445="",L445=""),"Thiếu dữ liệu",IF(M445&lt;&gt;N445+O445,"Sai cân đối SL",IF(AND(O445&gt;0,P445=""),"Thiếu mã lỗi","Hợp lệ"))))</x:f>
      </x:c>
    </x:row>
    <x:row r="446">
      <x:c r="A446" s="21"/>
      <x:c r="B446" s="43"/>
      <x:c r="C446" s="21"/>
      <x:c r="D446" s="21"/>
      <x:c r="E446" s="21"/>
      <x:c r="F446" s="21"/>
      <x:c r="G446" s="29" t="str">
        <x:f>IF(OR(C446="",D446=""),"",C446&amp;"|"&amp;D446&amp;"|"&amp;IF(E446="","00",E446)&amp;"|"&amp;IF(F446="","01",F446))</x:f>
      </x:c>
      <x:c r="H446" s="21"/>
      <x:c r="I446" s="29" t="str">
        <x:f>IF(OR(G446="",H446=""),"",G446&amp;"|"&amp;TEXT(H446,"000"))</x:f>
      </x:c>
      <x:c r="J446" s="21"/>
      <x:c r="K446" s="21"/>
      <x:c r="L446" s="21"/>
      <x:c r="M446" s="23"/>
      <x:c r="N446" s="23"/>
      <x:c r="O446" s="23"/>
      <x:c r="P446" s="21"/>
      <x:c r="Q446" s="29" t="str">
        <x:f>IF(P446="","",IFERROR(INDEX(DM_MA_LOI!$B$6:$B$105,MATCH(P446,DM_MA_LOI!$A$6:$A$105,0)),""))</x:f>
      </x:c>
      <x:c r="R446" s="29" t="str">
        <x:f>IF(P446="","",IFERROR(INDEX(DM_MA_LOI!$E$6:$E$105,MATCH(P446,DM_MA_LOI!$A$6:$A$105,0)),""))</x:f>
      </x:c>
      <x:c r="S446" s="29" t="str">
        <x:f>IF(P446="","",IFERROR(INDEX(DM_MA_LOI!$F$6:$F$105,MATCH(P446,DM_MA_LOI!$A$6:$A$105,0)),""))</x:f>
      </x:c>
      <x:c r="T446" s="21"/>
      <x:c r="U446" s="21"/>
      <x:c r="V446" s="21"/>
      <x:c r="W446" s="21"/>
      <x:c r="X446" s="21"/>
      <x:c r="Y446" s="21"/>
      <x:c r="Z446" s="21"/>
      <x:c r="AA446" s="29" t="str">
        <x:f>IF(A446="","",IF(OR(B446="",C446="",D446="",H446="",K446="",L446=""),"Thiếu dữ liệu",IF(M446&lt;&gt;N446+O446,"Sai cân đối SL",IF(AND(O446&gt;0,P446=""),"Thiếu mã lỗi","Hợp lệ"))))</x:f>
      </x:c>
    </x:row>
    <x:row r="447">
      <x:c r="A447" s="21"/>
      <x:c r="B447" s="43"/>
      <x:c r="C447" s="21"/>
      <x:c r="D447" s="21"/>
      <x:c r="E447" s="21"/>
      <x:c r="F447" s="21"/>
      <x:c r="G447" s="29" t="str">
        <x:f>IF(OR(C447="",D447=""),"",C447&amp;"|"&amp;D447&amp;"|"&amp;IF(E447="","00",E447)&amp;"|"&amp;IF(F447="","01",F447))</x:f>
      </x:c>
      <x:c r="H447" s="21"/>
      <x:c r="I447" s="29" t="str">
        <x:f>IF(OR(G447="",H447=""),"",G447&amp;"|"&amp;TEXT(H447,"000"))</x:f>
      </x:c>
      <x:c r="J447" s="21"/>
      <x:c r="K447" s="21"/>
      <x:c r="L447" s="21"/>
      <x:c r="M447" s="23"/>
      <x:c r="N447" s="23"/>
      <x:c r="O447" s="23"/>
      <x:c r="P447" s="21"/>
      <x:c r="Q447" s="29" t="str">
        <x:f>IF(P447="","",IFERROR(INDEX(DM_MA_LOI!$B$6:$B$105,MATCH(P447,DM_MA_LOI!$A$6:$A$105,0)),""))</x:f>
      </x:c>
      <x:c r="R447" s="29" t="str">
        <x:f>IF(P447="","",IFERROR(INDEX(DM_MA_LOI!$E$6:$E$105,MATCH(P447,DM_MA_LOI!$A$6:$A$105,0)),""))</x:f>
      </x:c>
      <x:c r="S447" s="29" t="str">
        <x:f>IF(P447="","",IFERROR(INDEX(DM_MA_LOI!$F$6:$F$105,MATCH(P447,DM_MA_LOI!$A$6:$A$105,0)),""))</x:f>
      </x:c>
      <x:c r="T447" s="21"/>
      <x:c r="U447" s="21"/>
      <x:c r="V447" s="21"/>
      <x:c r="W447" s="21"/>
      <x:c r="X447" s="21"/>
      <x:c r="Y447" s="21"/>
      <x:c r="Z447" s="21"/>
      <x:c r="AA447" s="29" t="str">
        <x:f>IF(A447="","",IF(OR(B447="",C447="",D447="",H447="",K447="",L447=""),"Thiếu dữ liệu",IF(M447&lt;&gt;N447+O447,"Sai cân đối SL",IF(AND(O447&gt;0,P447=""),"Thiếu mã lỗi","Hợp lệ"))))</x:f>
      </x:c>
    </x:row>
    <x:row r="448">
      <x:c r="A448" s="21"/>
      <x:c r="B448" s="43"/>
      <x:c r="C448" s="21"/>
      <x:c r="D448" s="21"/>
      <x:c r="E448" s="21"/>
      <x:c r="F448" s="21"/>
      <x:c r="G448" s="29" t="str">
        <x:f>IF(OR(C448="",D448=""),"",C448&amp;"|"&amp;D448&amp;"|"&amp;IF(E448="","00",E448)&amp;"|"&amp;IF(F448="","01",F448))</x:f>
      </x:c>
      <x:c r="H448" s="21"/>
      <x:c r="I448" s="29" t="str">
        <x:f>IF(OR(G448="",H448=""),"",G448&amp;"|"&amp;TEXT(H448,"000"))</x:f>
      </x:c>
      <x:c r="J448" s="21"/>
      <x:c r="K448" s="21"/>
      <x:c r="L448" s="21"/>
      <x:c r="M448" s="23"/>
      <x:c r="N448" s="23"/>
      <x:c r="O448" s="23"/>
      <x:c r="P448" s="21"/>
      <x:c r="Q448" s="29" t="str">
        <x:f>IF(P448="","",IFERROR(INDEX(DM_MA_LOI!$B$6:$B$105,MATCH(P448,DM_MA_LOI!$A$6:$A$105,0)),""))</x:f>
      </x:c>
      <x:c r="R448" s="29" t="str">
        <x:f>IF(P448="","",IFERROR(INDEX(DM_MA_LOI!$E$6:$E$105,MATCH(P448,DM_MA_LOI!$A$6:$A$105,0)),""))</x:f>
      </x:c>
      <x:c r="S448" s="29" t="str">
        <x:f>IF(P448="","",IFERROR(INDEX(DM_MA_LOI!$F$6:$F$105,MATCH(P448,DM_MA_LOI!$A$6:$A$105,0)),""))</x:f>
      </x:c>
      <x:c r="T448" s="21"/>
      <x:c r="U448" s="21"/>
      <x:c r="V448" s="21"/>
      <x:c r="W448" s="21"/>
      <x:c r="X448" s="21"/>
      <x:c r="Y448" s="21"/>
      <x:c r="Z448" s="21"/>
      <x:c r="AA448" s="29" t="str">
        <x:f>IF(A448="","",IF(OR(B448="",C448="",D448="",H448="",K448="",L448=""),"Thiếu dữ liệu",IF(M448&lt;&gt;N448+O448,"Sai cân đối SL",IF(AND(O448&gt;0,P448=""),"Thiếu mã lỗi","Hợp lệ"))))</x:f>
      </x:c>
    </x:row>
    <x:row r="449">
      <x:c r="A449" s="21"/>
      <x:c r="B449" s="43"/>
      <x:c r="C449" s="21"/>
      <x:c r="D449" s="21"/>
      <x:c r="E449" s="21"/>
      <x:c r="F449" s="21"/>
      <x:c r="G449" s="29" t="str">
        <x:f>IF(OR(C449="",D449=""),"",C449&amp;"|"&amp;D449&amp;"|"&amp;IF(E449="","00",E449)&amp;"|"&amp;IF(F449="","01",F449))</x:f>
      </x:c>
      <x:c r="H449" s="21"/>
      <x:c r="I449" s="29" t="str">
        <x:f>IF(OR(G449="",H449=""),"",G449&amp;"|"&amp;TEXT(H449,"000"))</x:f>
      </x:c>
      <x:c r="J449" s="21"/>
      <x:c r="K449" s="21"/>
      <x:c r="L449" s="21"/>
      <x:c r="M449" s="23"/>
      <x:c r="N449" s="23"/>
      <x:c r="O449" s="23"/>
      <x:c r="P449" s="21"/>
      <x:c r="Q449" s="29" t="str">
        <x:f>IF(P449="","",IFERROR(INDEX(DM_MA_LOI!$B$6:$B$105,MATCH(P449,DM_MA_LOI!$A$6:$A$105,0)),""))</x:f>
      </x:c>
      <x:c r="R449" s="29" t="str">
        <x:f>IF(P449="","",IFERROR(INDEX(DM_MA_LOI!$E$6:$E$105,MATCH(P449,DM_MA_LOI!$A$6:$A$105,0)),""))</x:f>
      </x:c>
      <x:c r="S449" s="29" t="str">
        <x:f>IF(P449="","",IFERROR(INDEX(DM_MA_LOI!$F$6:$F$105,MATCH(P449,DM_MA_LOI!$A$6:$A$105,0)),""))</x:f>
      </x:c>
      <x:c r="T449" s="21"/>
      <x:c r="U449" s="21"/>
      <x:c r="V449" s="21"/>
      <x:c r="W449" s="21"/>
      <x:c r="X449" s="21"/>
      <x:c r="Y449" s="21"/>
      <x:c r="Z449" s="21"/>
      <x:c r="AA449" s="29" t="str">
        <x:f>IF(A449="","",IF(OR(B449="",C449="",D449="",H449="",K449="",L449=""),"Thiếu dữ liệu",IF(M449&lt;&gt;N449+O449,"Sai cân đối SL",IF(AND(O449&gt;0,P449=""),"Thiếu mã lỗi","Hợp lệ"))))</x:f>
      </x:c>
    </x:row>
    <x:row r="450">
      <x:c r="A450" s="21"/>
      <x:c r="B450" s="43"/>
      <x:c r="C450" s="21"/>
      <x:c r="D450" s="21"/>
      <x:c r="E450" s="21"/>
      <x:c r="F450" s="21"/>
      <x:c r="G450" s="29" t="str">
        <x:f>IF(OR(C450="",D450=""),"",C450&amp;"|"&amp;D450&amp;"|"&amp;IF(E450="","00",E450)&amp;"|"&amp;IF(F450="","01",F450))</x:f>
      </x:c>
      <x:c r="H450" s="21"/>
      <x:c r="I450" s="29" t="str">
        <x:f>IF(OR(G450="",H450=""),"",G450&amp;"|"&amp;TEXT(H450,"000"))</x:f>
      </x:c>
      <x:c r="J450" s="21"/>
      <x:c r="K450" s="21"/>
      <x:c r="L450" s="21"/>
      <x:c r="M450" s="23"/>
      <x:c r="N450" s="23"/>
      <x:c r="O450" s="23"/>
      <x:c r="P450" s="21"/>
      <x:c r="Q450" s="29" t="str">
        <x:f>IF(P450="","",IFERROR(INDEX(DM_MA_LOI!$B$6:$B$105,MATCH(P450,DM_MA_LOI!$A$6:$A$105,0)),""))</x:f>
      </x:c>
      <x:c r="R450" s="29" t="str">
        <x:f>IF(P450="","",IFERROR(INDEX(DM_MA_LOI!$E$6:$E$105,MATCH(P450,DM_MA_LOI!$A$6:$A$105,0)),""))</x:f>
      </x:c>
      <x:c r="S450" s="29" t="str">
        <x:f>IF(P450="","",IFERROR(INDEX(DM_MA_LOI!$F$6:$F$105,MATCH(P450,DM_MA_LOI!$A$6:$A$105,0)),""))</x:f>
      </x:c>
      <x:c r="T450" s="21"/>
      <x:c r="U450" s="21"/>
      <x:c r="V450" s="21"/>
      <x:c r="W450" s="21"/>
      <x:c r="X450" s="21"/>
      <x:c r="Y450" s="21"/>
      <x:c r="Z450" s="21"/>
      <x:c r="AA450" s="29" t="str">
        <x:f>IF(A450="","",IF(OR(B450="",C450="",D450="",H450="",K450="",L450=""),"Thiếu dữ liệu",IF(M450&lt;&gt;N450+O450,"Sai cân đối SL",IF(AND(O450&gt;0,P450=""),"Thiếu mã lỗi","Hợp lệ"))))</x:f>
      </x:c>
    </x:row>
    <x:row r="451">
      <x:c r="A451" s="21"/>
      <x:c r="B451" s="43"/>
      <x:c r="C451" s="21"/>
      <x:c r="D451" s="21"/>
      <x:c r="E451" s="21"/>
      <x:c r="F451" s="21"/>
      <x:c r="G451" s="29" t="str">
        <x:f>IF(OR(C451="",D451=""),"",C451&amp;"|"&amp;D451&amp;"|"&amp;IF(E451="","00",E451)&amp;"|"&amp;IF(F451="","01",F451))</x:f>
      </x:c>
      <x:c r="H451" s="21"/>
      <x:c r="I451" s="29" t="str">
        <x:f>IF(OR(G451="",H451=""),"",G451&amp;"|"&amp;TEXT(H451,"000"))</x:f>
      </x:c>
      <x:c r="J451" s="21"/>
      <x:c r="K451" s="21"/>
      <x:c r="L451" s="21"/>
      <x:c r="M451" s="23"/>
      <x:c r="N451" s="23"/>
      <x:c r="O451" s="23"/>
      <x:c r="P451" s="21"/>
      <x:c r="Q451" s="29" t="str">
        <x:f>IF(P451="","",IFERROR(INDEX(DM_MA_LOI!$B$6:$B$105,MATCH(P451,DM_MA_LOI!$A$6:$A$105,0)),""))</x:f>
      </x:c>
      <x:c r="R451" s="29" t="str">
        <x:f>IF(P451="","",IFERROR(INDEX(DM_MA_LOI!$E$6:$E$105,MATCH(P451,DM_MA_LOI!$A$6:$A$105,0)),""))</x:f>
      </x:c>
      <x:c r="S451" s="29" t="str">
        <x:f>IF(P451="","",IFERROR(INDEX(DM_MA_LOI!$F$6:$F$105,MATCH(P451,DM_MA_LOI!$A$6:$A$105,0)),""))</x:f>
      </x:c>
      <x:c r="T451" s="21"/>
      <x:c r="U451" s="21"/>
      <x:c r="V451" s="21"/>
      <x:c r="W451" s="21"/>
      <x:c r="X451" s="21"/>
      <x:c r="Y451" s="21"/>
      <x:c r="Z451" s="21"/>
      <x:c r="AA451" s="29" t="str">
        <x:f>IF(A451="","",IF(OR(B451="",C451="",D451="",H451="",K451="",L451=""),"Thiếu dữ liệu",IF(M451&lt;&gt;N451+O451,"Sai cân đối SL",IF(AND(O451&gt;0,P451=""),"Thiếu mã lỗi","Hợp lệ"))))</x:f>
      </x:c>
    </x:row>
    <x:row r="452">
      <x:c r="A452" s="21"/>
      <x:c r="B452" s="43"/>
      <x:c r="C452" s="21"/>
      <x:c r="D452" s="21"/>
      <x:c r="E452" s="21"/>
      <x:c r="F452" s="21"/>
      <x:c r="G452" s="29" t="str">
        <x:f>IF(OR(C452="",D452=""),"",C452&amp;"|"&amp;D452&amp;"|"&amp;IF(E452="","00",E452)&amp;"|"&amp;IF(F452="","01",F452))</x:f>
      </x:c>
      <x:c r="H452" s="21"/>
      <x:c r="I452" s="29" t="str">
        <x:f>IF(OR(G452="",H452=""),"",G452&amp;"|"&amp;TEXT(H452,"000"))</x:f>
      </x:c>
      <x:c r="J452" s="21"/>
      <x:c r="K452" s="21"/>
      <x:c r="L452" s="21"/>
      <x:c r="M452" s="23"/>
      <x:c r="N452" s="23"/>
      <x:c r="O452" s="23"/>
      <x:c r="P452" s="21"/>
      <x:c r="Q452" s="29" t="str">
        <x:f>IF(P452="","",IFERROR(INDEX(DM_MA_LOI!$B$6:$B$105,MATCH(P452,DM_MA_LOI!$A$6:$A$105,0)),""))</x:f>
      </x:c>
      <x:c r="R452" s="29" t="str">
        <x:f>IF(P452="","",IFERROR(INDEX(DM_MA_LOI!$E$6:$E$105,MATCH(P452,DM_MA_LOI!$A$6:$A$105,0)),""))</x:f>
      </x:c>
      <x:c r="S452" s="29" t="str">
        <x:f>IF(P452="","",IFERROR(INDEX(DM_MA_LOI!$F$6:$F$105,MATCH(P452,DM_MA_LOI!$A$6:$A$105,0)),""))</x:f>
      </x:c>
      <x:c r="T452" s="21"/>
      <x:c r="U452" s="21"/>
      <x:c r="V452" s="21"/>
      <x:c r="W452" s="21"/>
      <x:c r="X452" s="21"/>
      <x:c r="Y452" s="21"/>
      <x:c r="Z452" s="21"/>
      <x:c r="AA452" s="29" t="str">
        <x:f>IF(A452="","",IF(OR(B452="",C452="",D452="",H452="",K452="",L452=""),"Thiếu dữ liệu",IF(M452&lt;&gt;N452+O452,"Sai cân đối SL",IF(AND(O452&gt;0,P452=""),"Thiếu mã lỗi","Hợp lệ"))))</x:f>
      </x:c>
    </x:row>
    <x:row r="453">
      <x:c r="A453" s="21"/>
      <x:c r="B453" s="43"/>
      <x:c r="C453" s="21"/>
      <x:c r="D453" s="21"/>
      <x:c r="E453" s="21"/>
      <x:c r="F453" s="21"/>
      <x:c r="G453" s="29" t="str">
        <x:f>IF(OR(C453="",D453=""),"",C453&amp;"|"&amp;D453&amp;"|"&amp;IF(E453="","00",E453)&amp;"|"&amp;IF(F453="","01",F453))</x:f>
      </x:c>
      <x:c r="H453" s="21"/>
      <x:c r="I453" s="29" t="str">
        <x:f>IF(OR(G453="",H453=""),"",G453&amp;"|"&amp;TEXT(H453,"000"))</x:f>
      </x:c>
      <x:c r="J453" s="21"/>
      <x:c r="K453" s="21"/>
      <x:c r="L453" s="21"/>
      <x:c r="M453" s="23"/>
      <x:c r="N453" s="23"/>
      <x:c r="O453" s="23"/>
      <x:c r="P453" s="21"/>
      <x:c r="Q453" s="29" t="str">
        <x:f>IF(P453="","",IFERROR(INDEX(DM_MA_LOI!$B$6:$B$105,MATCH(P453,DM_MA_LOI!$A$6:$A$105,0)),""))</x:f>
      </x:c>
      <x:c r="R453" s="29" t="str">
        <x:f>IF(P453="","",IFERROR(INDEX(DM_MA_LOI!$E$6:$E$105,MATCH(P453,DM_MA_LOI!$A$6:$A$105,0)),""))</x:f>
      </x:c>
      <x:c r="S453" s="29" t="str">
        <x:f>IF(P453="","",IFERROR(INDEX(DM_MA_LOI!$F$6:$F$105,MATCH(P453,DM_MA_LOI!$A$6:$A$105,0)),""))</x:f>
      </x:c>
      <x:c r="T453" s="21"/>
      <x:c r="U453" s="21"/>
      <x:c r="V453" s="21"/>
      <x:c r="W453" s="21"/>
      <x:c r="X453" s="21"/>
      <x:c r="Y453" s="21"/>
      <x:c r="Z453" s="21"/>
      <x:c r="AA453" s="29" t="str">
        <x:f>IF(A453="","",IF(OR(B453="",C453="",D453="",H453="",K453="",L453=""),"Thiếu dữ liệu",IF(M453&lt;&gt;N453+O453,"Sai cân đối SL",IF(AND(O453&gt;0,P453=""),"Thiếu mã lỗi","Hợp lệ"))))</x:f>
      </x:c>
    </x:row>
    <x:row r="454">
      <x:c r="A454" s="21"/>
      <x:c r="B454" s="43"/>
      <x:c r="C454" s="21"/>
      <x:c r="D454" s="21"/>
      <x:c r="E454" s="21"/>
      <x:c r="F454" s="21"/>
      <x:c r="G454" s="29" t="str">
        <x:f>IF(OR(C454="",D454=""),"",C454&amp;"|"&amp;D454&amp;"|"&amp;IF(E454="","00",E454)&amp;"|"&amp;IF(F454="","01",F454))</x:f>
      </x:c>
      <x:c r="H454" s="21"/>
      <x:c r="I454" s="29" t="str">
        <x:f>IF(OR(G454="",H454=""),"",G454&amp;"|"&amp;TEXT(H454,"000"))</x:f>
      </x:c>
      <x:c r="J454" s="21"/>
      <x:c r="K454" s="21"/>
      <x:c r="L454" s="21"/>
      <x:c r="M454" s="23"/>
      <x:c r="N454" s="23"/>
      <x:c r="O454" s="23"/>
      <x:c r="P454" s="21"/>
      <x:c r="Q454" s="29" t="str">
        <x:f>IF(P454="","",IFERROR(INDEX(DM_MA_LOI!$B$6:$B$105,MATCH(P454,DM_MA_LOI!$A$6:$A$105,0)),""))</x:f>
      </x:c>
      <x:c r="R454" s="29" t="str">
        <x:f>IF(P454="","",IFERROR(INDEX(DM_MA_LOI!$E$6:$E$105,MATCH(P454,DM_MA_LOI!$A$6:$A$105,0)),""))</x:f>
      </x:c>
      <x:c r="S454" s="29" t="str">
        <x:f>IF(P454="","",IFERROR(INDEX(DM_MA_LOI!$F$6:$F$105,MATCH(P454,DM_MA_LOI!$A$6:$A$105,0)),""))</x:f>
      </x:c>
      <x:c r="T454" s="21"/>
      <x:c r="U454" s="21"/>
      <x:c r="V454" s="21"/>
      <x:c r="W454" s="21"/>
      <x:c r="X454" s="21"/>
      <x:c r="Y454" s="21"/>
      <x:c r="Z454" s="21"/>
      <x:c r="AA454" s="29" t="str">
        <x:f>IF(A454="","",IF(OR(B454="",C454="",D454="",H454="",K454="",L454=""),"Thiếu dữ liệu",IF(M454&lt;&gt;N454+O454,"Sai cân đối SL",IF(AND(O454&gt;0,P454=""),"Thiếu mã lỗi","Hợp lệ"))))</x:f>
      </x:c>
    </x:row>
    <x:row r="455">
      <x:c r="A455" s="21"/>
      <x:c r="B455" s="43"/>
      <x:c r="C455" s="21"/>
      <x:c r="D455" s="21"/>
      <x:c r="E455" s="21"/>
      <x:c r="F455" s="21"/>
      <x:c r="G455" s="29" t="str">
        <x:f>IF(OR(C455="",D455=""),"",C455&amp;"|"&amp;D455&amp;"|"&amp;IF(E455="","00",E455)&amp;"|"&amp;IF(F455="","01",F455))</x:f>
      </x:c>
      <x:c r="H455" s="21"/>
      <x:c r="I455" s="29" t="str">
        <x:f>IF(OR(G455="",H455=""),"",G455&amp;"|"&amp;TEXT(H455,"000"))</x:f>
      </x:c>
      <x:c r="J455" s="21"/>
      <x:c r="K455" s="21"/>
      <x:c r="L455" s="21"/>
      <x:c r="M455" s="23"/>
      <x:c r="N455" s="23"/>
      <x:c r="O455" s="23"/>
      <x:c r="P455" s="21"/>
      <x:c r="Q455" s="29" t="str">
        <x:f>IF(P455="","",IFERROR(INDEX(DM_MA_LOI!$B$6:$B$105,MATCH(P455,DM_MA_LOI!$A$6:$A$105,0)),""))</x:f>
      </x:c>
      <x:c r="R455" s="29" t="str">
        <x:f>IF(P455="","",IFERROR(INDEX(DM_MA_LOI!$E$6:$E$105,MATCH(P455,DM_MA_LOI!$A$6:$A$105,0)),""))</x:f>
      </x:c>
      <x:c r="S455" s="29" t="str">
        <x:f>IF(P455="","",IFERROR(INDEX(DM_MA_LOI!$F$6:$F$105,MATCH(P455,DM_MA_LOI!$A$6:$A$105,0)),""))</x:f>
      </x:c>
      <x:c r="T455" s="21"/>
      <x:c r="U455" s="21"/>
      <x:c r="V455" s="21"/>
      <x:c r="W455" s="21"/>
      <x:c r="X455" s="21"/>
      <x:c r="Y455" s="21"/>
      <x:c r="Z455" s="21"/>
      <x:c r="AA455" s="29" t="str">
        <x:f>IF(A455="","",IF(OR(B455="",C455="",D455="",H455="",K455="",L455=""),"Thiếu dữ liệu",IF(M455&lt;&gt;N455+O455,"Sai cân đối SL",IF(AND(O455&gt;0,P455=""),"Thiếu mã lỗi","Hợp lệ"))))</x:f>
      </x:c>
    </x:row>
    <x:row r="456">
      <x:c r="A456" s="21"/>
      <x:c r="B456" s="43"/>
      <x:c r="C456" s="21"/>
      <x:c r="D456" s="21"/>
      <x:c r="E456" s="21"/>
      <x:c r="F456" s="21"/>
      <x:c r="G456" s="29" t="str">
        <x:f>IF(OR(C456="",D456=""),"",C456&amp;"|"&amp;D456&amp;"|"&amp;IF(E456="","00",E456)&amp;"|"&amp;IF(F456="","01",F456))</x:f>
      </x:c>
      <x:c r="H456" s="21"/>
      <x:c r="I456" s="29" t="str">
        <x:f>IF(OR(G456="",H456=""),"",G456&amp;"|"&amp;TEXT(H456,"000"))</x:f>
      </x:c>
      <x:c r="J456" s="21"/>
      <x:c r="K456" s="21"/>
      <x:c r="L456" s="21"/>
      <x:c r="M456" s="23"/>
      <x:c r="N456" s="23"/>
      <x:c r="O456" s="23"/>
      <x:c r="P456" s="21"/>
      <x:c r="Q456" s="29" t="str">
        <x:f>IF(P456="","",IFERROR(INDEX(DM_MA_LOI!$B$6:$B$105,MATCH(P456,DM_MA_LOI!$A$6:$A$105,0)),""))</x:f>
      </x:c>
      <x:c r="R456" s="29" t="str">
        <x:f>IF(P456="","",IFERROR(INDEX(DM_MA_LOI!$E$6:$E$105,MATCH(P456,DM_MA_LOI!$A$6:$A$105,0)),""))</x:f>
      </x:c>
      <x:c r="S456" s="29" t="str">
        <x:f>IF(P456="","",IFERROR(INDEX(DM_MA_LOI!$F$6:$F$105,MATCH(P456,DM_MA_LOI!$A$6:$A$105,0)),""))</x:f>
      </x:c>
      <x:c r="T456" s="21"/>
      <x:c r="U456" s="21"/>
      <x:c r="V456" s="21"/>
      <x:c r="W456" s="21"/>
      <x:c r="X456" s="21"/>
      <x:c r="Y456" s="21"/>
      <x:c r="Z456" s="21"/>
      <x:c r="AA456" s="29" t="str">
        <x:f>IF(A456="","",IF(OR(B456="",C456="",D456="",H456="",K456="",L456=""),"Thiếu dữ liệu",IF(M456&lt;&gt;N456+O456,"Sai cân đối SL",IF(AND(O456&gt;0,P456=""),"Thiếu mã lỗi","Hợp lệ"))))</x:f>
      </x:c>
    </x:row>
    <x:row r="457">
      <x:c r="A457" s="21"/>
      <x:c r="B457" s="43"/>
      <x:c r="C457" s="21"/>
      <x:c r="D457" s="21"/>
      <x:c r="E457" s="21"/>
      <x:c r="F457" s="21"/>
      <x:c r="G457" s="29" t="str">
        <x:f>IF(OR(C457="",D457=""),"",C457&amp;"|"&amp;D457&amp;"|"&amp;IF(E457="","00",E457)&amp;"|"&amp;IF(F457="","01",F457))</x:f>
      </x:c>
      <x:c r="H457" s="21"/>
      <x:c r="I457" s="29" t="str">
        <x:f>IF(OR(G457="",H457=""),"",G457&amp;"|"&amp;TEXT(H457,"000"))</x:f>
      </x:c>
      <x:c r="J457" s="21"/>
      <x:c r="K457" s="21"/>
      <x:c r="L457" s="21"/>
      <x:c r="M457" s="23"/>
      <x:c r="N457" s="23"/>
      <x:c r="O457" s="23"/>
      <x:c r="P457" s="21"/>
      <x:c r="Q457" s="29" t="str">
        <x:f>IF(P457="","",IFERROR(INDEX(DM_MA_LOI!$B$6:$B$105,MATCH(P457,DM_MA_LOI!$A$6:$A$105,0)),""))</x:f>
      </x:c>
      <x:c r="R457" s="29" t="str">
        <x:f>IF(P457="","",IFERROR(INDEX(DM_MA_LOI!$E$6:$E$105,MATCH(P457,DM_MA_LOI!$A$6:$A$105,0)),""))</x:f>
      </x:c>
      <x:c r="S457" s="29" t="str">
        <x:f>IF(P457="","",IFERROR(INDEX(DM_MA_LOI!$F$6:$F$105,MATCH(P457,DM_MA_LOI!$A$6:$A$105,0)),""))</x:f>
      </x:c>
      <x:c r="T457" s="21"/>
      <x:c r="U457" s="21"/>
      <x:c r="V457" s="21"/>
      <x:c r="W457" s="21"/>
      <x:c r="X457" s="21"/>
      <x:c r="Y457" s="21"/>
      <x:c r="Z457" s="21"/>
      <x:c r="AA457" s="29" t="str">
        <x:f>IF(A457="","",IF(OR(B457="",C457="",D457="",H457="",K457="",L457=""),"Thiếu dữ liệu",IF(M457&lt;&gt;N457+O457,"Sai cân đối SL",IF(AND(O457&gt;0,P457=""),"Thiếu mã lỗi","Hợp lệ"))))</x:f>
      </x:c>
    </x:row>
    <x:row r="458">
      <x:c r="A458" s="21"/>
      <x:c r="B458" s="43"/>
      <x:c r="C458" s="21"/>
      <x:c r="D458" s="21"/>
      <x:c r="E458" s="21"/>
      <x:c r="F458" s="21"/>
      <x:c r="G458" s="29" t="str">
        <x:f>IF(OR(C458="",D458=""),"",C458&amp;"|"&amp;D458&amp;"|"&amp;IF(E458="","00",E458)&amp;"|"&amp;IF(F458="","01",F458))</x:f>
      </x:c>
      <x:c r="H458" s="21"/>
      <x:c r="I458" s="29" t="str">
        <x:f>IF(OR(G458="",H458=""),"",G458&amp;"|"&amp;TEXT(H458,"000"))</x:f>
      </x:c>
      <x:c r="J458" s="21"/>
      <x:c r="K458" s="21"/>
      <x:c r="L458" s="21"/>
      <x:c r="M458" s="23"/>
      <x:c r="N458" s="23"/>
      <x:c r="O458" s="23"/>
      <x:c r="P458" s="21"/>
      <x:c r="Q458" s="29" t="str">
        <x:f>IF(P458="","",IFERROR(INDEX(DM_MA_LOI!$B$6:$B$105,MATCH(P458,DM_MA_LOI!$A$6:$A$105,0)),""))</x:f>
      </x:c>
      <x:c r="R458" s="29" t="str">
        <x:f>IF(P458="","",IFERROR(INDEX(DM_MA_LOI!$E$6:$E$105,MATCH(P458,DM_MA_LOI!$A$6:$A$105,0)),""))</x:f>
      </x:c>
      <x:c r="S458" s="29" t="str">
        <x:f>IF(P458="","",IFERROR(INDEX(DM_MA_LOI!$F$6:$F$105,MATCH(P458,DM_MA_LOI!$A$6:$A$105,0)),""))</x:f>
      </x:c>
      <x:c r="T458" s="21"/>
      <x:c r="U458" s="21"/>
      <x:c r="V458" s="21"/>
      <x:c r="W458" s="21"/>
      <x:c r="X458" s="21"/>
      <x:c r="Y458" s="21"/>
      <x:c r="Z458" s="21"/>
      <x:c r="AA458" s="29" t="str">
        <x:f>IF(A458="","",IF(OR(B458="",C458="",D458="",H458="",K458="",L458=""),"Thiếu dữ liệu",IF(M458&lt;&gt;N458+O458,"Sai cân đối SL",IF(AND(O458&gt;0,P458=""),"Thiếu mã lỗi","Hợp lệ"))))</x:f>
      </x:c>
    </x:row>
    <x:row r="459">
      <x:c r="A459" s="21"/>
      <x:c r="B459" s="43"/>
      <x:c r="C459" s="21"/>
      <x:c r="D459" s="21"/>
      <x:c r="E459" s="21"/>
      <x:c r="F459" s="21"/>
      <x:c r="G459" s="29" t="str">
        <x:f>IF(OR(C459="",D459=""),"",C459&amp;"|"&amp;D459&amp;"|"&amp;IF(E459="","00",E459)&amp;"|"&amp;IF(F459="","01",F459))</x:f>
      </x:c>
      <x:c r="H459" s="21"/>
      <x:c r="I459" s="29" t="str">
        <x:f>IF(OR(G459="",H459=""),"",G459&amp;"|"&amp;TEXT(H459,"000"))</x:f>
      </x:c>
      <x:c r="J459" s="21"/>
      <x:c r="K459" s="21"/>
      <x:c r="L459" s="21"/>
      <x:c r="M459" s="23"/>
      <x:c r="N459" s="23"/>
      <x:c r="O459" s="23"/>
      <x:c r="P459" s="21"/>
      <x:c r="Q459" s="29" t="str">
        <x:f>IF(P459="","",IFERROR(INDEX(DM_MA_LOI!$B$6:$B$105,MATCH(P459,DM_MA_LOI!$A$6:$A$105,0)),""))</x:f>
      </x:c>
      <x:c r="R459" s="29" t="str">
        <x:f>IF(P459="","",IFERROR(INDEX(DM_MA_LOI!$E$6:$E$105,MATCH(P459,DM_MA_LOI!$A$6:$A$105,0)),""))</x:f>
      </x:c>
      <x:c r="S459" s="29" t="str">
        <x:f>IF(P459="","",IFERROR(INDEX(DM_MA_LOI!$F$6:$F$105,MATCH(P459,DM_MA_LOI!$A$6:$A$105,0)),""))</x:f>
      </x:c>
      <x:c r="T459" s="21"/>
      <x:c r="U459" s="21"/>
      <x:c r="V459" s="21"/>
      <x:c r="W459" s="21"/>
      <x:c r="X459" s="21"/>
      <x:c r="Y459" s="21"/>
      <x:c r="Z459" s="21"/>
      <x:c r="AA459" s="29" t="str">
        <x:f>IF(A459="","",IF(OR(B459="",C459="",D459="",H459="",K459="",L459=""),"Thiếu dữ liệu",IF(M459&lt;&gt;N459+O459,"Sai cân đối SL",IF(AND(O459&gt;0,P459=""),"Thiếu mã lỗi","Hợp lệ"))))</x:f>
      </x:c>
    </x:row>
    <x:row r="460">
      <x:c r="A460" s="21"/>
      <x:c r="B460" s="43"/>
      <x:c r="C460" s="21"/>
      <x:c r="D460" s="21"/>
      <x:c r="E460" s="21"/>
      <x:c r="F460" s="21"/>
      <x:c r="G460" s="29" t="str">
        <x:f>IF(OR(C460="",D460=""),"",C460&amp;"|"&amp;D460&amp;"|"&amp;IF(E460="","00",E460)&amp;"|"&amp;IF(F460="","01",F460))</x:f>
      </x:c>
      <x:c r="H460" s="21"/>
      <x:c r="I460" s="29" t="str">
        <x:f>IF(OR(G460="",H460=""),"",G460&amp;"|"&amp;TEXT(H460,"000"))</x:f>
      </x:c>
      <x:c r="J460" s="21"/>
      <x:c r="K460" s="21"/>
      <x:c r="L460" s="21"/>
      <x:c r="M460" s="23"/>
      <x:c r="N460" s="23"/>
      <x:c r="O460" s="23"/>
      <x:c r="P460" s="21"/>
      <x:c r="Q460" s="29" t="str">
        <x:f>IF(P460="","",IFERROR(INDEX(DM_MA_LOI!$B$6:$B$105,MATCH(P460,DM_MA_LOI!$A$6:$A$105,0)),""))</x:f>
      </x:c>
      <x:c r="R460" s="29" t="str">
        <x:f>IF(P460="","",IFERROR(INDEX(DM_MA_LOI!$E$6:$E$105,MATCH(P460,DM_MA_LOI!$A$6:$A$105,0)),""))</x:f>
      </x:c>
      <x:c r="S460" s="29" t="str">
        <x:f>IF(P460="","",IFERROR(INDEX(DM_MA_LOI!$F$6:$F$105,MATCH(P460,DM_MA_LOI!$A$6:$A$105,0)),""))</x:f>
      </x:c>
      <x:c r="T460" s="21"/>
      <x:c r="U460" s="21"/>
      <x:c r="V460" s="21"/>
      <x:c r="W460" s="21"/>
      <x:c r="X460" s="21"/>
      <x:c r="Y460" s="21"/>
      <x:c r="Z460" s="21"/>
      <x:c r="AA460" s="29" t="str">
        <x:f>IF(A460="","",IF(OR(B460="",C460="",D460="",H460="",K460="",L460=""),"Thiếu dữ liệu",IF(M460&lt;&gt;N460+O460,"Sai cân đối SL",IF(AND(O460&gt;0,P460=""),"Thiếu mã lỗi","Hợp lệ"))))</x:f>
      </x:c>
    </x:row>
    <x:row r="461">
      <x:c r="A461" s="21"/>
      <x:c r="B461" s="43"/>
      <x:c r="C461" s="21"/>
      <x:c r="D461" s="21"/>
      <x:c r="E461" s="21"/>
      <x:c r="F461" s="21"/>
      <x:c r="G461" s="29" t="str">
        <x:f>IF(OR(C461="",D461=""),"",C461&amp;"|"&amp;D461&amp;"|"&amp;IF(E461="","00",E461)&amp;"|"&amp;IF(F461="","01",F461))</x:f>
      </x:c>
      <x:c r="H461" s="21"/>
      <x:c r="I461" s="29" t="str">
        <x:f>IF(OR(G461="",H461=""),"",G461&amp;"|"&amp;TEXT(H461,"000"))</x:f>
      </x:c>
      <x:c r="J461" s="21"/>
      <x:c r="K461" s="21"/>
      <x:c r="L461" s="21"/>
      <x:c r="M461" s="23"/>
      <x:c r="N461" s="23"/>
      <x:c r="O461" s="23"/>
      <x:c r="P461" s="21"/>
      <x:c r="Q461" s="29" t="str">
        <x:f>IF(P461="","",IFERROR(INDEX(DM_MA_LOI!$B$6:$B$105,MATCH(P461,DM_MA_LOI!$A$6:$A$105,0)),""))</x:f>
      </x:c>
      <x:c r="R461" s="29" t="str">
        <x:f>IF(P461="","",IFERROR(INDEX(DM_MA_LOI!$E$6:$E$105,MATCH(P461,DM_MA_LOI!$A$6:$A$105,0)),""))</x:f>
      </x:c>
      <x:c r="S461" s="29" t="str">
        <x:f>IF(P461="","",IFERROR(INDEX(DM_MA_LOI!$F$6:$F$105,MATCH(P461,DM_MA_LOI!$A$6:$A$105,0)),""))</x:f>
      </x:c>
      <x:c r="T461" s="21"/>
      <x:c r="U461" s="21"/>
      <x:c r="V461" s="21"/>
      <x:c r="W461" s="21"/>
      <x:c r="X461" s="21"/>
      <x:c r="Y461" s="21"/>
      <x:c r="Z461" s="21"/>
      <x:c r="AA461" s="29" t="str">
        <x:f>IF(A461="","",IF(OR(B461="",C461="",D461="",H461="",K461="",L461=""),"Thiếu dữ liệu",IF(M461&lt;&gt;N461+O461,"Sai cân đối SL",IF(AND(O461&gt;0,P461=""),"Thiếu mã lỗi","Hợp lệ"))))</x:f>
      </x:c>
    </x:row>
    <x:row r="462">
      <x:c r="A462" s="21"/>
      <x:c r="B462" s="43"/>
      <x:c r="C462" s="21"/>
      <x:c r="D462" s="21"/>
      <x:c r="E462" s="21"/>
      <x:c r="F462" s="21"/>
      <x:c r="G462" s="29" t="str">
        <x:f>IF(OR(C462="",D462=""),"",C462&amp;"|"&amp;D462&amp;"|"&amp;IF(E462="","00",E462)&amp;"|"&amp;IF(F462="","01",F462))</x:f>
      </x:c>
      <x:c r="H462" s="21"/>
      <x:c r="I462" s="29" t="str">
        <x:f>IF(OR(G462="",H462=""),"",G462&amp;"|"&amp;TEXT(H462,"000"))</x:f>
      </x:c>
      <x:c r="J462" s="21"/>
      <x:c r="K462" s="21"/>
      <x:c r="L462" s="21"/>
      <x:c r="M462" s="23"/>
      <x:c r="N462" s="23"/>
      <x:c r="O462" s="23"/>
      <x:c r="P462" s="21"/>
      <x:c r="Q462" s="29" t="str">
        <x:f>IF(P462="","",IFERROR(INDEX(DM_MA_LOI!$B$6:$B$105,MATCH(P462,DM_MA_LOI!$A$6:$A$105,0)),""))</x:f>
      </x:c>
      <x:c r="R462" s="29" t="str">
        <x:f>IF(P462="","",IFERROR(INDEX(DM_MA_LOI!$E$6:$E$105,MATCH(P462,DM_MA_LOI!$A$6:$A$105,0)),""))</x:f>
      </x:c>
      <x:c r="S462" s="29" t="str">
        <x:f>IF(P462="","",IFERROR(INDEX(DM_MA_LOI!$F$6:$F$105,MATCH(P462,DM_MA_LOI!$A$6:$A$105,0)),""))</x:f>
      </x:c>
      <x:c r="T462" s="21"/>
      <x:c r="U462" s="21"/>
      <x:c r="V462" s="21"/>
      <x:c r="W462" s="21"/>
      <x:c r="X462" s="21"/>
      <x:c r="Y462" s="21"/>
      <x:c r="Z462" s="21"/>
      <x:c r="AA462" s="29" t="str">
        <x:f>IF(A462="","",IF(OR(B462="",C462="",D462="",H462="",K462="",L462=""),"Thiếu dữ liệu",IF(M462&lt;&gt;N462+O462,"Sai cân đối SL",IF(AND(O462&gt;0,P462=""),"Thiếu mã lỗi","Hợp lệ"))))</x:f>
      </x:c>
    </x:row>
    <x:row r="463">
      <x:c r="A463" s="21"/>
      <x:c r="B463" s="43"/>
      <x:c r="C463" s="21"/>
      <x:c r="D463" s="21"/>
      <x:c r="E463" s="21"/>
      <x:c r="F463" s="21"/>
      <x:c r="G463" s="29" t="str">
        <x:f>IF(OR(C463="",D463=""),"",C463&amp;"|"&amp;D463&amp;"|"&amp;IF(E463="","00",E463)&amp;"|"&amp;IF(F463="","01",F463))</x:f>
      </x:c>
      <x:c r="H463" s="21"/>
      <x:c r="I463" s="29" t="str">
        <x:f>IF(OR(G463="",H463=""),"",G463&amp;"|"&amp;TEXT(H463,"000"))</x:f>
      </x:c>
      <x:c r="J463" s="21"/>
      <x:c r="K463" s="21"/>
      <x:c r="L463" s="21"/>
      <x:c r="M463" s="23"/>
      <x:c r="N463" s="23"/>
      <x:c r="O463" s="23"/>
      <x:c r="P463" s="21"/>
      <x:c r="Q463" s="29" t="str">
        <x:f>IF(P463="","",IFERROR(INDEX(DM_MA_LOI!$B$6:$B$105,MATCH(P463,DM_MA_LOI!$A$6:$A$105,0)),""))</x:f>
      </x:c>
      <x:c r="R463" s="29" t="str">
        <x:f>IF(P463="","",IFERROR(INDEX(DM_MA_LOI!$E$6:$E$105,MATCH(P463,DM_MA_LOI!$A$6:$A$105,0)),""))</x:f>
      </x:c>
      <x:c r="S463" s="29" t="str">
        <x:f>IF(P463="","",IFERROR(INDEX(DM_MA_LOI!$F$6:$F$105,MATCH(P463,DM_MA_LOI!$A$6:$A$105,0)),""))</x:f>
      </x:c>
      <x:c r="T463" s="21"/>
      <x:c r="U463" s="21"/>
      <x:c r="V463" s="21"/>
      <x:c r="W463" s="21"/>
      <x:c r="X463" s="21"/>
      <x:c r="Y463" s="21"/>
      <x:c r="Z463" s="21"/>
      <x:c r="AA463" s="29" t="str">
        <x:f>IF(A463="","",IF(OR(B463="",C463="",D463="",H463="",K463="",L463=""),"Thiếu dữ liệu",IF(M463&lt;&gt;N463+O463,"Sai cân đối SL",IF(AND(O463&gt;0,P463=""),"Thiếu mã lỗi","Hợp lệ"))))</x:f>
      </x:c>
    </x:row>
    <x:row r="464">
      <x:c r="A464" s="21"/>
      <x:c r="B464" s="43"/>
      <x:c r="C464" s="21"/>
      <x:c r="D464" s="21"/>
      <x:c r="E464" s="21"/>
      <x:c r="F464" s="21"/>
      <x:c r="G464" s="29" t="str">
        <x:f>IF(OR(C464="",D464=""),"",C464&amp;"|"&amp;D464&amp;"|"&amp;IF(E464="","00",E464)&amp;"|"&amp;IF(F464="","01",F464))</x:f>
      </x:c>
      <x:c r="H464" s="21"/>
      <x:c r="I464" s="29" t="str">
        <x:f>IF(OR(G464="",H464=""),"",G464&amp;"|"&amp;TEXT(H464,"000"))</x:f>
      </x:c>
      <x:c r="J464" s="21"/>
      <x:c r="K464" s="21"/>
      <x:c r="L464" s="21"/>
      <x:c r="M464" s="23"/>
      <x:c r="N464" s="23"/>
      <x:c r="O464" s="23"/>
      <x:c r="P464" s="21"/>
      <x:c r="Q464" s="29" t="str">
        <x:f>IF(P464="","",IFERROR(INDEX(DM_MA_LOI!$B$6:$B$105,MATCH(P464,DM_MA_LOI!$A$6:$A$105,0)),""))</x:f>
      </x:c>
      <x:c r="R464" s="29" t="str">
        <x:f>IF(P464="","",IFERROR(INDEX(DM_MA_LOI!$E$6:$E$105,MATCH(P464,DM_MA_LOI!$A$6:$A$105,0)),""))</x:f>
      </x:c>
      <x:c r="S464" s="29" t="str">
        <x:f>IF(P464="","",IFERROR(INDEX(DM_MA_LOI!$F$6:$F$105,MATCH(P464,DM_MA_LOI!$A$6:$A$105,0)),""))</x:f>
      </x:c>
      <x:c r="T464" s="21"/>
      <x:c r="U464" s="21"/>
      <x:c r="V464" s="21"/>
      <x:c r="W464" s="21"/>
      <x:c r="X464" s="21"/>
      <x:c r="Y464" s="21"/>
      <x:c r="Z464" s="21"/>
      <x:c r="AA464" s="29" t="str">
        <x:f>IF(A464="","",IF(OR(B464="",C464="",D464="",H464="",K464="",L464=""),"Thiếu dữ liệu",IF(M464&lt;&gt;N464+O464,"Sai cân đối SL",IF(AND(O464&gt;0,P464=""),"Thiếu mã lỗi","Hợp lệ"))))</x:f>
      </x:c>
    </x:row>
    <x:row r="465">
      <x:c r="A465" s="21"/>
      <x:c r="B465" s="43"/>
      <x:c r="C465" s="21"/>
      <x:c r="D465" s="21"/>
      <x:c r="E465" s="21"/>
      <x:c r="F465" s="21"/>
      <x:c r="G465" s="29" t="str">
        <x:f>IF(OR(C465="",D465=""),"",C465&amp;"|"&amp;D465&amp;"|"&amp;IF(E465="","00",E465)&amp;"|"&amp;IF(F465="","01",F465))</x:f>
      </x:c>
      <x:c r="H465" s="21"/>
      <x:c r="I465" s="29" t="str">
        <x:f>IF(OR(G465="",H465=""),"",G465&amp;"|"&amp;TEXT(H465,"000"))</x:f>
      </x:c>
      <x:c r="J465" s="21"/>
      <x:c r="K465" s="21"/>
      <x:c r="L465" s="21"/>
      <x:c r="M465" s="23"/>
      <x:c r="N465" s="23"/>
      <x:c r="O465" s="23"/>
      <x:c r="P465" s="21"/>
      <x:c r="Q465" s="29" t="str">
        <x:f>IF(P465="","",IFERROR(INDEX(DM_MA_LOI!$B$6:$B$105,MATCH(P465,DM_MA_LOI!$A$6:$A$105,0)),""))</x:f>
      </x:c>
      <x:c r="R465" s="29" t="str">
        <x:f>IF(P465="","",IFERROR(INDEX(DM_MA_LOI!$E$6:$E$105,MATCH(P465,DM_MA_LOI!$A$6:$A$105,0)),""))</x:f>
      </x:c>
      <x:c r="S465" s="29" t="str">
        <x:f>IF(P465="","",IFERROR(INDEX(DM_MA_LOI!$F$6:$F$105,MATCH(P465,DM_MA_LOI!$A$6:$A$105,0)),""))</x:f>
      </x:c>
      <x:c r="T465" s="21"/>
      <x:c r="U465" s="21"/>
      <x:c r="V465" s="21"/>
      <x:c r="W465" s="21"/>
      <x:c r="X465" s="21"/>
      <x:c r="Y465" s="21"/>
      <x:c r="Z465" s="21"/>
      <x:c r="AA465" s="29" t="str">
        <x:f>IF(A465="","",IF(OR(B465="",C465="",D465="",H465="",K465="",L465=""),"Thiếu dữ liệu",IF(M465&lt;&gt;N465+O465,"Sai cân đối SL",IF(AND(O465&gt;0,P465=""),"Thiếu mã lỗi","Hợp lệ"))))</x:f>
      </x:c>
    </x:row>
    <x:row r="466">
      <x:c r="A466" s="21"/>
      <x:c r="B466" s="43"/>
      <x:c r="C466" s="21"/>
      <x:c r="D466" s="21"/>
      <x:c r="E466" s="21"/>
      <x:c r="F466" s="21"/>
      <x:c r="G466" s="29" t="str">
        <x:f>IF(OR(C466="",D466=""),"",C466&amp;"|"&amp;D466&amp;"|"&amp;IF(E466="","00",E466)&amp;"|"&amp;IF(F466="","01",F466))</x:f>
      </x:c>
      <x:c r="H466" s="21"/>
      <x:c r="I466" s="29" t="str">
        <x:f>IF(OR(G466="",H466=""),"",G466&amp;"|"&amp;TEXT(H466,"000"))</x:f>
      </x:c>
      <x:c r="J466" s="21"/>
      <x:c r="K466" s="21"/>
      <x:c r="L466" s="21"/>
      <x:c r="M466" s="23"/>
      <x:c r="N466" s="23"/>
      <x:c r="O466" s="23"/>
      <x:c r="P466" s="21"/>
      <x:c r="Q466" s="29" t="str">
        <x:f>IF(P466="","",IFERROR(INDEX(DM_MA_LOI!$B$6:$B$105,MATCH(P466,DM_MA_LOI!$A$6:$A$105,0)),""))</x:f>
      </x:c>
      <x:c r="R466" s="29" t="str">
        <x:f>IF(P466="","",IFERROR(INDEX(DM_MA_LOI!$E$6:$E$105,MATCH(P466,DM_MA_LOI!$A$6:$A$105,0)),""))</x:f>
      </x:c>
      <x:c r="S466" s="29" t="str">
        <x:f>IF(P466="","",IFERROR(INDEX(DM_MA_LOI!$F$6:$F$105,MATCH(P466,DM_MA_LOI!$A$6:$A$105,0)),""))</x:f>
      </x:c>
      <x:c r="T466" s="21"/>
      <x:c r="U466" s="21"/>
      <x:c r="V466" s="21"/>
      <x:c r="W466" s="21"/>
      <x:c r="X466" s="21"/>
      <x:c r="Y466" s="21"/>
      <x:c r="Z466" s="21"/>
      <x:c r="AA466" s="29" t="str">
        <x:f>IF(A466="","",IF(OR(B466="",C466="",D466="",H466="",K466="",L466=""),"Thiếu dữ liệu",IF(M466&lt;&gt;N466+O466,"Sai cân đối SL",IF(AND(O466&gt;0,P466=""),"Thiếu mã lỗi","Hợp lệ"))))</x:f>
      </x:c>
    </x:row>
    <x:row r="467">
      <x:c r="A467" s="21"/>
      <x:c r="B467" s="43"/>
      <x:c r="C467" s="21"/>
      <x:c r="D467" s="21"/>
      <x:c r="E467" s="21"/>
      <x:c r="F467" s="21"/>
      <x:c r="G467" s="29" t="str">
        <x:f>IF(OR(C467="",D467=""),"",C467&amp;"|"&amp;D467&amp;"|"&amp;IF(E467="","00",E467)&amp;"|"&amp;IF(F467="","01",F467))</x:f>
      </x:c>
      <x:c r="H467" s="21"/>
      <x:c r="I467" s="29" t="str">
        <x:f>IF(OR(G467="",H467=""),"",G467&amp;"|"&amp;TEXT(H467,"000"))</x:f>
      </x:c>
      <x:c r="J467" s="21"/>
      <x:c r="K467" s="21"/>
      <x:c r="L467" s="21"/>
      <x:c r="M467" s="23"/>
      <x:c r="N467" s="23"/>
      <x:c r="O467" s="23"/>
      <x:c r="P467" s="21"/>
      <x:c r="Q467" s="29" t="str">
        <x:f>IF(P467="","",IFERROR(INDEX(DM_MA_LOI!$B$6:$B$105,MATCH(P467,DM_MA_LOI!$A$6:$A$105,0)),""))</x:f>
      </x:c>
      <x:c r="R467" s="29" t="str">
        <x:f>IF(P467="","",IFERROR(INDEX(DM_MA_LOI!$E$6:$E$105,MATCH(P467,DM_MA_LOI!$A$6:$A$105,0)),""))</x:f>
      </x:c>
      <x:c r="S467" s="29" t="str">
        <x:f>IF(P467="","",IFERROR(INDEX(DM_MA_LOI!$F$6:$F$105,MATCH(P467,DM_MA_LOI!$A$6:$A$105,0)),""))</x:f>
      </x:c>
      <x:c r="T467" s="21"/>
      <x:c r="U467" s="21"/>
      <x:c r="V467" s="21"/>
      <x:c r="W467" s="21"/>
      <x:c r="X467" s="21"/>
      <x:c r="Y467" s="21"/>
      <x:c r="Z467" s="21"/>
      <x:c r="AA467" s="29" t="str">
        <x:f>IF(A467="","",IF(OR(B467="",C467="",D467="",H467="",K467="",L467=""),"Thiếu dữ liệu",IF(M467&lt;&gt;N467+O467,"Sai cân đối SL",IF(AND(O467&gt;0,P467=""),"Thiếu mã lỗi","Hợp lệ"))))</x:f>
      </x:c>
    </x:row>
    <x:row r="468">
      <x:c r="A468" s="21"/>
      <x:c r="B468" s="43"/>
      <x:c r="C468" s="21"/>
      <x:c r="D468" s="21"/>
      <x:c r="E468" s="21"/>
      <x:c r="F468" s="21"/>
      <x:c r="G468" s="29" t="str">
        <x:f>IF(OR(C468="",D468=""),"",C468&amp;"|"&amp;D468&amp;"|"&amp;IF(E468="","00",E468)&amp;"|"&amp;IF(F468="","01",F468))</x:f>
      </x:c>
      <x:c r="H468" s="21"/>
      <x:c r="I468" s="29" t="str">
        <x:f>IF(OR(G468="",H468=""),"",G468&amp;"|"&amp;TEXT(H468,"000"))</x:f>
      </x:c>
      <x:c r="J468" s="21"/>
      <x:c r="K468" s="21"/>
      <x:c r="L468" s="21"/>
      <x:c r="M468" s="23"/>
      <x:c r="N468" s="23"/>
      <x:c r="O468" s="23"/>
      <x:c r="P468" s="21"/>
      <x:c r="Q468" s="29" t="str">
        <x:f>IF(P468="","",IFERROR(INDEX(DM_MA_LOI!$B$6:$B$105,MATCH(P468,DM_MA_LOI!$A$6:$A$105,0)),""))</x:f>
      </x:c>
      <x:c r="R468" s="29" t="str">
        <x:f>IF(P468="","",IFERROR(INDEX(DM_MA_LOI!$E$6:$E$105,MATCH(P468,DM_MA_LOI!$A$6:$A$105,0)),""))</x:f>
      </x:c>
      <x:c r="S468" s="29" t="str">
        <x:f>IF(P468="","",IFERROR(INDEX(DM_MA_LOI!$F$6:$F$105,MATCH(P468,DM_MA_LOI!$A$6:$A$105,0)),""))</x:f>
      </x:c>
      <x:c r="T468" s="21"/>
      <x:c r="U468" s="21"/>
      <x:c r="V468" s="21"/>
      <x:c r="W468" s="21"/>
      <x:c r="X468" s="21"/>
      <x:c r="Y468" s="21"/>
      <x:c r="Z468" s="21"/>
      <x:c r="AA468" s="29" t="str">
        <x:f>IF(A468="","",IF(OR(B468="",C468="",D468="",H468="",K468="",L468=""),"Thiếu dữ liệu",IF(M468&lt;&gt;N468+O468,"Sai cân đối SL",IF(AND(O468&gt;0,P468=""),"Thiếu mã lỗi","Hợp lệ"))))</x:f>
      </x:c>
    </x:row>
    <x:row r="469">
      <x:c r="A469" s="21"/>
      <x:c r="B469" s="43"/>
      <x:c r="C469" s="21"/>
      <x:c r="D469" s="21"/>
      <x:c r="E469" s="21"/>
      <x:c r="F469" s="21"/>
      <x:c r="G469" s="29" t="str">
        <x:f>IF(OR(C469="",D469=""),"",C469&amp;"|"&amp;D469&amp;"|"&amp;IF(E469="","00",E469)&amp;"|"&amp;IF(F469="","01",F469))</x:f>
      </x:c>
      <x:c r="H469" s="21"/>
      <x:c r="I469" s="29" t="str">
        <x:f>IF(OR(G469="",H469=""),"",G469&amp;"|"&amp;TEXT(H469,"000"))</x:f>
      </x:c>
      <x:c r="J469" s="21"/>
      <x:c r="K469" s="21"/>
      <x:c r="L469" s="21"/>
      <x:c r="M469" s="23"/>
      <x:c r="N469" s="23"/>
      <x:c r="O469" s="23"/>
      <x:c r="P469" s="21"/>
      <x:c r="Q469" s="29" t="str">
        <x:f>IF(P469="","",IFERROR(INDEX(DM_MA_LOI!$B$6:$B$105,MATCH(P469,DM_MA_LOI!$A$6:$A$105,0)),""))</x:f>
      </x:c>
      <x:c r="R469" s="29" t="str">
        <x:f>IF(P469="","",IFERROR(INDEX(DM_MA_LOI!$E$6:$E$105,MATCH(P469,DM_MA_LOI!$A$6:$A$105,0)),""))</x:f>
      </x:c>
      <x:c r="S469" s="29" t="str">
        <x:f>IF(P469="","",IFERROR(INDEX(DM_MA_LOI!$F$6:$F$105,MATCH(P469,DM_MA_LOI!$A$6:$A$105,0)),""))</x:f>
      </x:c>
      <x:c r="T469" s="21"/>
      <x:c r="U469" s="21"/>
      <x:c r="V469" s="21"/>
      <x:c r="W469" s="21"/>
      <x:c r="X469" s="21"/>
      <x:c r="Y469" s="21"/>
      <x:c r="Z469" s="21"/>
      <x:c r="AA469" s="29" t="str">
        <x:f>IF(A469="","",IF(OR(B469="",C469="",D469="",H469="",K469="",L469=""),"Thiếu dữ liệu",IF(M469&lt;&gt;N469+O469,"Sai cân đối SL",IF(AND(O469&gt;0,P469=""),"Thiếu mã lỗi","Hợp lệ"))))</x:f>
      </x:c>
    </x:row>
    <x:row r="470">
      <x:c r="A470" s="21"/>
      <x:c r="B470" s="43"/>
      <x:c r="C470" s="21"/>
      <x:c r="D470" s="21"/>
      <x:c r="E470" s="21"/>
      <x:c r="F470" s="21"/>
      <x:c r="G470" s="29" t="str">
        <x:f>IF(OR(C470="",D470=""),"",C470&amp;"|"&amp;D470&amp;"|"&amp;IF(E470="","00",E470)&amp;"|"&amp;IF(F470="","01",F470))</x:f>
      </x:c>
      <x:c r="H470" s="21"/>
      <x:c r="I470" s="29" t="str">
        <x:f>IF(OR(G470="",H470=""),"",G470&amp;"|"&amp;TEXT(H470,"000"))</x:f>
      </x:c>
      <x:c r="J470" s="21"/>
      <x:c r="K470" s="21"/>
      <x:c r="L470" s="21"/>
      <x:c r="M470" s="23"/>
      <x:c r="N470" s="23"/>
      <x:c r="O470" s="23"/>
      <x:c r="P470" s="21"/>
      <x:c r="Q470" s="29" t="str">
        <x:f>IF(P470="","",IFERROR(INDEX(DM_MA_LOI!$B$6:$B$105,MATCH(P470,DM_MA_LOI!$A$6:$A$105,0)),""))</x:f>
      </x:c>
      <x:c r="R470" s="29" t="str">
        <x:f>IF(P470="","",IFERROR(INDEX(DM_MA_LOI!$E$6:$E$105,MATCH(P470,DM_MA_LOI!$A$6:$A$105,0)),""))</x:f>
      </x:c>
      <x:c r="S470" s="29" t="str">
        <x:f>IF(P470="","",IFERROR(INDEX(DM_MA_LOI!$F$6:$F$105,MATCH(P470,DM_MA_LOI!$A$6:$A$105,0)),""))</x:f>
      </x:c>
      <x:c r="T470" s="21"/>
      <x:c r="U470" s="21"/>
      <x:c r="V470" s="21"/>
      <x:c r="W470" s="21"/>
      <x:c r="X470" s="21"/>
      <x:c r="Y470" s="21"/>
      <x:c r="Z470" s="21"/>
      <x:c r="AA470" s="29" t="str">
        <x:f>IF(A470="","",IF(OR(B470="",C470="",D470="",H470="",K470="",L470=""),"Thiếu dữ liệu",IF(M470&lt;&gt;N470+O470,"Sai cân đối SL",IF(AND(O470&gt;0,P470=""),"Thiếu mã lỗi","Hợp lệ"))))</x:f>
      </x:c>
    </x:row>
    <x:row r="471">
      <x:c r="A471" s="21"/>
      <x:c r="B471" s="43"/>
      <x:c r="C471" s="21"/>
      <x:c r="D471" s="21"/>
      <x:c r="E471" s="21"/>
      <x:c r="F471" s="21"/>
      <x:c r="G471" s="29" t="str">
        <x:f>IF(OR(C471="",D471=""),"",C471&amp;"|"&amp;D471&amp;"|"&amp;IF(E471="","00",E471)&amp;"|"&amp;IF(F471="","01",F471))</x:f>
      </x:c>
      <x:c r="H471" s="21"/>
      <x:c r="I471" s="29" t="str">
        <x:f>IF(OR(G471="",H471=""),"",G471&amp;"|"&amp;TEXT(H471,"000"))</x:f>
      </x:c>
      <x:c r="J471" s="21"/>
      <x:c r="K471" s="21"/>
      <x:c r="L471" s="21"/>
      <x:c r="M471" s="23"/>
      <x:c r="N471" s="23"/>
      <x:c r="O471" s="23"/>
      <x:c r="P471" s="21"/>
      <x:c r="Q471" s="29" t="str">
        <x:f>IF(P471="","",IFERROR(INDEX(DM_MA_LOI!$B$6:$B$105,MATCH(P471,DM_MA_LOI!$A$6:$A$105,0)),""))</x:f>
      </x:c>
      <x:c r="R471" s="29" t="str">
        <x:f>IF(P471="","",IFERROR(INDEX(DM_MA_LOI!$E$6:$E$105,MATCH(P471,DM_MA_LOI!$A$6:$A$105,0)),""))</x:f>
      </x:c>
      <x:c r="S471" s="29" t="str">
        <x:f>IF(P471="","",IFERROR(INDEX(DM_MA_LOI!$F$6:$F$105,MATCH(P471,DM_MA_LOI!$A$6:$A$105,0)),""))</x:f>
      </x:c>
      <x:c r="T471" s="21"/>
      <x:c r="U471" s="21"/>
      <x:c r="V471" s="21"/>
      <x:c r="W471" s="21"/>
      <x:c r="X471" s="21"/>
      <x:c r="Y471" s="21"/>
      <x:c r="Z471" s="21"/>
      <x:c r="AA471" s="29" t="str">
        <x:f>IF(A471="","",IF(OR(B471="",C471="",D471="",H471="",K471="",L471=""),"Thiếu dữ liệu",IF(M471&lt;&gt;N471+O471,"Sai cân đối SL",IF(AND(O471&gt;0,P471=""),"Thiếu mã lỗi","Hợp lệ"))))</x:f>
      </x:c>
    </x:row>
    <x:row r="472">
      <x:c r="A472" s="21"/>
      <x:c r="B472" s="43"/>
      <x:c r="C472" s="21"/>
      <x:c r="D472" s="21"/>
      <x:c r="E472" s="21"/>
      <x:c r="F472" s="21"/>
      <x:c r="G472" s="29" t="str">
        <x:f>IF(OR(C472="",D472=""),"",C472&amp;"|"&amp;D472&amp;"|"&amp;IF(E472="","00",E472)&amp;"|"&amp;IF(F472="","01",F472))</x:f>
      </x:c>
      <x:c r="H472" s="21"/>
      <x:c r="I472" s="29" t="str">
        <x:f>IF(OR(G472="",H472=""),"",G472&amp;"|"&amp;TEXT(H472,"000"))</x:f>
      </x:c>
      <x:c r="J472" s="21"/>
      <x:c r="K472" s="21"/>
      <x:c r="L472" s="21"/>
      <x:c r="M472" s="23"/>
      <x:c r="N472" s="23"/>
      <x:c r="O472" s="23"/>
      <x:c r="P472" s="21"/>
      <x:c r="Q472" s="29" t="str">
        <x:f>IF(P472="","",IFERROR(INDEX(DM_MA_LOI!$B$6:$B$105,MATCH(P472,DM_MA_LOI!$A$6:$A$105,0)),""))</x:f>
      </x:c>
      <x:c r="R472" s="29" t="str">
        <x:f>IF(P472="","",IFERROR(INDEX(DM_MA_LOI!$E$6:$E$105,MATCH(P472,DM_MA_LOI!$A$6:$A$105,0)),""))</x:f>
      </x:c>
      <x:c r="S472" s="29" t="str">
        <x:f>IF(P472="","",IFERROR(INDEX(DM_MA_LOI!$F$6:$F$105,MATCH(P472,DM_MA_LOI!$A$6:$A$105,0)),""))</x:f>
      </x:c>
      <x:c r="T472" s="21"/>
      <x:c r="U472" s="21"/>
      <x:c r="V472" s="21"/>
      <x:c r="W472" s="21"/>
      <x:c r="X472" s="21"/>
      <x:c r="Y472" s="21"/>
      <x:c r="Z472" s="21"/>
      <x:c r="AA472" s="29" t="str">
        <x:f>IF(A472="","",IF(OR(B472="",C472="",D472="",H472="",K472="",L472=""),"Thiếu dữ liệu",IF(M472&lt;&gt;N472+O472,"Sai cân đối SL",IF(AND(O472&gt;0,P472=""),"Thiếu mã lỗi","Hợp lệ"))))</x:f>
      </x:c>
    </x:row>
    <x:row r="473">
      <x:c r="A473" s="21"/>
      <x:c r="B473" s="43"/>
      <x:c r="C473" s="21"/>
      <x:c r="D473" s="21"/>
      <x:c r="E473" s="21"/>
      <x:c r="F473" s="21"/>
      <x:c r="G473" s="29" t="str">
        <x:f>IF(OR(C473="",D473=""),"",C473&amp;"|"&amp;D473&amp;"|"&amp;IF(E473="","00",E473)&amp;"|"&amp;IF(F473="","01",F473))</x:f>
      </x:c>
      <x:c r="H473" s="21"/>
      <x:c r="I473" s="29" t="str">
        <x:f>IF(OR(G473="",H473=""),"",G473&amp;"|"&amp;TEXT(H473,"000"))</x:f>
      </x:c>
      <x:c r="J473" s="21"/>
      <x:c r="K473" s="21"/>
      <x:c r="L473" s="21"/>
      <x:c r="M473" s="23"/>
      <x:c r="N473" s="23"/>
      <x:c r="O473" s="23"/>
      <x:c r="P473" s="21"/>
      <x:c r="Q473" s="29" t="str">
        <x:f>IF(P473="","",IFERROR(INDEX(DM_MA_LOI!$B$6:$B$105,MATCH(P473,DM_MA_LOI!$A$6:$A$105,0)),""))</x:f>
      </x:c>
      <x:c r="R473" s="29" t="str">
        <x:f>IF(P473="","",IFERROR(INDEX(DM_MA_LOI!$E$6:$E$105,MATCH(P473,DM_MA_LOI!$A$6:$A$105,0)),""))</x:f>
      </x:c>
      <x:c r="S473" s="29" t="str">
        <x:f>IF(P473="","",IFERROR(INDEX(DM_MA_LOI!$F$6:$F$105,MATCH(P473,DM_MA_LOI!$A$6:$A$105,0)),""))</x:f>
      </x:c>
      <x:c r="T473" s="21"/>
      <x:c r="U473" s="21"/>
      <x:c r="V473" s="21"/>
      <x:c r="W473" s="21"/>
      <x:c r="X473" s="21"/>
      <x:c r="Y473" s="21"/>
      <x:c r="Z473" s="21"/>
      <x:c r="AA473" s="29" t="str">
        <x:f>IF(A473="","",IF(OR(B473="",C473="",D473="",H473="",K473="",L473=""),"Thiếu dữ liệu",IF(M473&lt;&gt;N473+O473,"Sai cân đối SL",IF(AND(O473&gt;0,P473=""),"Thiếu mã lỗi","Hợp lệ"))))</x:f>
      </x:c>
    </x:row>
    <x:row r="474">
      <x:c r="A474" s="21"/>
      <x:c r="B474" s="43"/>
      <x:c r="C474" s="21"/>
      <x:c r="D474" s="21"/>
      <x:c r="E474" s="21"/>
      <x:c r="F474" s="21"/>
      <x:c r="G474" s="29" t="str">
        <x:f>IF(OR(C474="",D474=""),"",C474&amp;"|"&amp;D474&amp;"|"&amp;IF(E474="","00",E474)&amp;"|"&amp;IF(F474="","01",F474))</x:f>
      </x:c>
      <x:c r="H474" s="21"/>
      <x:c r="I474" s="29" t="str">
        <x:f>IF(OR(G474="",H474=""),"",G474&amp;"|"&amp;TEXT(H474,"000"))</x:f>
      </x:c>
      <x:c r="J474" s="21"/>
      <x:c r="K474" s="21"/>
      <x:c r="L474" s="21"/>
      <x:c r="M474" s="23"/>
      <x:c r="N474" s="23"/>
      <x:c r="O474" s="23"/>
      <x:c r="P474" s="21"/>
      <x:c r="Q474" s="29" t="str">
        <x:f>IF(P474="","",IFERROR(INDEX(DM_MA_LOI!$B$6:$B$105,MATCH(P474,DM_MA_LOI!$A$6:$A$105,0)),""))</x:f>
      </x:c>
      <x:c r="R474" s="29" t="str">
        <x:f>IF(P474="","",IFERROR(INDEX(DM_MA_LOI!$E$6:$E$105,MATCH(P474,DM_MA_LOI!$A$6:$A$105,0)),""))</x:f>
      </x:c>
      <x:c r="S474" s="29" t="str">
        <x:f>IF(P474="","",IFERROR(INDEX(DM_MA_LOI!$F$6:$F$105,MATCH(P474,DM_MA_LOI!$A$6:$A$105,0)),""))</x:f>
      </x:c>
      <x:c r="T474" s="21"/>
      <x:c r="U474" s="21"/>
      <x:c r="V474" s="21"/>
      <x:c r="W474" s="21"/>
      <x:c r="X474" s="21"/>
      <x:c r="Y474" s="21"/>
      <x:c r="Z474" s="21"/>
      <x:c r="AA474" s="29" t="str">
        <x:f>IF(A474="","",IF(OR(B474="",C474="",D474="",H474="",K474="",L474=""),"Thiếu dữ liệu",IF(M474&lt;&gt;N474+O474,"Sai cân đối SL",IF(AND(O474&gt;0,P474=""),"Thiếu mã lỗi","Hợp lệ"))))</x:f>
      </x:c>
    </x:row>
    <x:row r="475">
      <x:c r="A475" s="21"/>
      <x:c r="B475" s="43"/>
      <x:c r="C475" s="21"/>
      <x:c r="D475" s="21"/>
      <x:c r="E475" s="21"/>
      <x:c r="F475" s="21"/>
      <x:c r="G475" s="29" t="str">
        <x:f>IF(OR(C475="",D475=""),"",C475&amp;"|"&amp;D475&amp;"|"&amp;IF(E475="","00",E475)&amp;"|"&amp;IF(F475="","01",F475))</x:f>
      </x:c>
      <x:c r="H475" s="21"/>
      <x:c r="I475" s="29" t="str">
        <x:f>IF(OR(G475="",H475=""),"",G475&amp;"|"&amp;TEXT(H475,"000"))</x:f>
      </x:c>
      <x:c r="J475" s="21"/>
      <x:c r="K475" s="21"/>
      <x:c r="L475" s="21"/>
      <x:c r="M475" s="23"/>
      <x:c r="N475" s="23"/>
      <x:c r="O475" s="23"/>
      <x:c r="P475" s="21"/>
      <x:c r="Q475" s="29" t="str">
        <x:f>IF(P475="","",IFERROR(INDEX(DM_MA_LOI!$B$6:$B$105,MATCH(P475,DM_MA_LOI!$A$6:$A$105,0)),""))</x:f>
      </x:c>
      <x:c r="R475" s="29" t="str">
        <x:f>IF(P475="","",IFERROR(INDEX(DM_MA_LOI!$E$6:$E$105,MATCH(P475,DM_MA_LOI!$A$6:$A$105,0)),""))</x:f>
      </x:c>
      <x:c r="S475" s="29" t="str">
        <x:f>IF(P475="","",IFERROR(INDEX(DM_MA_LOI!$F$6:$F$105,MATCH(P475,DM_MA_LOI!$A$6:$A$105,0)),""))</x:f>
      </x:c>
      <x:c r="T475" s="21"/>
      <x:c r="U475" s="21"/>
      <x:c r="V475" s="21"/>
      <x:c r="W475" s="21"/>
      <x:c r="X475" s="21"/>
      <x:c r="Y475" s="21"/>
      <x:c r="Z475" s="21"/>
      <x:c r="AA475" s="29" t="str">
        <x:f>IF(A475="","",IF(OR(B475="",C475="",D475="",H475="",K475="",L475=""),"Thiếu dữ liệu",IF(M475&lt;&gt;N475+O475,"Sai cân đối SL",IF(AND(O475&gt;0,P475=""),"Thiếu mã lỗi","Hợp lệ"))))</x:f>
      </x:c>
    </x:row>
    <x:row r="476">
      <x:c r="A476" s="21"/>
      <x:c r="B476" s="43"/>
      <x:c r="C476" s="21"/>
      <x:c r="D476" s="21"/>
      <x:c r="E476" s="21"/>
      <x:c r="F476" s="21"/>
      <x:c r="G476" s="29" t="str">
        <x:f>IF(OR(C476="",D476=""),"",C476&amp;"|"&amp;D476&amp;"|"&amp;IF(E476="","00",E476)&amp;"|"&amp;IF(F476="","01",F476))</x:f>
      </x:c>
      <x:c r="H476" s="21"/>
      <x:c r="I476" s="29" t="str">
        <x:f>IF(OR(G476="",H476=""),"",G476&amp;"|"&amp;TEXT(H476,"000"))</x:f>
      </x:c>
      <x:c r="J476" s="21"/>
      <x:c r="K476" s="21"/>
      <x:c r="L476" s="21"/>
      <x:c r="M476" s="23"/>
      <x:c r="N476" s="23"/>
      <x:c r="O476" s="23"/>
      <x:c r="P476" s="21"/>
      <x:c r="Q476" s="29" t="str">
        <x:f>IF(P476="","",IFERROR(INDEX(DM_MA_LOI!$B$6:$B$105,MATCH(P476,DM_MA_LOI!$A$6:$A$105,0)),""))</x:f>
      </x:c>
      <x:c r="R476" s="29" t="str">
        <x:f>IF(P476="","",IFERROR(INDEX(DM_MA_LOI!$E$6:$E$105,MATCH(P476,DM_MA_LOI!$A$6:$A$105,0)),""))</x:f>
      </x:c>
      <x:c r="S476" s="29" t="str">
        <x:f>IF(P476="","",IFERROR(INDEX(DM_MA_LOI!$F$6:$F$105,MATCH(P476,DM_MA_LOI!$A$6:$A$105,0)),""))</x:f>
      </x:c>
      <x:c r="T476" s="21"/>
      <x:c r="U476" s="21"/>
      <x:c r="V476" s="21"/>
      <x:c r="W476" s="21"/>
      <x:c r="X476" s="21"/>
      <x:c r="Y476" s="21"/>
      <x:c r="Z476" s="21"/>
      <x:c r="AA476" s="29" t="str">
        <x:f>IF(A476="","",IF(OR(B476="",C476="",D476="",H476="",K476="",L476=""),"Thiếu dữ liệu",IF(M476&lt;&gt;N476+O476,"Sai cân đối SL",IF(AND(O476&gt;0,P476=""),"Thiếu mã lỗi","Hợp lệ"))))</x:f>
      </x:c>
    </x:row>
    <x:row r="477">
      <x:c r="A477" s="21"/>
      <x:c r="B477" s="43"/>
      <x:c r="C477" s="21"/>
      <x:c r="D477" s="21"/>
      <x:c r="E477" s="21"/>
      <x:c r="F477" s="21"/>
      <x:c r="G477" s="29" t="str">
        <x:f>IF(OR(C477="",D477=""),"",C477&amp;"|"&amp;D477&amp;"|"&amp;IF(E477="","00",E477)&amp;"|"&amp;IF(F477="","01",F477))</x:f>
      </x:c>
      <x:c r="H477" s="21"/>
      <x:c r="I477" s="29" t="str">
        <x:f>IF(OR(G477="",H477=""),"",G477&amp;"|"&amp;TEXT(H477,"000"))</x:f>
      </x:c>
      <x:c r="J477" s="21"/>
      <x:c r="K477" s="21"/>
      <x:c r="L477" s="21"/>
      <x:c r="M477" s="23"/>
      <x:c r="N477" s="23"/>
      <x:c r="O477" s="23"/>
      <x:c r="P477" s="21"/>
      <x:c r="Q477" s="29" t="str">
        <x:f>IF(P477="","",IFERROR(INDEX(DM_MA_LOI!$B$6:$B$105,MATCH(P477,DM_MA_LOI!$A$6:$A$105,0)),""))</x:f>
      </x:c>
      <x:c r="R477" s="29" t="str">
        <x:f>IF(P477="","",IFERROR(INDEX(DM_MA_LOI!$E$6:$E$105,MATCH(P477,DM_MA_LOI!$A$6:$A$105,0)),""))</x:f>
      </x:c>
      <x:c r="S477" s="29" t="str">
        <x:f>IF(P477="","",IFERROR(INDEX(DM_MA_LOI!$F$6:$F$105,MATCH(P477,DM_MA_LOI!$A$6:$A$105,0)),""))</x:f>
      </x:c>
      <x:c r="T477" s="21"/>
      <x:c r="U477" s="21"/>
      <x:c r="V477" s="21"/>
      <x:c r="W477" s="21"/>
      <x:c r="X477" s="21"/>
      <x:c r="Y477" s="21"/>
      <x:c r="Z477" s="21"/>
      <x:c r="AA477" s="29" t="str">
        <x:f>IF(A477="","",IF(OR(B477="",C477="",D477="",H477="",K477="",L477=""),"Thiếu dữ liệu",IF(M477&lt;&gt;N477+O477,"Sai cân đối SL",IF(AND(O477&gt;0,P477=""),"Thiếu mã lỗi","Hợp lệ"))))</x:f>
      </x:c>
    </x:row>
    <x:row r="478">
      <x:c r="A478" s="21"/>
      <x:c r="B478" s="43"/>
      <x:c r="C478" s="21"/>
      <x:c r="D478" s="21"/>
      <x:c r="E478" s="21"/>
      <x:c r="F478" s="21"/>
      <x:c r="G478" s="29" t="str">
        <x:f>IF(OR(C478="",D478=""),"",C478&amp;"|"&amp;D478&amp;"|"&amp;IF(E478="","00",E478)&amp;"|"&amp;IF(F478="","01",F478))</x:f>
      </x:c>
      <x:c r="H478" s="21"/>
      <x:c r="I478" s="29" t="str">
        <x:f>IF(OR(G478="",H478=""),"",G478&amp;"|"&amp;TEXT(H478,"000"))</x:f>
      </x:c>
      <x:c r="J478" s="21"/>
      <x:c r="K478" s="21"/>
      <x:c r="L478" s="21"/>
      <x:c r="M478" s="23"/>
      <x:c r="N478" s="23"/>
      <x:c r="O478" s="23"/>
      <x:c r="P478" s="21"/>
      <x:c r="Q478" s="29" t="str">
        <x:f>IF(P478="","",IFERROR(INDEX(DM_MA_LOI!$B$6:$B$105,MATCH(P478,DM_MA_LOI!$A$6:$A$105,0)),""))</x:f>
      </x:c>
      <x:c r="R478" s="29" t="str">
        <x:f>IF(P478="","",IFERROR(INDEX(DM_MA_LOI!$E$6:$E$105,MATCH(P478,DM_MA_LOI!$A$6:$A$105,0)),""))</x:f>
      </x:c>
      <x:c r="S478" s="29" t="str">
        <x:f>IF(P478="","",IFERROR(INDEX(DM_MA_LOI!$F$6:$F$105,MATCH(P478,DM_MA_LOI!$A$6:$A$105,0)),""))</x:f>
      </x:c>
      <x:c r="T478" s="21"/>
      <x:c r="U478" s="21"/>
      <x:c r="V478" s="21"/>
      <x:c r="W478" s="21"/>
      <x:c r="X478" s="21"/>
      <x:c r="Y478" s="21"/>
      <x:c r="Z478" s="21"/>
      <x:c r="AA478" s="29" t="str">
        <x:f>IF(A478="","",IF(OR(B478="",C478="",D478="",H478="",K478="",L478=""),"Thiếu dữ liệu",IF(M478&lt;&gt;N478+O478,"Sai cân đối SL",IF(AND(O478&gt;0,P478=""),"Thiếu mã lỗi","Hợp lệ"))))</x:f>
      </x:c>
    </x:row>
    <x:row r="479">
      <x:c r="A479" s="21"/>
      <x:c r="B479" s="43"/>
      <x:c r="C479" s="21"/>
      <x:c r="D479" s="21"/>
      <x:c r="E479" s="21"/>
      <x:c r="F479" s="21"/>
      <x:c r="G479" s="29" t="str">
        <x:f>IF(OR(C479="",D479=""),"",C479&amp;"|"&amp;D479&amp;"|"&amp;IF(E479="","00",E479)&amp;"|"&amp;IF(F479="","01",F479))</x:f>
      </x:c>
      <x:c r="H479" s="21"/>
      <x:c r="I479" s="29" t="str">
        <x:f>IF(OR(G479="",H479=""),"",G479&amp;"|"&amp;TEXT(H479,"000"))</x:f>
      </x:c>
      <x:c r="J479" s="21"/>
      <x:c r="K479" s="21"/>
      <x:c r="L479" s="21"/>
      <x:c r="M479" s="23"/>
      <x:c r="N479" s="23"/>
      <x:c r="O479" s="23"/>
      <x:c r="P479" s="21"/>
      <x:c r="Q479" s="29" t="str">
        <x:f>IF(P479="","",IFERROR(INDEX(DM_MA_LOI!$B$6:$B$105,MATCH(P479,DM_MA_LOI!$A$6:$A$105,0)),""))</x:f>
      </x:c>
      <x:c r="R479" s="29" t="str">
        <x:f>IF(P479="","",IFERROR(INDEX(DM_MA_LOI!$E$6:$E$105,MATCH(P479,DM_MA_LOI!$A$6:$A$105,0)),""))</x:f>
      </x:c>
      <x:c r="S479" s="29" t="str">
        <x:f>IF(P479="","",IFERROR(INDEX(DM_MA_LOI!$F$6:$F$105,MATCH(P479,DM_MA_LOI!$A$6:$A$105,0)),""))</x:f>
      </x:c>
      <x:c r="T479" s="21"/>
      <x:c r="U479" s="21"/>
      <x:c r="V479" s="21"/>
      <x:c r="W479" s="21"/>
      <x:c r="X479" s="21"/>
      <x:c r="Y479" s="21"/>
      <x:c r="Z479" s="21"/>
      <x:c r="AA479" s="29" t="str">
        <x:f>IF(A479="","",IF(OR(B479="",C479="",D479="",H479="",K479="",L479=""),"Thiếu dữ liệu",IF(M479&lt;&gt;N479+O479,"Sai cân đối SL",IF(AND(O479&gt;0,P479=""),"Thiếu mã lỗi","Hợp lệ"))))</x:f>
      </x:c>
    </x:row>
    <x:row r="480">
      <x:c r="A480" s="21"/>
      <x:c r="B480" s="43"/>
      <x:c r="C480" s="21"/>
      <x:c r="D480" s="21"/>
      <x:c r="E480" s="21"/>
      <x:c r="F480" s="21"/>
      <x:c r="G480" s="29" t="str">
        <x:f>IF(OR(C480="",D480=""),"",C480&amp;"|"&amp;D480&amp;"|"&amp;IF(E480="","00",E480)&amp;"|"&amp;IF(F480="","01",F480))</x:f>
      </x:c>
      <x:c r="H480" s="21"/>
      <x:c r="I480" s="29" t="str">
        <x:f>IF(OR(G480="",H480=""),"",G480&amp;"|"&amp;TEXT(H480,"000"))</x:f>
      </x:c>
      <x:c r="J480" s="21"/>
      <x:c r="K480" s="21"/>
      <x:c r="L480" s="21"/>
      <x:c r="M480" s="23"/>
      <x:c r="N480" s="23"/>
      <x:c r="O480" s="23"/>
      <x:c r="P480" s="21"/>
      <x:c r="Q480" s="29" t="str">
        <x:f>IF(P480="","",IFERROR(INDEX(DM_MA_LOI!$B$6:$B$105,MATCH(P480,DM_MA_LOI!$A$6:$A$105,0)),""))</x:f>
      </x:c>
      <x:c r="R480" s="29" t="str">
        <x:f>IF(P480="","",IFERROR(INDEX(DM_MA_LOI!$E$6:$E$105,MATCH(P480,DM_MA_LOI!$A$6:$A$105,0)),""))</x:f>
      </x:c>
      <x:c r="S480" s="29" t="str">
        <x:f>IF(P480="","",IFERROR(INDEX(DM_MA_LOI!$F$6:$F$105,MATCH(P480,DM_MA_LOI!$A$6:$A$105,0)),""))</x:f>
      </x:c>
      <x:c r="T480" s="21"/>
      <x:c r="U480" s="21"/>
      <x:c r="V480" s="21"/>
      <x:c r="W480" s="21"/>
      <x:c r="X480" s="21"/>
      <x:c r="Y480" s="21"/>
      <x:c r="Z480" s="21"/>
      <x:c r="AA480" s="29" t="str">
        <x:f>IF(A480="","",IF(OR(B480="",C480="",D480="",H480="",K480="",L480=""),"Thiếu dữ liệu",IF(M480&lt;&gt;N480+O480,"Sai cân đối SL",IF(AND(O480&gt;0,P480=""),"Thiếu mã lỗi","Hợp lệ"))))</x:f>
      </x:c>
    </x:row>
    <x:row r="481">
      <x:c r="A481" s="21"/>
      <x:c r="B481" s="43"/>
      <x:c r="C481" s="21"/>
      <x:c r="D481" s="21"/>
      <x:c r="E481" s="21"/>
      <x:c r="F481" s="21"/>
      <x:c r="G481" s="29" t="str">
        <x:f>IF(OR(C481="",D481=""),"",C481&amp;"|"&amp;D481&amp;"|"&amp;IF(E481="","00",E481)&amp;"|"&amp;IF(F481="","01",F481))</x:f>
      </x:c>
      <x:c r="H481" s="21"/>
      <x:c r="I481" s="29" t="str">
        <x:f>IF(OR(G481="",H481=""),"",G481&amp;"|"&amp;TEXT(H481,"000"))</x:f>
      </x:c>
      <x:c r="J481" s="21"/>
      <x:c r="K481" s="21"/>
      <x:c r="L481" s="21"/>
      <x:c r="M481" s="23"/>
      <x:c r="N481" s="23"/>
      <x:c r="O481" s="23"/>
      <x:c r="P481" s="21"/>
      <x:c r="Q481" s="29" t="str">
        <x:f>IF(P481="","",IFERROR(INDEX(DM_MA_LOI!$B$6:$B$105,MATCH(P481,DM_MA_LOI!$A$6:$A$105,0)),""))</x:f>
      </x:c>
      <x:c r="R481" s="29" t="str">
        <x:f>IF(P481="","",IFERROR(INDEX(DM_MA_LOI!$E$6:$E$105,MATCH(P481,DM_MA_LOI!$A$6:$A$105,0)),""))</x:f>
      </x:c>
      <x:c r="S481" s="29" t="str">
        <x:f>IF(P481="","",IFERROR(INDEX(DM_MA_LOI!$F$6:$F$105,MATCH(P481,DM_MA_LOI!$A$6:$A$105,0)),""))</x:f>
      </x:c>
      <x:c r="T481" s="21"/>
      <x:c r="U481" s="21"/>
      <x:c r="V481" s="21"/>
      <x:c r="W481" s="21"/>
      <x:c r="X481" s="21"/>
      <x:c r="Y481" s="21"/>
      <x:c r="Z481" s="21"/>
      <x:c r="AA481" s="29" t="str">
        <x:f>IF(A481="","",IF(OR(B481="",C481="",D481="",H481="",K481="",L481=""),"Thiếu dữ liệu",IF(M481&lt;&gt;N481+O481,"Sai cân đối SL",IF(AND(O481&gt;0,P481=""),"Thiếu mã lỗi","Hợp lệ"))))</x:f>
      </x:c>
    </x:row>
    <x:row r="482">
      <x:c r="A482" s="21"/>
      <x:c r="B482" s="43"/>
      <x:c r="C482" s="21"/>
      <x:c r="D482" s="21"/>
      <x:c r="E482" s="21"/>
      <x:c r="F482" s="21"/>
      <x:c r="G482" s="29" t="str">
        <x:f>IF(OR(C482="",D482=""),"",C482&amp;"|"&amp;D482&amp;"|"&amp;IF(E482="","00",E482)&amp;"|"&amp;IF(F482="","01",F482))</x:f>
      </x:c>
      <x:c r="H482" s="21"/>
      <x:c r="I482" s="29" t="str">
        <x:f>IF(OR(G482="",H482=""),"",G482&amp;"|"&amp;TEXT(H482,"000"))</x:f>
      </x:c>
      <x:c r="J482" s="21"/>
      <x:c r="K482" s="21"/>
      <x:c r="L482" s="21"/>
      <x:c r="M482" s="23"/>
      <x:c r="N482" s="23"/>
      <x:c r="O482" s="23"/>
      <x:c r="P482" s="21"/>
      <x:c r="Q482" s="29" t="str">
        <x:f>IF(P482="","",IFERROR(INDEX(DM_MA_LOI!$B$6:$B$105,MATCH(P482,DM_MA_LOI!$A$6:$A$105,0)),""))</x:f>
      </x:c>
      <x:c r="R482" s="29" t="str">
        <x:f>IF(P482="","",IFERROR(INDEX(DM_MA_LOI!$E$6:$E$105,MATCH(P482,DM_MA_LOI!$A$6:$A$105,0)),""))</x:f>
      </x:c>
      <x:c r="S482" s="29" t="str">
        <x:f>IF(P482="","",IFERROR(INDEX(DM_MA_LOI!$F$6:$F$105,MATCH(P482,DM_MA_LOI!$A$6:$A$105,0)),""))</x:f>
      </x:c>
      <x:c r="T482" s="21"/>
      <x:c r="U482" s="21"/>
      <x:c r="V482" s="21"/>
      <x:c r="W482" s="21"/>
      <x:c r="X482" s="21"/>
      <x:c r="Y482" s="21"/>
      <x:c r="Z482" s="21"/>
      <x:c r="AA482" s="29" t="str">
        <x:f>IF(A482="","",IF(OR(B482="",C482="",D482="",H482="",K482="",L482=""),"Thiếu dữ liệu",IF(M482&lt;&gt;N482+O482,"Sai cân đối SL",IF(AND(O482&gt;0,P482=""),"Thiếu mã lỗi","Hợp lệ"))))</x:f>
      </x:c>
    </x:row>
    <x:row r="483">
      <x:c r="A483" s="21"/>
      <x:c r="B483" s="43"/>
      <x:c r="C483" s="21"/>
      <x:c r="D483" s="21"/>
      <x:c r="E483" s="21"/>
      <x:c r="F483" s="21"/>
      <x:c r="G483" s="29" t="str">
        <x:f>IF(OR(C483="",D483=""),"",C483&amp;"|"&amp;D483&amp;"|"&amp;IF(E483="","00",E483)&amp;"|"&amp;IF(F483="","01",F483))</x:f>
      </x:c>
      <x:c r="H483" s="21"/>
      <x:c r="I483" s="29" t="str">
        <x:f>IF(OR(G483="",H483=""),"",G483&amp;"|"&amp;TEXT(H483,"000"))</x:f>
      </x:c>
      <x:c r="J483" s="21"/>
      <x:c r="K483" s="21"/>
      <x:c r="L483" s="21"/>
      <x:c r="M483" s="23"/>
      <x:c r="N483" s="23"/>
      <x:c r="O483" s="23"/>
      <x:c r="P483" s="21"/>
      <x:c r="Q483" s="29" t="str">
        <x:f>IF(P483="","",IFERROR(INDEX(DM_MA_LOI!$B$6:$B$105,MATCH(P483,DM_MA_LOI!$A$6:$A$105,0)),""))</x:f>
      </x:c>
      <x:c r="R483" s="29" t="str">
        <x:f>IF(P483="","",IFERROR(INDEX(DM_MA_LOI!$E$6:$E$105,MATCH(P483,DM_MA_LOI!$A$6:$A$105,0)),""))</x:f>
      </x:c>
      <x:c r="S483" s="29" t="str">
        <x:f>IF(P483="","",IFERROR(INDEX(DM_MA_LOI!$F$6:$F$105,MATCH(P483,DM_MA_LOI!$A$6:$A$105,0)),""))</x:f>
      </x:c>
      <x:c r="T483" s="21"/>
      <x:c r="U483" s="21"/>
      <x:c r="V483" s="21"/>
      <x:c r="W483" s="21"/>
      <x:c r="X483" s="21"/>
      <x:c r="Y483" s="21"/>
      <x:c r="Z483" s="21"/>
      <x:c r="AA483" s="29" t="str">
        <x:f>IF(A483="","",IF(OR(B483="",C483="",D483="",H483="",K483="",L483=""),"Thiếu dữ liệu",IF(M483&lt;&gt;N483+O483,"Sai cân đối SL",IF(AND(O483&gt;0,P483=""),"Thiếu mã lỗi","Hợp lệ"))))</x:f>
      </x:c>
    </x:row>
    <x:row r="484">
      <x:c r="A484" s="21"/>
      <x:c r="B484" s="43"/>
      <x:c r="C484" s="21"/>
      <x:c r="D484" s="21"/>
      <x:c r="E484" s="21"/>
      <x:c r="F484" s="21"/>
      <x:c r="G484" s="29" t="str">
        <x:f>IF(OR(C484="",D484=""),"",C484&amp;"|"&amp;D484&amp;"|"&amp;IF(E484="","00",E484)&amp;"|"&amp;IF(F484="","01",F484))</x:f>
      </x:c>
      <x:c r="H484" s="21"/>
      <x:c r="I484" s="29" t="str">
        <x:f>IF(OR(G484="",H484=""),"",G484&amp;"|"&amp;TEXT(H484,"000"))</x:f>
      </x:c>
      <x:c r="J484" s="21"/>
      <x:c r="K484" s="21"/>
      <x:c r="L484" s="21"/>
      <x:c r="M484" s="23"/>
      <x:c r="N484" s="23"/>
      <x:c r="O484" s="23"/>
      <x:c r="P484" s="21"/>
      <x:c r="Q484" s="29" t="str">
        <x:f>IF(P484="","",IFERROR(INDEX(DM_MA_LOI!$B$6:$B$105,MATCH(P484,DM_MA_LOI!$A$6:$A$105,0)),""))</x:f>
      </x:c>
      <x:c r="R484" s="29" t="str">
        <x:f>IF(P484="","",IFERROR(INDEX(DM_MA_LOI!$E$6:$E$105,MATCH(P484,DM_MA_LOI!$A$6:$A$105,0)),""))</x:f>
      </x:c>
      <x:c r="S484" s="29" t="str">
        <x:f>IF(P484="","",IFERROR(INDEX(DM_MA_LOI!$F$6:$F$105,MATCH(P484,DM_MA_LOI!$A$6:$A$105,0)),""))</x:f>
      </x:c>
      <x:c r="T484" s="21"/>
      <x:c r="U484" s="21"/>
      <x:c r="V484" s="21"/>
      <x:c r="W484" s="21"/>
      <x:c r="X484" s="21"/>
      <x:c r="Y484" s="21"/>
      <x:c r="Z484" s="21"/>
      <x:c r="AA484" s="29" t="str">
        <x:f>IF(A484="","",IF(OR(B484="",C484="",D484="",H484="",K484="",L484=""),"Thiếu dữ liệu",IF(M484&lt;&gt;N484+O484,"Sai cân đối SL",IF(AND(O484&gt;0,P484=""),"Thiếu mã lỗi","Hợp lệ"))))</x:f>
      </x:c>
    </x:row>
    <x:row r="485">
      <x:c r="A485" s="21"/>
      <x:c r="B485" s="43"/>
      <x:c r="C485" s="21"/>
      <x:c r="D485" s="21"/>
      <x:c r="E485" s="21"/>
      <x:c r="F485" s="21"/>
      <x:c r="G485" s="29" t="str">
        <x:f>IF(OR(C485="",D485=""),"",C485&amp;"|"&amp;D485&amp;"|"&amp;IF(E485="","00",E485)&amp;"|"&amp;IF(F485="","01",F485))</x:f>
      </x:c>
      <x:c r="H485" s="21"/>
      <x:c r="I485" s="29" t="str">
        <x:f>IF(OR(G485="",H485=""),"",G485&amp;"|"&amp;TEXT(H485,"000"))</x:f>
      </x:c>
      <x:c r="J485" s="21"/>
      <x:c r="K485" s="21"/>
      <x:c r="L485" s="21"/>
      <x:c r="M485" s="23"/>
      <x:c r="N485" s="23"/>
      <x:c r="O485" s="23"/>
      <x:c r="P485" s="21"/>
      <x:c r="Q485" s="29" t="str">
        <x:f>IF(P485="","",IFERROR(INDEX(DM_MA_LOI!$B$6:$B$105,MATCH(P485,DM_MA_LOI!$A$6:$A$105,0)),""))</x:f>
      </x:c>
      <x:c r="R485" s="29" t="str">
        <x:f>IF(P485="","",IFERROR(INDEX(DM_MA_LOI!$E$6:$E$105,MATCH(P485,DM_MA_LOI!$A$6:$A$105,0)),""))</x:f>
      </x:c>
      <x:c r="S485" s="29" t="str">
        <x:f>IF(P485="","",IFERROR(INDEX(DM_MA_LOI!$F$6:$F$105,MATCH(P485,DM_MA_LOI!$A$6:$A$105,0)),""))</x:f>
      </x:c>
      <x:c r="T485" s="21"/>
      <x:c r="U485" s="21"/>
      <x:c r="V485" s="21"/>
      <x:c r="W485" s="21"/>
      <x:c r="X485" s="21"/>
      <x:c r="Y485" s="21"/>
      <x:c r="Z485" s="21"/>
      <x:c r="AA485" s="29" t="str">
        <x:f>IF(A485="","",IF(OR(B485="",C485="",D485="",H485="",K485="",L485=""),"Thiếu dữ liệu",IF(M485&lt;&gt;N485+O485,"Sai cân đối SL",IF(AND(O485&gt;0,P485=""),"Thiếu mã lỗi","Hợp lệ"))))</x:f>
      </x:c>
    </x:row>
    <x:row r="486">
      <x:c r="A486" s="21"/>
      <x:c r="B486" s="43"/>
      <x:c r="C486" s="21"/>
      <x:c r="D486" s="21"/>
      <x:c r="E486" s="21"/>
      <x:c r="F486" s="21"/>
      <x:c r="G486" s="29" t="str">
        <x:f>IF(OR(C486="",D486=""),"",C486&amp;"|"&amp;D486&amp;"|"&amp;IF(E486="","00",E486)&amp;"|"&amp;IF(F486="","01",F486))</x:f>
      </x:c>
      <x:c r="H486" s="21"/>
      <x:c r="I486" s="29" t="str">
        <x:f>IF(OR(G486="",H486=""),"",G486&amp;"|"&amp;TEXT(H486,"000"))</x:f>
      </x:c>
      <x:c r="J486" s="21"/>
      <x:c r="K486" s="21"/>
      <x:c r="L486" s="21"/>
      <x:c r="M486" s="23"/>
      <x:c r="N486" s="23"/>
      <x:c r="O486" s="23"/>
      <x:c r="P486" s="21"/>
      <x:c r="Q486" s="29" t="str">
        <x:f>IF(P486="","",IFERROR(INDEX(DM_MA_LOI!$B$6:$B$105,MATCH(P486,DM_MA_LOI!$A$6:$A$105,0)),""))</x:f>
      </x:c>
      <x:c r="R486" s="29" t="str">
        <x:f>IF(P486="","",IFERROR(INDEX(DM_MA_LOI!$E$6:$E$105,MATCH(P486,DM_MA_LOI!$A$6:$A$105,0)),""))</x:f>
      </x:c>
      <x:c r="S486" s="29" t="str">
        <x:f>IF(P486="","",IFERROR(INDEX(DM_MA_LOI!$F$6:$F$105,MATCH(P486,DM_MA_LOI!$A$6:$A$105,0)),""))</x:f>
      </x:c>
      <x:c r="T486" s="21"/>
      <x:c r="U486" s="21"/>
      <x:c r="V486" s="21"/>
      <x:c r="W486" s="21"/>
      <x:c r="X486" s="21"/>
      <x:c r="Y486" s="21"/>
      <x:c r="Z486" s="21"/>
      <x:c r="AA486" s="29" t="str">
        <x:f>IF(A486="","",IF(OR(B486="",C486="",D486="",H486="",K486="",L486=""),"Thiếu dữ liệu",IF(M486&lt;&gt;N486+O486,"Sai cân đối SL",IF(AND(O486&gt;0,P486=""),"Thiếu mã lỗi","Hợp lệ"))))</x:f>
      </x:c>
    </x:row>
    <x:row r="487">
      <x:c r="A487" s="21"/>
      <x:c r="B487" s="43"/>
      <x:c r="C487" s="21"/>
      <x:c r="D487" s="21"/>
      <x:c r="E487" s="21"/>
      <x:c r="F487" s="21"/>
      <x:c r="G487" s="29" t="str">
        <x:f>IF(OR(C487="",D487=""),"",C487&amp;"|"&amp;D487&amp;"|"&amp;IF(E487="","00",E487)&amp;"|"&amp;IF(F487="","01",F487))</x:f>
      </x:c>
      <x:c r="H487" s="21"/>
      <x:c r="I487" s="29" t="str">
        <x:f>IF(OR(G487="",H487=""),"",G487&amp;"|"&amp;TEXT(H487,"000"))</x:f>
      </x:c>
      <x:c r="J487" s="21"/>
      <x:c r="K487" s="21"/>
      <x:c r="L487" s="21"/>
      <x:c r="M487" s="23"/>
      <x:c r="N487" s="23"/>
      <x:c r="O487" s="23"/>
      <x:c r="P487" s="21"/>
      <x:c r="Q487" s="29" t="str">
        <x:f>IF(P487="","",IFERROR(INDEX(DM_MA_LOI!$B$6:$B$105,MATCH(P487,DM_MA_LOI!$A$6:$A$105,0)),""))</x:f>
      </x:c>
      <x:c r="R487" s="29" t="str">
        <x:f>IF(P487="","",IFERROR(INDEX(DM_MA_LOI!$E$6:$E$105,MATCH(P487,DM_MA_LOI!$A$6:$A$105,0)),""))</x:f>
      </x:c>
      <x:c r="S487" s="29" t="str">
        <x:f>IF(P487="","",IFERROR(INDEX(DM_MA_LOI!$F$6:$F$105,MATCH(P487,DM_MA_LOI!$A$6:$A$105,0)),""))</x:f>
      </x:c>
      <x:c r="T487" s="21"/>
      <x:c r="U487" s="21"/>
      <x:c r="V487" s="21"/>
      <x:c r="W487" s="21"/>
      <x:c r="X487" s="21"/>
      <x:c r="Y487" s="21"/>
      <x:c r="Z487" s="21"/>
      <x:c r="AA487" s="29" t="str">
        <x:f>IF(A487="","",IF(OR(B487="",C487="",D487="",H487="",K487="",L487=""),"Thiếu dữ liệu",IF(M487&lt;&gt;N487+O487,"Sai cân đối SL",IF(AND(O487&gt;0,P487=""),"Thiếu mã lỗi","Hợp lệ"))))</x:f>
      </x:c>
    </x:row>
    <x:row r="488">
      <x:c r="A488" s="21"/>
      <x:c r="B488" s="43"/>
      <x:c r="C488" s="21"/>
      <x:c r="D488" s="21"/>
      <x:c r="E488" s="21"/>
      <x:c r="F488" s="21"/>
      <x:c r="G488" s="29" t="str">
        <x:f>IF(OR(C488="",D488=""),"",C488&amp;"|"&amp;D488&amp;"|"&amp;IF(E488="","00",E488)&amp;"|"&amp;IF(F488="","01",F488))</x:f>
      </x:c>
      <x:c r="H488" s="21"/>
      <x:c r="I488" s="29" t="str">
        <x:f>IF(OR(G488="",H488=""),"",G488&amp;"|"&amp;TEXT(H488,"000"))</x:f>
      </x:c>
      <x:c r="J488" s="21"/>
      <x:c r="K488" s="21"/>
      <x:c r="L488" s="21"/>
      <x:c r="M488" s="23"/>
      <x:c r="N488" s="23"/>
      <x:c r="O488" s="23"/>
      <x:c r="P488" s="21"/>
      <x:c r="Q488" s="29" t="str">
        <x:f>IF(P488="","",IFERROR(INDEX(DM_MA_LOI!$B$6:$B$105,MATCH(P488,DM_MA_LOI!$A$6:$A$105,0)),""))</x:f>
      </x:c>
      <x:c r="R488" s="29" t="str">
        <x:f>IF(P488="","",IFERROR(INDEX(DM_MA_LOI!$E$6:$E$105,MATCH(P488,DM_MA_LOI!$A$6:$A$105,0)),""))</x:f>
      </x:c>
      <x:c r="S488" s="29" t="str">
        <x:f>IF(P488="","",IFERROR(INDEX(DM_MA_LOI!$F$6:$F$105,MATCH(P488,DM_MA_LOI!$A$6:$A$105,0)),""))</x:f>
      </x:c>
      <x:c r="T488" s="21"/>
      <x:c r="U488" s="21"/>
      <x:c r="V488" s="21"/>
      <x:c r="W488" s="21"/>
      <x:c r="X488" s="21"/>
      <x:c r="Y488" s="21"/>
      <x:c r="Z488" s="21"/>
      <x:c r="AA488" s="29" t="str">
        <x:f>IF(A488="","",IF(OR(B488="",C488="",D488="",H488="",K488="",L488=""),"Thiếu dữ liệu",IF(M488&lt;&gt;N488+O488,"Sai cân đối SL",IF(AND(O488&gt;0,P488=""),"Thiếu mã lỗi","Hợp lệ"))))</x:f>
      </x:c>
    </x:row>
    <x:row r="489">
      <x:c r="A489" s="21"/>
      <x:c r="B489" s="43"/>
      <x:c r="C489" s="21"/>
      <x:c r="D489" s="21"/>
      <x:c r="E489" s="21"/>
      <x:c r="F489" s="21"/>
      <x:c r="G489" s="29" t="str">
        <x:f>IF(OR(C489="",D489=""),"",C489&amp;"|"&amp;D489&amp;"|"&amp;IF(E489="","00",E489)&amp;"|"&amp;IF(F489="","01",F489))</x:f>
      </x:c>
      <x:c r="H489" s="21"/>
      <x:c r="I489" s="29" t="str">
        <x:f>IF(OR(G489="",H489=""),"",G489&amp;"|"&amp;TEXT(H489,"000"))</x:f>
      </x:c>
      <x:c r="J489" s="21"/>
      <x:c r="K489" s="21"/>
      <x:c r="L489" s="21"/>
      <x:c r="M489" s="23"/>
      <x:c r="N489" s="23"/>
      <x:c r="O489" s="23"/>
      <x:c r="P489" s="21"/>
      <x:c r="Q489" s="29" t="str">
        <x:f>IF(P489="","",IFERROR(INDEX(DM_MA_LOI!$B$6:$B$105,MATCH(P489,DM_MA_LOI!$A$6:$A$105,0)),""))</x:f>
      </x:c>
      <x:c r="R489" s="29" t="str">
        <x:f>IF(P489="","",IFERROR(INDEX(DM_MA_LOI!$E$6:$E$105,MATCH(P489,DM_MA_LOI!$A$6:$A$105,0)),""))</x:f>
      </x:c>
      <x:c r="S489" s="29" t="str">
        <x:f>IF(P489="","",IFERROR(INDEX(DM_MA_LOI!$F$6:$F$105,MATCH(P489,DM_MA_LOI!$A$6:$A$105,0)),""))</x:f>
      </x:c>
      <x:c r="T489" s="21"/>
      <x:c r="U489" s="21"/>
      <x:c r="V489" s="21"/>
      <x:c r="W489" s="21"/>
      <x:c r="X489" s="21"/>
      <x:c r="Y489" s="21"/>
      <x:c r="Z489" s="21"/>
      <x:c r="AA489" s="29" t="str">
        <x:f>IF(A489="","",IF(OR(B489="",C489="",D489="",H489="",K489="",L489=""),"Thiếu dữ liệu",IF(M489&lt;&gt;N489+O489,"Sai cân đối SL",IF(AND(O489&gt;0,P489=""),"Thiếu mã lỗi","Hợp lệ"))))</x:f>
      </x:c>
    </x:row>
    <x:row r="490">
      <x:c r="A490" s="21"/>
      <x:c r="B490" s="43"/>
      <x:c r="C490" s="21"/>
      <x:c r="D490" s="21"/>
      <x:c r="E490" s="21"/>
      <x:c r="F490" s="21"/>
      <x:c r="G490" s="29" t="str">
        <x:f>IF(OR(C490="",D490=""),"",C490&amp;"|"&amp;D490&amp;"|"&amp;IF(E490="","00",E490)&amp;"|"&amp;IF(F490="","01",F490))</x:f>
      </x:c>
      <x:c r="H490" s="21"/>
      <x:c r="I490" s="29" t="str">
        <x:f>IF(OR(G490="",H490=""),"",G490&amp;"|"&amp;TEXT(H490,"000"))</x:f>
      </x:c>
      <x:c r="J490" s="21"/>
      <x:c r="K490" s="21"/>
      <x:c r="L490" s="21"/>
      <x:c r="M490" s="23"/>
      <x:c r="N490" s="23"/>
      <x:c r="O490" s="23"/>
      <x:c r="P490" s="21"/>
      <x:c r="Q490" s="29" t="str">
        <x:f>IF(P490="","",IFERROR(INDEX(DM_MA_LOI!$B$6:$B$105,MATCH(P490,DM_MA_LOI!$A$6:$A$105,0)),""))</x:f>
      </x:c>
      <x:c r="R490" s="29" t="str">
        <x:f>IF(P490="","",IFERROR(INDEX(DM_MA_LOI!$E$6:$E$105,MATCH(P490,DM_MA_LOI!$A$6:$A$105,0)),""))</x:f>
      </x:c>
      <x:c r="S490" s="29" t="str">
        <x:f>IF(P490="","",IFERROR(INDEX(DM_MA_LOI!$F$6:$F$105,MATCH(P490,DM_MA_LOI!$A$6:$A$105,0)),""))</x:f>
      </x:c>
      <x:c r="T490" s="21"/>
      <x:c r="U490" s="21"/>
      <x:c r="V490" s="21"/>
      <x:c r="W490" s="21"/>
      <x:c r="X490" s="21"/>
      <x:c r="Y490" s="21"/>
      <x:c r="Z490" s="21"/>
      <x:c r="AA490" s="29" t="str">
        <x:f>IF(A490="","",IF(OR(B490="",C490="",D490="",H490="",K490="",L490=""),"Thiếu dữ liệu",IF(M490&lt;&gt;N490+O490,"Sai cân đối SL",IF(AND(O490&gt;0,P490=""),"Thiếu mã lỗi","Hợp lệ"))))</x:f>
      </x:c>
    </x:row>
    <x:row r="491">
      <x:c r="A491" s="21"/>
      <x:c r="B491" s="43"/>
      <x:c r="C491" s="21"/>
      <x:c r="D491" s="21"/>
      <x:c r="E491" s="21"/>
      <x:c r="F491" s="21"/>
      <x:c r="G491" s="29" t="str">
        <x:f>IF(OR(C491="",D491=""),"",C491&amp;"|"&amp;D491&amp;"|"&amp;IF(E491="","00",E491)&amp;"|"&amp;IF(F491="","01",F491))</x:f>
      </x:c>
      <x:c r="H491" s="21"/>
      <x:c r="I491" s="29" t="str">
        <x:f>IF(OR(G491="",H491=""),"",G491&amp;"|"&amp;TEXT(H491,"000"))</x:f>
      </x:c>
      <x:c r="J491" s="21"/>
      <x:c r="K491" s="21"/>
      <x:c r="L491" s="21"/>
      <x:c r="M491" s="23"/>
      <x:c r="N491" s="23"/>
      <x:c r="O491" s="23"/>
      <x:c r="P491" s="21"/>
      <x:c r="Q491" s="29" t="str">
        <x:f>IF(P491="","",IFERROR(INDEX(DM_MA_LOI!$B$6:$B$105,MATCH(P491,DM_MA_LOI!$A$6:$A$105,0)),""))</x:f>
      </x:c>
      <x:c r="R491" s="29" t="str">
        <x:f>IF(P491="","",IFERROR(INDEX(DM_MA_LOI!$E$6:$E$105,MATCH(P491,DM_MA_LOI!$A$6:$A$105,0)),""))</x:f>
      </x:c>
      <x:c r="S491" s="29" t="str">
        <x:f>IF(P491="","",IFERROR(INDEX(DM_MA_LOI!$F$6:$F$105,MATCH(P491,DM_MA_LOI!$A$6:$A$105,0)),""))</x:f>
      </x:c>
      <x:c r="T491" s="21"/>
      <x:c r="U491" s="21"/>
      <x:c r="V491" s="21"/>
      <x:c r="W491" s="21"/>
      <x:c r="X491" s="21"/>
      <x:c r="Y491" s="21"/>
      <x:c r="Z491" s="21"/>
      <x:c r="AA491" s="29" t="str">
        <x:f>IF(A491="","",IF(OR(B491="",C491="",D491="",H491="",K491="",L491=""),"Thiếu dữ liệu",IF(M491&lt;&gt;N491+O491,"Sai cân đối SL",IF(AND(O491&gt;0,P491=""),"Thiếu mã lỗi","Hợp lệ"))))</x:f>
      </x:c>
    </x:row>
    <x:row r="492">
      <x:c r="A492" s="21"/>
      <x:c r="B492" s="43"/>
      <x:c r="C492" s="21"/>
      <x:c r="D492" s="21"/>
      <x:c r="E492" s="21"/>
      <x:c r="F492" s="21"/>
      <x:c r="G492" s="29" t="str">
        <x:f>IF(OR(C492="",D492=""),"",C492&amp;"|"&amp;D492&amp;"|"&amp;IF(E492="","00",E492)&amp;"|"&amp;IF(F492="","01",F492))</x:f>
      </x:c>
      <x:c r="H492" s="21"/>
      <x:c r="I492" s="29" t="str">
        <x:f>IF(OR(G492="",H492=""),"",G492&amp;"|"&amp;TEXT(H492,"000"))</x:f>
      </x:c>
      <x:c r="J492" s="21"/>
      <x:c r="K492" s="21"/>
      <x:c r="L492" s="21"/>
      <x:c r="M492" s="23"/>
      <x:c r="N492" s="23"/>
      <x:c r="O492" s="23"/>
      <x:c r="P492" s="21"/>
      <x:c r="Q492" s="29" t="str">
        <x:f>IF(P492="","",IFERROR(INDEX(DM_MA_LOI!$B$6:$B$105,MATCH(P492,DM_MA_LOI!$A$6:$A$105,0)),""))</x:f>
      </x:c>
      <x:c r="R492" s="29" t="str">
        <x:f>IF(P492="","",IFERROR(INDEX(DM_MA_LOI!$E$6:$E$105,MATCH(P492,DM_MA_LOI!$A$6:$A$105,0)),""))</x:f>
      </x:c>
      <x:c r="S492" s="29" t="str">
        <x:f>IF(P492="","",IFERROR(INDEX(DM_MA_LOI!$F$6:$F$105,MATCH(P492,DM_MA_LOI!$A$6:$A$105,0)),""))</x:f>
      </x:c>
      <x:c r="T492" s="21"/>
      <x:c r="U492" s="21"/>
      <x:c r="V492" s="21"/>
      <x:c r="W492" s="21"/>
      <x:c r="X492" s="21"/>
      <x:c r="Y492" s="21"/>
      <x:c r="Z492" s="21"/>
      <x:c r="AA492" s="29" t="str">
        <x:f>IF(A492="","",IF(OR(B492="",C492="",D492="",H492="",K492="",L492=""),"Thiếu dữ liệu",IF(M492&lt;&gt;N492+O492,"Sai cân đối SL",IF(AND(O492&gt;0,P492=""),"Thiếu mã lỗi","Hợp lệ"))))</x:f>
      </x:c>
    </x:row>
    <x:row r="493">
      <x:c r="A493" s="21"/>
      <x:c r="B493" s="43"/>
      <x:c r="C493" s="21"/>
      <x:c r="D493" s="21"/>
      <x:c r="E493" s="21"/>
      <x:c r="F493" s="21"/>
      <x:c r="G493" s="29" t="str">
        <x:f>IF(OR(C493="",D493=""),"",C493&amp;"|"&amp;D493&amp;"|"&amp;IF(E493="","00",E493)&amp;"|"&amp;IF(F493="","01",F493))</x:f>
      </x:c>
      <x:c r="H493" s="21"/>
      <x:c r="I493" s="29" t="str">
        <x:f>IF(OR(G493="",H493=""),"",G493&amp;"|"&amp;TEXT(H493,"000"))</x:f>
      </x:c>
      <x:c r="J493" s="21"/>
      <x:c r="K493" s="21"/>
      <x:c r="L493" s="21"/>
      <x:c r="M493" s="23"/>
      <x:c r="N493" s="23"/>
      <x:c r="O493" s="23"/>
      <x:c r="P493" s="21"/>
      <x:c r="Q493" s="29" t="str">
        <x:f>IF(P493="","",IFERROR(INDEX(DM_MA_LOI!$B$6:$B$105,MATCH(P493,DM_MA_LOI!$A$6:$A$105,0)),""))</x:f>
      </x:c>
      <x:c r="R493" s="29" t="str">
        <x:f>IF(P493="","",IFERROR(INDEX(DM_MA_LOI!$E$6:$E$105,MATCH(P493,DM_MA_LOI!$A$6:$A$105,0)),""))</x:f>
      </x:c>
      <x:c r="S493" s="29" t="str">
        <x:f>IF(P493="","",IFERROR(INDEX(DM_MA_LOI!$F$6:$F$105,MATCH(P493,DM_MA_LOI!$A$6:$A$105,0)),""))</x:f>
      </x:c>
      <x:c r="T493" s="21"/>
      <x:c r="U493" s="21"/>
      <x:c r="V493" s="21"/>
      <x:c r="W493" s="21"/>
      <x:c r="X493" s="21"/>
      <x:c r="Y493" s="21"/>
      <x:c r="Z493" s="21"/>
      <x:c r="AA493" s="29" t="str">
        <x:f>IF(A493="","",IF(OR(B493="",C493="",D493="",H493="",K493="",L493=""),"Thiếu dữ liệu",IF(M493&lt;&gt;N493+O493,"Sai cân đối SL",IF(AND(O493&gt;0,P493=""),"Thiếu mã lỗi","Hợp lệ"))))</x:f>
      </x:c>
    </x:row>
    <x:row r="494">
      <x:c r="A494" s="21"/>
      <x:c r="B494" s="43"/>
      <x:c r="C494" s="21"/>
      <x:c r="D494" s="21"/>
      <x:c r="E494" s="21"/>
      <x:c r="F494" s="21"/>
      <x:c r="G494" s="29" t="str">
        <x:f>IF(OR(C494="",D494=""),"",C494&amp;"|"&amp;D494&amp;"|"&amp;IF(E494="","00",E494)&amp;"|"&amp;IF(F494="","01",F494))</x:f>
      </x:c>
      <x:c r="H494" s="21"/>
      <x:c r="I494" s="29" t="str">
        <x:f>IF(OR(G494="",H494=""),"",G494&amp;"|"&amp;TEXT(H494,"000"))</x:f>
      </x:c>
      <x:c r="J494" s="21"/>
      <x:c r="K494" s="21"/>
      <x:c r="L494" s="21"/>
      <x:c r="M494" s="23"/>
      <x:c r="N494" s="23"/>
      <x:c r="O494" s="23"/>
      <x:c r="P494" s="21"/>
      <x:c r="Q494" s="29" t="str">
        <x:f>IF(P494="","",IFERROR(INDEX(DM_MA_LOI!$B$6:$B$105,MATCH(P494,DM_MA_LOI!$A$6:$A$105,0)),""))</x:f>
      </x:c>
      <x:c r="R494" s="29" t="str">
        <x:f>IF(P494="","",IFERROR(INDEX(DM_MA_LOI!$E$6:$E$105,MATCH(P494,DM_MA_LOI!$A$6:$A$105,0)),""))</x:f>
      </x:c>
      <x:c r="S494" s="29" t="str">
        <x:f>IF(P494="","",IFERROR(INDEX(DM_MA_LOI!$F$6:$F$105,MATCH(P494,DM_MA_LOI!$A$6:$A$105,0)),""))</x:f>
      </x:c>
      <x:c r="T494" s="21"/>
      <x:c r="U494" s="21"/>
      <x:c r="V494" s="21"/>
      <x:c r="W494" s="21"/>
      <x:c r="X494" s="21"/>
      <x:c r="Y494" s="21"/>
      <x:c r="Z494" s="21"/>
      <x:c r="AA494" s="29" t="str">
        <x:f>IF(A494="","",IF(OR(B494="",C494="",D494="",H494="",K494="",L494=""),"Thiếu dữ liệu",IF(M494&lt;&gt;N494+O494,"Sai cân đối SL",IF(AND(O494&gt;0,P494=""),"Thiếu mã lỗi","Hợp lệ"))))</x:f>
      </x:c>
    </x:row>
    <x:row r="495">
      <x:c r="A495" s="21"/>
      <x:c r="B495" s="43"/>
      <x:c r="C495" s="21"/>
      <x:c r="D495" s="21"/>
      <x:c r="E495" s="21"/>
      <x:c r="F495" s="21"/>
      <x:c r="G495" s="29" t="str">
        <x:f>IF(OR(C495="",D495=""),"",C495&amp;"|"&amp;D495&amp;"|"&amp;IF(E495="","00",E495)&amp;"|"&amp;IF(F495="","01",F495))</x:f>
      </x:c>
      <x:c r="H495" s="21"/>
      <x:c r="I495" s="29" t="str">
        <x:f>IF(OR(G495="",H495=""),"",G495&amp;"|"&amp;TEXT(H495,"000"))</x:f>
      </x:c>
      <x:c r="J495" s="21"/>
      <x:c r="K495" s="21"/>
      <x:c r="L495" s="21"/>
      <x:c r="M495" s="23"/>
      <x:c r="N495" s="23"/>
      <x:c r="O495" s="23"/>
      <x:c r="P495" s="21"/>
      <x:c r="Q495" s="29" t="str">
        <x:f>IF(P495="","",IFERROR(INDEX(DM_MA_LOI!$B$6:$B$105,MATCH(P495,DM_MA_LOI!$A$6:$A$105,0)),""))</x:f>
      </x:c>
      <x:c r="R495" s="29" t="str">
        <x:f>IF(P495="","",IFERROR(INDEX(DM_MA_LOI!$E$6:$E$105,MATCH(P495,DM_MA_LOI!$A$6:$A$105,0)),""))</x:f>
      </x:c>
      <x:c r="S495" s="29" t="str">
        <x:f>IF(P495="","",IFERROR(INDEX(DM_MA_LOI!$F$6:$F$105,MATCH(P495,DM_MA_LOI!$A$6:$A$105,0)),""))</x:f>
      </x:c>
      <x:c r="T495" s="21"/>
      <x:c r="U495" s="21"/>
      <x:c r="V495" s="21"/>
      <x:c r="W495" s="21"/>
      <x:c r="X495" s="21"/>
      <x:c r="Y495" s="21"/>
      <x:c r="Z495" s="21"/>
      <x:c r="AA495" s="29" t="str">
        <x:f>IF(A495="","",IF(OR(B495="",C495="",D495="",H495="",K495="",L495=""),"Thiếu dữ liệu",IF(M495&lt;&gt;N495+O495,"Sai cân đối SL",IF(AND(O495&gt;0,P495=""),"Thiếu mã lỗi","Hợp lệ"))))</x:f>
      </x:c>
    </x:row>
    <x:row r="496">
      <x:c r="A496" s="21"/>
      <x:c r="B496" s="43"/>
      <x:c r="C496" s="21"/>
      <x:c r="D496" s="21"/>
      <x:c r="E496" s="21"/>
      <x:c r="F496" s="21"/>
      <x:c r="G496" s="29" t="str">
        <x:f>IF(OR(C496="",D496=""),"",C496&amp;"|"&amp;D496&amp;"|"&amp;IF(E496="","00",E496)&amp;"|"&amp;IF(F496="","01",F496))</x:f>
      </x:c>
      <x:c r="H496" s="21"/>
      <x:c r="I496" s="29" t="str">
        <x:f>IF(OR(G496="",H496=""),"",G496&amp;"|"&amp;TEXT(H496,"000"))</x:f>
      </x:c>
      <x:c r="J496" s="21"/>
      <x:c r="K496" s="21"/>
      <x:c r="L496" s="21"/>
      <x:c r="M496" s="23"/>
      <x:c r="N496" s="23"/>
      <x:c r="O496" s="23"/>
      <x:c r="P496" s="21"/>
      <x:c r="Q496" s="29" t="str">
        <x:f>IF(P496="","",IFERROR(INDEX(DM_MA_LOI!$B$6:$B$105,MATCH(P496,DM_MA_LOI!$A$6:$A$105,0)),""))</x:f>
      </x:c>
      <x:c r="R496" s="29" t="str">
        <x:f>IF(P496="","",IFERROR(INDEX(DM_MA_LOI!$E$6:$E$105,MATCH(P496,DM_MA_LOI!$A$6:$A$105,0)),""))</x:f>
      </x:c>
      <x:c r="S496" s="29" t="str">
        <x:f>IF(P496="","",IFERROR(INDEX(DM_MA_LOI!$F$6:$F$105,MATCH(P496,DM_MA_LOI!$A$6:$A$105,0)),""))</x:f>
      </x:c>
      <x:c r="T496" s="21"/>
      <x:c r="U496" s="21"/>
      <x:c r="V496" s="21"/>
      <x:c r="W496" s="21"/>
      <x:c r="X496" s="21"/>
      <x:c r="Y496" s="21"/>
      <x:c r="Z496" s="21"/>
      <x:c r="AA496" s="29" t="str">
        <x:f>IF(A496="","",IF(OR(B496="",C496="",D496="",H496="",K496="",L496=""),"Thiếu dữ liệu",IF(M496&lt;&gt;N496+O496,"Sai cân đối SL",IF(AND(O496&gt;0,P496=""),"Thiếu mã lỗi","Hợp lệ"))))</x:f>
      </x:c>
    </x:row>
    <x:row r="497">
      <x:c r="A497" s="21"/>
      <x:c r="B497" s="43"/>
      <x:c r="C497" s="21"/>
      <x:c r="D497" s="21"/>
      <x:c r="E497" s="21"/>
      <x:c r="F497" s="21"/>
      <x:c r="G497" s="29" t="str">
        <x:f>IF(OR(C497="",D497=""),"",C497&amp;"|"&amp;D497&amp;"|"&amp;IF(E497="","00",E497)&amp;"|"&amp;IF(F497="","01",F497))</x:f>
      </x:c>
      <x:c r="H497" s="21"/>
      <x:c r="I497" s="29" t="str">
        <x:f>IF(OR(G497="",H497=""),"",G497&amp;"|"&amp;TEXT(H497,"000"))</x:f>
      </x:c>
      <x:c r="J497" s="21"/>
      <x:c r="K497" s="21"/>
      <x:c r="L497" s="21"/>
      <x:c r="M497" s="23"/>
      <x:c r="N497" s="23"/>
      <x:c r="O497" s="23"/>
      <x:c r="P497" s="21"/>
      <x:c r="Q497" s="29" t="str">
        <x:f>IF(P497="","",IFERROR(INDEX(DM_MA_LOI!$B$6:$B$105,MATCH(P497,DM_MA_LOI!$A$6:$A$105,0)),""))</x:f>
      </x:c>
      <x:c r="R497" s="29" t="str">
        <x:f>IF(P497="","",IFERROR(INDEX(DM_MA_LOI!$E$6:$E$105,MATCH(P497,DM_MA_LOI!$A$6:$A$105,0)),""))</x:f>
      </x:c>
      <x:c r="S497" s="29" t="str">
        <x:f>IF(P497="","",IFERROR(INDEX(DM_MA_LOI!$F$6:$F$105,MATCH(P497,DM_MA_LOI!$A$6:$A$105,0)),""))</x:f>
      </x:c>
      <x:c r="T497" s="21"/>
      <x:c r="U497" s="21"/>
      <x:c r="V497" s="21"/>
      <x:c r="W497" s="21"/>
      <x:c r="X497" s="21"/>
      <x:c r="Y497" s="21"/>
      <x:c r="Z497" s="21"/>
      <x:c r="AA497" s="29" t="str">
        <x:f>IF(A497="","",IF(OR(B497="",C497="",D497="",H497="",K497="",L497=""),"Thiếu dữ liệu",IF(M497&lt;&gt;N497+O497,"Sai cân đối SL",IF(AND(O497&gt;0,P497=""),"Thiếu mã lỗi","Hợp lệ"))))</x:f>
      </x:c>
    </x:row>
    <x:row r="498">
      <x:c r="A498" s="21"/>
      <x:c r="B498" s="43"/>
      <x:c r="C498" s="21"/>
      <x:c r="D498" s="21"/>
      <x:c r="E498" s="21"/>
      <x:c r="F498" s="21"/>
      <x:c r="G498" s="29" t="str">
        <x:f>IF(OR(C498="",D498=""),"",C498&amp;"|"&amp;D498&amp;"|"&amp;IF(E498="","00",E498)&amp;"|"&amp;IF(F498="","01",F498))</x:f>
      </x:c>
      <x:c r="H498" s="21"/>
      <x:c r="I498" s="29" t="str">
        <x:f>IF(OR(G498="",H498=""),"",G498&amp;"|"&amp;TEXT(H498,"000"))</x:f>
      </x:c>
      <x:c r="J498" s="21"/>
      <x:c r="K498" s="21"/>
      <x:c r="L498" s="21"/>
      <x:c r="M498" s="23"/>
      <x:c r="N498" s="23"/>
      <x:c r="O498" s="23"/>
      <x:c r="P498" s="21"/>
      <x:c r="Q498" s="29" t="str">
        <x:f>IF(P498="","",IFERROR(INDEX(DM_MA_LOI!$B$6:$B$105,MATCH(P498,DM_MA_LOI!$A$6:$A$105,0)),""))</x:f>
      </x:c>
      <x:c r="R498" s="29" t="str">
        <x:f>IF(P498="","",IFERROR(INDEX(DM_MA_LOI!$E$6:$E$105,MATCH(P498,DM_MA_LOI!$A$6:$A$105,0)),""))</x:f>
      </x:c>
      <x:c r="S498" s="29" t="str">
        <x:f>IF(P498="","",IFERROR(INDEX(DM_MA_LOI!$F$6:$F$105,MATCH(P498,DM_MA_LOI!$A$6:$A$105,0)),""))</x:f>
      </x:c>
      <x:c r="T498" s="21"/>
      <x:c r="U498" s="21"/>
      <x:c r="V498" s="21"/>
      <x:c r="W498" s="21"/>
      <x:c r="X498" s="21"/>
      <x:c r="Y498" s="21"/>
      <x:c r="Z498" s="21"/>
      <x:c r="AA498" s="29" t="str">
        <x:f>IF(A498="","",IF(OR(B498="",C498="",D498="",H498="",K498="",L498=""),"Thiếu dữ liệu",IF(M498&lt;&gt;N498+O498,"Sai cân đối SL",IF(AND(O498&gt;0,P498=""),"Thiếu mã lỗi","Hợp lệ"))))</x:f>
      </x:c>
    </x:row>
    <x:row r="499">
      <x:c r="A499" s="21"/>
      <x:c r="B499" s="43"/>
      <x:c r="C499" s="21"/>
      <x:c r="D499" s="21"/>
      <x:c r="E499" s="21"/>
      <x:c r="F499" s="21"/>
      <x:c r="G499" s="29" t="str">
        <x:f>IF(OR(C499="",D499=""),"",C499&amp;"|"&amp;D499&amp;"|"&amp;IF(E499="","00",E499)&amp;"|"&amp;IF(F499="","01",F499))</x:f>
      </x:c>
      <x:c r="H499" s="21"/>
      <x:c r="I499" s="29" t="str">
        <x:f>IF(OR(G499="",H499=""),"",G499&amp;"|"&amp;TEXT(H499,"000"))</x:f>
      </x:c>
      <x:c r="J499" s="21"/>
      <x:c r="K499" s="21"/>
      <x:c r="L499" s="21"/>
      <x:c r="M499" s="23"/>
      <x:c r="N499" s="23"/>
      <x:c r="O499" s="23"/>
      <x:c r="P499" s="21"/>
      <x:c r="Q499" s="29" t="str">
        <x:f>IF(P499="","",IFERROR(INDEX(DM_MA_LOI!$B$6:$B$105,MATCH(P499,DM_MA_LOI!$A$6:$A$105,0)),""))</x:f>
      </x:c>
      <x:c r="R499" s="29" t="str">
        <x:f>IF(P499="","",IFERROR(INDEX(DM_MA_LOI!$E$6:$E$105,MATCH(P499,DM_MA_LOI!$A$6:$A$105,0)),""))</x:f>
      </x:c>
      <x:c r="S499" s="29" t="str">
        <x:f>IF(P499="","",IFERROR(INDEX(DM_MA_LOI!$F$6:$F$105,MATCH(P499,DM_MA_LOI!$A$6:$A$105,0)),""))</x:f>
      </x:c>
      <x:c r="T499" s="21"/>
      <x:c r="U499" s="21"/>
      <x:c r="V499" s="21"/>
      <x:c r="W499" s="21"/>
      <x:c r="X499" s="21"/>
      <x:c r="Y499" s="21"/>
      <x:c r="Z499" s="21"/>
      <x:c r="AA499" s="29" t="str">
        <x:f>IF(A499="","",IF(OR(B499="",C499="",D499="",H499="",K499="",L499=""),"Thiếu dữ liệu",IF(M499&lt;&gt;N499+O499,"Sai cân đối SL",IF(AND(O499&gt;0,P499=""),"Thiếu mã lỗi","Hợp lệ"))))</x:f>
      </x:c>
    </x:row>
    <x:row r="500">
      <x:c r="A500" s="21"/>
      <x:c r="B500" s="43"/>
      <x:c r="C500" s="21"/>
      <x:c r="D500" s="21"/>
      <x:c r="E500" s="21"/>
      <x:c r="F500" s="21"/>
      <x:c r="G500" s="29" t="str">
        <x:f>IF(OR(C500="",D500=""),"",C500&amp;"|"&amp;D500&amp;"|"&amp;IF(E500="","00",E500)&amp;"|"&amp;IF(F500="","01",F500))</x:f>
      </x:c>
      <x:c r="H500" s="21"/>
      <x:c r="I500" s="29" t="str">
        <x:f>IF(OR(G500="",H500=""),"",G500&amp;"|"&amp;TEXT(H500,"000"))</x:f>
      </x:c>
      <x:c r="J500" s="21"/>
      <x:c r="K500" s="21"/>
      <x:c r="L500" s="21"/>
      <x:c r="M500" s="23"/>
      <x:c r="N500" s="23"/>
      <x:c r="O500" s="23"/>
      <x:c r="P500" s="21"/>
      <x:c r="Q500" s="29" t="str">
        <x:f>IF(P500="","",IFERROR(INDEX(DM_MA_LOI!$B$6:$B$105,MATCH(P500,DM_MA_LOI!$A$6:$A$105,0)),""))</x:f>
      </x:c>
      <x:c r="R500" s="29" t="str">
        <x:f>IF(P500="","",IFERROR(INDEX(DM_MA_LOI!$E$6:$E$105,MATCH(P500,DM_MA_LOI!$A$6:$A$105,0)),""))</x:f>
      </x:c>
      <x:c r="S500" s="29" t="str">
        <x:f>IF(P500="","",IFERROR(INDEX(DM_MA_LOI!$F$6:$F$105,MATCH(P500,DM_MA_LOI!$A$6:$A$105,0)),""))</x:f>
      </x:c>
      <x:c r="T500" s="21"/>
      <x:c r="U500" s="21"/>
      <x:c r="V500" s="21"/>
      <x:c r="W500" s="21"/>
      <x:c r="X500" s="21"/>
      <x:c r="Y500" s="21"/>
      <x:c r="Z500" s="21"/>
      <x:c r="AA500" s="29" t="str">
        <x:f>IF(A500="","",IF(OR(B500="",C500="",D500="",H500="",K500="",L500=""),"Thiếu dữ liệu",IF(M500&lt;&gt;N500+O500,"Sai cân đối SL",IF(AND(O500&gt;0,P500=""),"Thiếu mã lỗi","Hợp lệ"))))</x:f>
      </x:c>
    </x:row>
    <x:row r="501">
      <x:c r="A501" s="21"/>
      <x:c r="B501" s="43"/>
      <x:c r="C501" s="21"/>
      <x:c r="D501" s="21"/>
      <x:c r="E501" s="21"/>
      <x:c r="F501" s="21"/>
      <x:c r="G501" s="29" t="str">
        <x:f>IF(OR(C501="",D501=""),"",C501&amp;"|"&amp;D501&amp;"|"&amp;IF(E501="","00",E501)&amp;"|"&amp;IF(F501="","01",F501))</x:f>
      </x:c>
      <x:c r="H501" s="21"/>
      <x:c r="I501" s="29" t="str">
        <x:f>IF(OR(G501="",H501=""),"",G501&amp;"|"&amp;TEXT(H501,"000"))</x:f>
      </x:c>
      <x:c r="J501" s="21"/>
      <x:c r="K501" s="21"/>
      <x:c r="L501" s="21"/>
      <x:c r="M501" s="23"/>
      <x:c r="N501" s="23"/>
      <x:c r="O501" s="23"/>
      <x:c r="P501" s="21"/>
      <x:c r="Q501" s="29" t="str">
        <x:f>IF(P501="","",IFERROR(INDEX(DM_MA_LOI!$B$6:$B$105,MATCH(P501,DM_MA_LOI!$A$6:$A$105,0)),""))</x:f>
      </x:c>
      <x:c r="R501" s="29" t="str">
        <x:f>IF(P501="","",IFERROR(INDEX(DM_MA_LOI!$E$6:$E$105,MATCH(P501,DM_MA_LOI!$A$6:$A$105,0)),""))</x:f>
      </x:c>
      <x:c r="S501" s="29" t="str">
        <x:f>IF(P501="","",IFERROR(INDEX(DM_MA_LOI!$F$6:$F$105,MATCH(P501,DM_MA_LOI!$A$6:$A$105,0)),""))</x:f>
      </x:c>
      <x:c r="T501" s="21"/>
      <x:c r="U501" s="21"/>
      <x:c r="V501" s="21"/>
      <x:c r="W501" s="21"/>
      <x:c r="X501" s="21"/>
      <x:c r="Y501" s="21"/>
      <x:c r="Z501" s="21"/>
      <x:c r="AA501" s="29" t="str">
        <x:f>IF(A501="","",IF(OR(B501="",C501="",D501="",H501="",K501="",L501=""),"Thiếu dữ liệu",IF(M501&lt;&gt;N501+O501,"Sai cân đối SL",IF(AND(O501&gt;0,P501=""),"Thiếu mã lỗi","Hợp lệ"))))</x:f>
      </x:c>
    </x:row>
    <x:row r="502">
      <x:c r="A502" s="21"/>
      <x:c r="B502" s="43"/>
      <x:c r="C502" s="21"/>
      <x:c r="D502" s="21"/>
      <x:c r="E502" s="21"/>
      <x:c r="F502" s="21"/>
      <x:c r="G502" s="29" t="str">
        <x:f>IF(OR(C502="",D502=""),"",C502&amp;"|"&amp;D502&amp;"|"&amp;IF(E502="","00",E502)&amp;"|"&amp;IF(F502="","01",F502))</x:f>
      </x:c>
      <x:c r="H502" s="21"/>
      <x:c r="I502" s="29" t="str">
        <x:f>IF(OR(G502="",H502=""),"",G502&amp;"|"&amp;TEXT(H502,"000"))</x:f>
      </x:c>
      <x:c r="J502" s="21"/>
      <x:c r="K502" s="21"/>
      <x:c r="L502" s="21"/>
      <x:c r="M502" s="23"/>
      <x:c r="N502" s="23"/>
      <x:c r="O502" s="23"/>
      <x:c r="P502" s="21"/>
      <x:c r="Q502" s="29" t="str">
        <x:f>IF(P502="","",IFERROR(INDEX(DM_MA_LOI!$B$6:$B$105,MATCH(P502,DM_MA_LOI!$A$6:$A$105,0)),""))</x:f>
      </x:c>
      <x:c r="R502" s="29" t="str">
        <x:f>IF(P502="","",IFERROR(INDEX(DM_MA_LOI!$E$6:$E$105,MATCH(P502,DM_MA_LOI!$A$6:$A$105,0)),""))</x:f>
      </x:c>
      <x:c r="S502" s="29" t="str">
        <x:f>IF(P502="","",IFERROR(INDEX(DM_MA_LOI!$F$6:$F$105,MATCH(P502,DM_MA_LOI!$A$6:$A$105,0)),""))</x:f>
      </x:c>
      <x:c r="T502" s="21"/>
      <x:c r="U502" s="21"/>
      <x:c r="V502" s="21"/>
      <x:c r="W502" s="21"/>
      <x:c r="X502" s="21"/>
      <x:c r="Y502" s="21"/>
      <x:c r="Z502" s="21"/>
      <x:c r="AA502" s="29" t="str">
        <x:f>IF(A502="","",IF(OR(B502="",C502="",D502="",H502="",K502="",L502=""),"Thiếu dữ liệu",IF(M502&lt;&gt;N502+O502,"Sai cân đối SL",IF(AND(O502&gt;0,P502=""),"Thiếu mã lỗi","Hợp lệ"))))</x:f>
      </x:c>
    </x:row>
    <x:row r="503">
      <x:c r="A503" s="21"/>
      <x:c r="B503" s="43"/>
      <x:c r="C503" s="21"/>
      <x:c r="D503" s="21"/>
      <x:c r="E503" s="21"/>
      <x:c r="F503" s="21"/>
      <x:c r="G503" s="29" t="str">
        <x:f>IF(OR(C503="",D503=""),"",C503&amp;"|"&amp;D503&amp;"|"&amp;IF(E503="","00",E503)&amp;"|"&amp;IF(F503="","01",F503))</x:f>
      </x:c>
      <x:c r="H503" s="21"/>
      <x:c r="I503" s="29" t="str">
        <x:f>IF(OR(G503="",H503=""),"",G503&amp;"|"&amp;TEXT(H503,"000"))</x:f>
      </x:c>
      <x:c r="J503" s="21"/>
      <x:c r="K503" s="21"/>
      <x:c r="L503" s="21"/>
      <x:c r="M503" s="23"/>
      <x:c r="N503" s="23"/>
      <x:c r="O503" s="23"/>
      <x:c r="P503" s="21"/>
      <x:c r="Q503" s="29" t="str">
        <x:f>IF(P503="","",IFERROR(INDEX(DM_MA_LOI!$B$6:$B$105,MATCH(P503,DM_MA_LOI!$A$6:$A$105,0)),""))</x:f>
      </x:c>
      <x:c r="R503" s="29" t="str">
        <x:f>IF(P503="","",IFERROR(INDEX(DM_MA_LOI!$E$6:$E$105,MATCH(P503,DM_MA_LOI!$A$6:$A$105,0)),""))</x:f>
      </x:c>
      <x:c r="S503" s="29" t="str">
        <x:f>IF(P503="","",IFERROR(INDEX(DM_MA_LOI!$F$6:$F$105,MATCH(P503,DM_MA_LOI!$A$6:$A$105,0)),""))</x:f>
      </x:c>
      <x:c r="T503" s="21"/>
      <x:c r="U503" s="21"/>
      <x:c r="V503" s="21"/>
      <x:c r="W503" s="21"/>
      <x:c r="X503" s="21"/>
      <x:c r="Y503" s="21"/>
      <x:c r="Z503" s="21"/>
      <x:c r="AA503" s="29" t="str">
        <x:f>IF(A503="","",IF(OR(B503="",C503="",D503="",H503="",K503="",L503=""),"Thiếu dữ liệu",IF(M503&lt;&gt;N503+O503,"Sai cân đối SL",IF(AND(O503&gt;0,P503=""),"Thiếu mã lỗi","Hợp lệ"))))</x:f>
      </x:c>
    </x:row>
    <x:row r="504">
      <x:c r="A504" s="21"/>
      <x:c r="B504" s="43"/>
      <x:c r="C504" s="21"/>
      <x:c r="D504" s="21"/>
      <x:c r="E504" s="21"/>
      <x:c r="F504" s="21"/>
      <x:c r="G504" s="29" t="str">
        <x:f>IF(OR(C504="",D504=""),"",C504&amp;"|"&amp;D504&amp;"|"&amp;IF(E504="","00",E504)&amp;"|"&amp;IF(F504="","01",F504))</x:f>
      </x:c>
      <x:c r="H504" s="21"/>
      <x:c r="I504" s="29" t="str">
        <x:f>IF(OR(G504="",H504=""),"",G504&amp;"|"&amp;TEXT(H504,"000"))</x:f>
      </x:c>
      <x:c r="J504" s="21"/>
      <x:c r="K504" s="21"/>
      <x:c r="L504" s="21"/>
      <x:c r="M504" s="23"/>
      <x:c r="N504" s="23"/>
      <x:c r="O504" s="23"/>
      <x:c r="P504" s="21"/>
      <x:c r="Q504" s="29" t="str">
        <x:f>IF(P504="","",IFERROR(INDEX(DM_MA_LOI!$B$6:$B$105,MATCH(P504,DM_MA_LOI!$A$6:$A$105,0)),""))</x:f>
      </x:c>
      <x:c r="R504" s="29" t="str">
        <x:f>IF(P504="","",IFERROR(INDEX(DM_MA_LOI!$E$6:$E$105,MATCH(P504,DM_MA_LOI!$A$6:$A$105,0)),""))</x:f>
      </x:c>
      <x:c r="S504" s="29" t="str">
        <x:f>IF(P504="","",IFERROR(INDEX(DM_MA_LOI!$F$6:$F$105,MATCH(P504,DM_MA_LOI!$A$6:$A$105,0)),""))</x:f>
      </x:c>
      <x:c r="T504" s="21"/>
      <x:c r="U504" s="21"/>
      <x:c r="V504" s="21"/>
      <x:c r="W504" s="21"/>
      <x:c r="X504" s="21"/>
      <x:c r="Y504" s="21"/>
      <x:c r="Z504" s="21"/>
      <x:c r="AA504" s="29" t="str">
        <x:f>IF(A504="","",IF(OR(B504="",C504="",D504="",H504="",K504="",L504=""),"Thiếu dữ liệu",IF(M504&lt;&gt;N504+O504,"Sai cân đối SL",IF(AND(O504&gt;0,P504=""),"Thiếu mã lỗi","Hợp lệ"))))</x:f>
      </x:c>
    </x:row>
    <x:row r="505">
      <x:c r="A505" s="22"/>
      <x:c r="B505" s="44"/>
      <x:c r="C505" s="22"/>
      <x:c r="D505" s="22"/>
      <x:c r="E505" s="22"/>
      <x:c r="F505" s="22"/>
      <x:c r="G505" s="30" t="str">
        <x:f>IF(OR(C505="",D505=""),"",C505&amp;"|"&amp;D505&amp;"|"&amp;IF(E505="","00",E505)&amp;"|"&amp;IF(F505="","01",F505))</x:f>
      </x:c>
      <x:c r="H505" s="22"/>
      <x:c r="I505" s="30" t="str">
        <x:f>IF(OR(G505="",H505=""),"",G505&amp;"|"&amp;TEXT(H505,"000"))</x:f>
      </x:c>
      <x:c r="J505" s="22"/>
      <x:c r="K505" s="22"/>
      <x:c r="L505" s="22"/>
      <x:c r="M505" s="24"/>
      <x:c r="N505" s="24"/>
      <x:c r="O505" s="24"/>
      <x:c r="P505" s="22"/>
      <x:c r="Q505" s="30" t="str">
        <x:f>IF(P505="","",IFERROR(INDEX(DM_MA_LOI!$B$6:$B$105,MATCH(P505,DM_MA_LOI!$A$6:$A$105,0)),""))</x:f>
      </x:c>
      <x:c r="R505" s="30" t="str">
        <x:f>IF(P505="","",IFERROR(INDEX(DM_MA_LOI!$E$6:$E$105,MATCH(P505,DM_MA_LOI!$A$6:$A$105,0)),""))</x:f>
      </x:c>
      <x:c r="S505" s="30" t="str">
        <x:f>IF(P505="","",IFERROR(INDEX(DM_MA_LOI!$F$6:$F$105,MATCH(P505,DM_MA_LOI!$A$6:$A$105,0)),""))</x:f>
      </x:c>
      <x:c r="T505" s="22"/>
      <x:c r="U505" s="22"/>
      <x:c r="V505" s="22"/>
      <x:c r="W505" s="22"/>
      <x:c r="X505" s="22"/>
      <x:c r="Y505" s="22"/>
      <x:c r="Z505" s="22"/>
      <x:c r="AA505" s="30" t="str">
        <x:f>IF(A505="","",IF(OR(B505="",C505="",D505="",H505="",K505="",L505=""),"Thiếu dữ liệu",IF(M505&lt;&gt;N505+O505,"Sai cân đối SL",IF(AND(O505&gt;0,P505=""),"Thiếu mã lỗi","Hợp lệ"))))</x:f>
      </x:c>
    </x:row>
  </x:sheetData>
  <x:mergeCells>
    <x:mergeCell ref="A2:AA2"/>
    <x:mergeCell ref="A3:AA3"/>
  </x:mergeCells>
  <x:conditionalFormatting sqref="AA6:AA505">
    <x:cfRule type="containsText" dxfId="21" priority="1" operator="containsText" text="Quá hạn"/>
    <x:cfRule type="containsText" dxfId="22" priority="2" operator="containsText" text="Rủi ro"/>
    <x:cfRule type="containsText" dxfId="23" priority="3" operator="containsText" text="Cần"/>
    <x:cfRule type="containsText" dxfId="24" priority="4" operator="containsText" text="Sai"/>
    <x:cfRule type="containsText" dxfId="25" priority="5" operator="containsText" text="Thiếu"/>
    <x:cfRule type="containsText" dxfId="26" priority="6" operator="containsText" text="Hợp lệ"/>
    <x:cfRule type="containsText" dxfId="27" priority="7" operator="containsText" text="đúng hạn"/>
  </x:conditionalFormatting>
  <x:dataValidations count="5">
    <x:dataValidation type="list" sqref="K6:K505">
      <x:formula1>DM_NHAN_SU!$A$6:$A$105</x:formula1>
    </x:dataValidation>
    <x:dataValidation type="list" sqref="L6:L505">
      <x:formula1>"FIRST_PIECE,IN_PROCESS,FINAL,RE_INSPECTION"</x:formula1>
    </x:dataValidation>
    <x:dataValidation type="list" sqref="P6:P505">
      <x:formula1>DM_MA_LOI!$A$6:$A$105</x:formula1>
    </x:dataValidation>
    <x:dataValidation type="list" sqref="T6:T505">
      <x:formula1>"Nhẹ,Nghiêm trọng,Tới hạn"</x:formula1>
    </x:dataValidation>
    <x:dataValidation type="list" sqref="U6:U505">
      <x:formula1>"ACCEPT,REWORK,SCRAP,HOLD,USE_AS_IS"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d436645b4346e6"/>
  </x:tableParts>
</x:worksheet>
</file>

<file path=xl/worksheets/sheet7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5600004196167" hidden="0" customWidth="1"/>
    <x:col min="2" max="2" width="10.5600004196167" hidden="0" customWidth="1"/>
    <x:col min="3" max="3" width="14.4399995803833" hidden="0" customWidth="1"/>
    <x:col min="4" max="4" width="14.4399995803833" hidden="0" customWidth="1"/>
    <x:col min="5" max="5" width="8.890000343322754" hidden="0" customWidth="1"/>
    <x:col min="6" max="6" width="13.329999923706055" hidden="0" customWidth="1"/>
    <x:col min="7" max="7" width="13.329999923706055" hidden="0" customWidth="1"/>
    <x:col min="8" max="8" width="12.220000267028809" hidden="0" customWidth="1"/>
    <x:col min="9" max="9" width="12.220000267028809" hidden="0" customWidth="1"/>
    <x:col min="10" max="10" width="12.779999732971191" hidden="0" customWidth="1"/>
    <x:col min="11" max="11" width="12.779999732971191" hidden="0" customWidth="1"/>
    <x:col min="12" max="12" width="14.4399995803833" hidden="0" customWidth="1"/>
    <x:col min="13" max="13" width="22.219999313354492" hidden="0" customWidth="1"/>
    <x:col min="14" max="14" width="22.219999313354492" hidden="0" customWidth="1"/>
    <x:col min="15" max="15" width="11.109999656677246" hidden="0" customWidth="1"/>
    <x:col min="16" max="16" width="11.109999656677246" hidden="0" customWidth="1"/>
    <x:col min="17" max="17" width="14.4399995803833" hidden="0" customWidth="1"/>
    <x:col min="18" max="18" width="12.779999732971191" hidden="0" customWidth="1"/>
  </x:cols>
  <x:sheetData>
    <x:row r="2">
      <x:c r="A2" s="2" t="str">
        <x:v>GHI NHẬN DỪNG MÁY / CHỜ ĐỢI</x:v>
      </x:c>
    </x:row>
    <x:row r="3">
      <x:c r="A3" s="20" t="str">
        <x:v>Chỉ cần nhập RunID và thông tin sự kiện; mã đơn hàng, bản vẽ, công đoạn và máy được lấy tự động.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5">
      <x:c r="A5" s="12" t="str">
        <x:v>DowntimeID</x:v>
      </x:c>
      <x:c r="B5" s="12" t="str">
        <x:v>RunID</x:v>
      </x:c>
      <x:c r="C5" s="12" t="str">
        <x:v>Bắt đầu</x:v>
      </x:c>
      <x:c r="D5" s="12" t="str">
        <x:v>Kết thúc</x:v>
      </x:c>
      <x:c r="E5" s="12" t="str">
        <x:v>Số phút</x:v>
      </x:c>
      <x:c r="F5" s="12" t="str">
        <x:v>Mã đơn hàng</x:v>
      </x:c>
      <x:c r="G5" s="12" t="str">
        <x:v>Mã bản vẽ</x:v>
      </x:c>
      <x:c r="H5" s="12" t="str">
        <x:v>OperationCode</x:v>
      </x:c>
      <x:c r="I5" s="12" t="str">
        <x:v>Máy</x:v>
      </x:c>
      <x:c r="J5" s="12" t="str">
        <x:v>ReasonCode</x:v>
      </x:c>
      <x:c r="K5" s="12" t="str">
        <x:v>Nhóm nguyên nhân</x:v>
      </x:c>
      <x:c r="L5" s="12" t="str">
        <x:v>Đơn vị xử lý</x:v>
      </x:c>
      <x:c r="M5" s="12" t="str">
        <x:v>Mô tả</x:v>
      </x:c>
      <x:c r="N5" s="12" t="str">
        <x:v>Hành động</x:v>
      </x:c>
      <x:c r="O5" s="12" t="str">
        <x:v>Owner</x:v>
      </x:c>
      <x:c r="P5" s="12" t="str">
        <x:v>Trạng thái</x:v>
      </x:c>
      <x:c r="Q5" s="12" t="str">
        <x:v>Đóng lúc</x:v>
      </x:c>
      <x:c r="R5" s="12" t="str">
        <x:v>Kiểm tra dữ liệu</x:v>
      </x:c>
    </x:row>
    <x:row r="6">
      <x:c r="A6" s="21" t="str">
        <x:v>DT-001</x:v>
      </x:c>
      <x:c r="B6" s="21" t="str">
        <x:v>RUN-004</x:v>
      </x:c>
      <x:c r="C6" s="43" t="n">
        <x:v>46268.3125</x:v>
      </x:c>
      <x:c r="D6" s="43" t="n">
        <x:v>46268.32986111111</x:v>
      </x:c>
      <x:c r="E6" s="39" t="n">
        <x:f>IF(A6="","",MAX(0,(D6-C6)*1440))</x:f>
        <x:v>24.999999997671694</x:v>
      </x:c>
      <x:c r="F6" s="29" t="str">
        <x:f>IF(B6="","",IFERROR(INDEX('05_BAO_CAO_NGAY'!$D$6:$D$505,MATCH(B6,'05_BAO_CAO_NGAY'!$A$6:$A$505,0)),""))</x:f>
        <x:v>PRC2602-003</x:v>
      </x:c>
      <x:c r="G6" s="29" t="str">
        <x:f>IF(B6="","",IFERROR(INDEX('05_BAO_CAO_NGAY'!$E$6:$E$505,MATCH(B6,'05_BAO_CAO_NGAY'!$A$6:$A$505,0)),""))</x:f>
        <x:v>22-219803-00</x:v>
      </x:c>
      <x:c r="H6" s="29" t="str">
        <x:f>IF(B6="","",IFERROR(INDEX('05_BAO_CAO_NGAY'!$J$6:$J$505,MATCH(B6,'05_BAO_CAO_NGAY'!$A$6:$A$505,0)),""))</x:f>
        <x:v>TAO_PHOI</x:v>
      </x:c>
      <x:c r="I6" s="29" t="str">
        <x:f>IF(B6="","",IFERROR(INDEX('05_BAO_CAO_NGAY'!$M$6:$M$505,MATCH(B6,'05_BAO_CAO_NGAY'!$A$6:$A$505,0)),""))</x:f>
        <x:v>MC-LATHE-01</x:v>
      </x:c>
      <x:c r="J6" s="21" t="str">
        <x:v>DT-TOOL</x:v>
      </x:c>
      <x:c r="K6" s="29" t="str">
        <x:f>IF(J6="","",IFERROR(INDEX(DM_LY_DO_DUNG!$C$6:$C$105,MATCH(J6,DM_LY_DO_DUNG!$A$6:$A$105,0)),""))</x:f>
        <x:v>Machine</x:v>
      </x:c>
      <x:c r="L6" s="21" t="str">
        <x:v>Kho dụng cụ</x:v>
      </x:c>
      <x:c r="M6" s="21" t="str">
        <x:v>Chờ dao thay thế</x:v>
      </x:c>
      <x:c r="N6" s="21" t="str">
        <x:v>Cấp dao và rà tồn tối thiểu</x:v>
      </x:c>
      <x:c r="O6" s="21" t="str">
        <x:v>NV-1207</x:v>
      </x:c>
      <x:c r="P6" s="21" t="str">
        <x:v>Đã đóng</x:v>
      </x:c>
      <x:c r="Q6" s="43" t="n">
        <x:v>46268.333333333336</x:v>
      </x:c>
      <x:c r="R6" s="29" t="str">
        <x:f>IF(A6="","",IF(OR(B6="",C6="",D6="",J6=""),"Thiếu dữ liệu",IF(D6&lt;C6,"Sai thời gian",IF(AND(P6="Đã đóng",Q6=""),"Thiếu thời điểm đóng","Hợp lệ"))))</x:f>
        <x:v>Hợp lệ</x:v>
      </x:c>
    </x:row>
    <x:row r="7">
      <x:c r="A7" s="21" t="str">
        <x:v>DT-002</x:v>
      </x:c>
      <x:c r="B7" s="21" t="str">
        <x:v>RUN-009</x:v>
      </x:c>
      <x:c r="C7" s="43" t="n">
        <x:v>46270.4375</x:v>
      </x:c>
      <x:c r="D7" s="43" t="n">
        <x:v>46270.458333333336</x:v>
      </x:c>
      <x:c r="E7" s="39" t="n">
        <x:f>IF(A7="","",MAX(0,(D7-C7)*1440))</x:f>
        <x:v>30.00000000349246</x:v>
      </x:c>
      <x:c r="F7" s="29" t="str">
        <x:f>IF(B7="","",IFERROR(INDEX('05_BAO_CAO_NGAY'!$D$6:$D$505,MATCH(B7,'05_BAO_CAO_NGAY'!$A$6:$A$505,0)),""))</x:f>
        <x:v>SWT2603-001</x:v>
      </x:c>
      <x:c r="G7" s="29" t="n">
        <x:f>IF(B7="","",IFERROR(INDEX('05_BAO_CAO_NGAY'!$E$6:$E$505,MATCH(B7,'05_BAO_CAO_NGAY'!$A$6:$A$505,0)),""))</x:f>
        <x:v>950340030</x:v>
      </x:c>
      <x:c r="H7" s="29" t="str">
        <x:f>IF(B7="","",IFERROR(INDEX('05_BAO_CAO_NGAY'!$J$6:$J$505,MATCH(B7,'05_BAO_CAO_NGAY'!$A$6:$A$505,0)),""))</x:f>
        <x:v>TAO_PHOI</x:v>
      </x:c>
      <x:c r="I7" s="29" t="str">
        <x:f>IF(B7="","",IFERROR(INDEX('05_BAO_CAO_NGAY'!$M$6:$M$505,MATCH(B7,'05_BAO_CAO_NGAY'!$A$6:$A$505,0)),""))</x:f>
        <x:v>MC-MILL-01</x:v>
      </x:c>
      <x:c r="J7" s="21" t="str">
        <x:v>DT-QC</x:v>
      </x:c>
      <x:c r="K7" s="29" t="str">
        <x:f>IF(J7="","",IFERROR(INDEX(DM_LY_DO_DUNG!$C$6:$C$105,MATCH(J7,DM_LY_DO_DUNG!$A$6:$A$105,0)),""))</x:f>
        <x:v>Flow</x:v>
      </x:c>
      <x:c r="L7" s="21" t="str">
        <x:v>QC</x:v>
      </x:c>
      <x:c r="M7" s="21" t="str">
        <x:v>Chờ xác nhận mẫu đầu</x:v>
      </x:c>
      <x:c r="N7" s="21" t="str">
        <x:v>Ưu tiên lịch kiểm mẫu đầu</x:v>
      </x:c>
      <x:c r="O7" s="21" t="str">
        <x:v>NV-1236</x:v>
      </x:c>
      <x:c r="P7" s="21" t="str">
        <x:v>Đã đóng</x:v>
      </x:c>
      <x:c r="Q7" s="43" t="n">
        <x:v>46270.461805555555</x:v>
      </x:c>
      <x:c r="R7" s="29" t="str">
        <x:f>IF(A7="","",IF(OR(B7="",C7="",D7="",J7=""),"Thiếu dữ liệu",IF(D7&lt;C7,"Sai thời gian",IF(AND(P7="Đã đóng",Q7=""),"Thiếu thời điểm đóng","Hợp lệ"))))</x:f>
        <x:v>Hợp lệ</x:v>
      </x:c>
    </x:row>
    <x:row r="8">
      <x:c r="A8" s="21" t="str">
        <x:v>DT-003</x:v>
      </x:c>
      <x:c r="B8" s="21" t="str">
        <x:v>RUN-006</x:v>
      </x:c>
      <x:c r="C8" s="43" t="n">
        <x:v>46275.291666666664</x:v>
      </x:c>
      <x:c r="D8" s="43" t="n">
        <x:v>46275.305555555555</x:v>
      </x:c>
      <x:c r="E8" s="39" t="n">
        <x:f>IF(A8="","",MAX(0,(D8-C8)*1440))</x:f>
        <x:v>20.000000002328306</x:v>
      </x:c>
      <x:c r="F8" s="29" t="str">
        <x:f>IF(B8="","",IFERROR(INDEX('05_BAO_CAO_NGAY'!$D$6:$D$505,MATCH(B8,'05_BAO_CAO_NGAY'!$A$6:$A$505,0)),""))</x:f>
        <x:v>PRC2602-003</x:v>
      </x:c>
      <x:c r="G8" s="29" t="str">
        <x:f>IF(B8="","",IFERROR(INDEX('05_BAO_CAO_NGAY'!$E$6:$E$505,MATCH(B8,'05_BAO_CAO_NGAY'!$A$6:$A$505,0)),""))</x:f>
        <x:v>22-219803-00</x:v>
      </x:c>
      <x:c r="H8" s="29" t="str">
        <x:f>IF(B8="","",IFERROR(INDEX('05_BAO_CAO_NGAY'!$J$6:$J$505,MATCH(B8,'05_BAO_CAO_NGAY'!$A$6:$A$505,0)),""))</x:f>
        <x:v>TAO_PHOI</x:v>
      </x:c>
      <x:c r="I8" s="29" t="str">
        <x:f>IF(B8="","",IFERROR(INDEX('05_BAO_CAO_NGAY'!$M$6:$M$505,MATCH(B8,'05_BAO_CAO_NGAY'!$A$6:$A$505,0)),""))</x:f>
        <x:v>MC-LATHE-01</x:v>
      </x:c>
      <x:c r="J8" s="21" t="str">
        <x:v>DT-NC</x:v>
      </x:c>
      <x:c r="K8" s="29" t="str">
        <x:f>IF(J8="","",IFERROR(INDEX(DM_LY_DO_DUNG!$C$6:$C$105,MATCH(J8,DM_LY_DO_DUNG!$A$6:$A$105,0)),""))</x:f>
        <x:v>Method</x:v>
      </x:c>
      <x:c r="L8" s="21" t="str">
        <x:v>Kỹ thuật</x:v>
      </x:c>
      <x:c r="M8" s="21" t="str">
        <x:v>Điều chỉnh chương trình NC</x:v>
      </x:c>
      <x:c r="N8" s="21" t="str">
        <x:v>Đã cập nhật chương trình</x:v>
      </x:c>
      <x:c r="O8" s="21" t="str">
        <x:v>NV-1207</x:v>
      </x:c>
      <x:c r="P8" s="21" t="str">
        <x:v>Đã đóng</x:v>
      </x:c>
      <x:c r="Q8" s="43" t="n">
        <x:v>46275.30902777778</x:v>
      </x:c>
      <x:c r="R8" s="29" t="str">
        <x:f>IF(A8="","",IF(OR(B8="",C8="",D8="",J8=""),"Thiếu dữ liệu",IF(D8&lt;C8,"Sai thời gian",IF(AND(P8="Đã đóng",Q8=""),"Thiếu thời điểm đóng","Hợp lệ"))))</x:f>
        <x:v>Hợp lệ</x:v>
      </x:c>
    </x:row>
    <x:row r="9">
      <x:c r="A9" s="21"/>
      <x:c r="B9" s="21"/>
      <x:c r="C9" s="43"/>
      <x:c r="D9" s="43"/>
      <x:c r="E9" s="39" t="str">
        <x:f>IF(A9="","",MAX(0,(D9-C9)*1440))</x:f>
      </x:c>
      <x:c r="F9" s="29" t="str">
        <x:f>IF(B9="","",IFERROR(INDEX('05_BAO_CAO_NGAY'!$D$6:$D$505,MATCH(B9,'05_BAO_CAO_NGAY'!$A$6:$A$505,0)),""))</x:f>
      </x:c>
      <x:c r="G9" s="29" t="str">
        <x:f>IF(B9="","",IFERROR(INDEX('05_BAO_CAO_NGAY'!$E$6:$E$505,MATCH(B9,'05_BAO_CAO_NGAY'!$A$6:$A$505,0)),""))</x:f>
      </x:c>
      <x:c r="H9" s="29" t="str">
        <x:f>IF(B9="","",IFERROR(INDEX('05_BAO_CAO_NGAY'!$J$6:$J$505,MATCH(B9,'05_BAO_CAO_NGAY'!$A$6:$A$505,0)),""))</x:f>
      </x:c>
      <x:c r="I9" s="29" t="str">
        <x:f>IF(B9="","",IFERROR(INDEX('05_BAO_CAO_NGAY'!$M$6:$M$505,MATCH(B9,'05_BAO_CAO_NGAY'!$A$6:$A$505,0)),""))</x:f>
      </x:c>
      <x:c r="J9" s="21"/>
      <x:c r="K9" s="29" t="str">
        <x:f>IF(J9="","",IFERROR(INDEX(DM_LY_DO_DUNG!$C$6:$C$105,MATCH(J9,DM_LY_DO_DUNG!$A$6:$A$105,0)),""))</x:f>
      </x:c>
      <x:c r="L9" s="21"/>
      <x:c r="M9" s="21"/>
      <x:c r="N9" s="21"/>
      <x:c r="O9" s="21"/>
      <x:c r="P9" s="21"/>
      <x:c r="Q9" s="43"/>
      <x:c r="R9" s="29" t="str">
        <x:f>IF(A9="","",IF(OR(B9="",C9="",D9="",J9=""),"Thiếu dữ liệu",IF(D9&lt;C9,"Sai thời gian",IF(AND(P9="Đã đóng",Q9=""),"Thiếu thời điểm đóng","Hợp lệ"))))</x:f>
      </x:c>
    </x:row>
    <x:row r="10">
      <x:c r="A10" s="21"/>
      <x:c r="B10" s="21"/>
      <x:c r="C10" s="43"/>
      <x:c r="D10" s="43"/>
      <x:c r="E10" s="39" t="str">
        <x:f>IF(A10="","",MAX(0,(D10-C10)*1440))</x:f>
      </x:c>
      <x:c r="F10" s="29" t="str">
        <x:f>IF(B10="","",IFERROR(INDEX('05_BAO_CAO_NGAY'!$D$6:$D$505,MATCH(B10,'05_BAO_CAO_NGAY'!$A$6:$A$505,0)),""))</x:f>
      </x:c>
      <x:c r="G10" s="29" t="str">
        <x:f>IF(B10="","",IFERROR(INDEX('05_BAO_CAO_NGAY'!$E$6:$E$505,MATCH(B10,'05_BAO_CAO_NGAY'!$A$6:$A$505,0)),""))</x:f>
      </x:c>
      <x:c r="H10" s="29" t="str">
        <x:f>IF(B10="","",IFERROR(INDEX('05_BAO_CAO_NGAY'!$J$6:$J$505,MATCH(B10,'05_BAO_CAO_NGAY'!$A$6:$A$505,0)),""))</x:f>
      </x:c>
      <x:c r="I10" s="29" t="str">
        <x:f>IF(B10="","",IFERROR(INDEX('05_BAO_CAO_NGAY'!$M$6:$M$505,MATCH(B10,'05_BAO_CAO_NGAY'!$A$6:$A$505,0)),""))</x:f>
      </x:c>
      <x:c r="J10" s="21"/>
      <x:c r="K10" s="29" t="str">
        <x:f>IF(J10="","",IFERROR(INDEX(DM_LY_DO_DUNG!$C$6:$C$105,MATCH(J10,DM_LY_DO_DUNG!$A$6:$A$105,0)),""))</x:f>
      </x:c>
      <x:c r="L10" s="21"/>
      <x:c r="M10" s="21"/>
      <x:c r="N10" s="21"/>
      <x:c r="O10" s="21"/>
      <x:c r="P10" s="21"/>
      <x:c r="Q10" s="43"/>
      <x:c r="R10" s="29" t="str">
        <x:f>IF(A10="","",IF(OR(B10="",C10="",D10="",J10=""),"Thiếu dữ liệu",IF(D10&lt;C10,"Sai thời gian",IF(AND(P10="Đã đóng",Q10=""),"Thiếu thời điểm đóng","Hợp lệ"))))</x:f>
      </x:c>
    </x:row>
    <x:row r="11">
      <x:c r="A11" s="21"/>
      <x:c r="B11" s="21"/>
      <x:c r="C11" s="43"/>
      <x:c r="D11" s="43"/>
      <x:c r="E11" s="39" t="str">
        <x:f>IF(A11="","",MAX(0,(D11-C11)*1440))</x:f>
      </x:c>
      <x:c r="F11" s="29" t="str">
        <x:f>IF(B11="","",IFERROR(INDEX('05_BAO_CAO_NGAY'!$D$6:$D$505,MATCH(B11,'05_BAO_CAO_NGAY'!$A$6:$A$505,0)),""))</x:f>
      </x:c>
      <x:c r="G11" s="29" t="str">
        <x:f>IF(B11="","",IFERROR(INDEX('05_BAO_CAO_NGAY'!$E$6:$E$505,MATCH(B11,'05_BAO_CAO_NGAY'!$A$6:$A$505,0)),""))</x:f>
      </x:c>
      <x:c r="H11" s="29" t="str">
        <x:f>IF(B11="","",IFERROR(INDEX('05_BAO_CAO_NGAY'!$J$6:$J$505,MATCH(B11,'05_BAO_CAO_NGAY'!$A$6:$A$505,0)),""))</x:f>
      </x:c>
      <x:c r="I11" s="29" t="str">
        <x:f>IF(B11="","",IFERROR(INDEX('05_BAO_CAO_NGAY'!$M$6:$M$505,MATCH(B11,'05_BAO_CAO_NGAY'!$A$6:$A$505,0)),""))</x:f>
      </x:c>
      <x:c r="J11" s="21"/>
      <x:c r="K11" s="29" t="str">
        <x:f>IF(J11="","",IFERROR(INDEX(DM_LY_DO_DUNG!$C$6:$C$105,MATCH(J11,DM_LY_DO_DUNG!$A$6:$A$105,0)),""))</x:f>
      </x:c>
      <x:c r="L11" s="21"/>
      <x:c r="M11" s="21"/>
      <x:c r="N11" s="21"/>
      <x:c r="O11" s="21"/>
      <x:c r="P11" s="21"/>
      <x:c r="Q11" s="43"/>
      <x:c r="R11" s="29" t="str">
        <x:f>IF(A11="","",IF(OR(B11="",C11="",D11="",J11=""),"Thiếu dữ liệu",IF(D11&lt;C11,"Sai thời gian",IF(AND(P11="Đã đóng",Q11=""),"Thiếu thời điểm đóng","Hợp lệ"))))</x:f>
      </x:c>
    </x:row>
    <x:row r="12">
      <x:c r="A12" s="21"/>
      <x:c r="B12" s="21"/>
      <x:c r="C12" s="43"/>
      <x:c r="D12" s="43"/>
      <x:c r="E12" s="39" t="str">
        <x:f>IF(A12="","",MAX(0,(D12-C12)*1440))</x:f>
      </x:c>
      <x:c r="F12" s="29" t="str">
        <x:f>IF(B12="","",IFERROR(INDEX('05_BAO_CAO_NGAY'!$D$6:$D$505,MATCH(B12,'05_BAO_CAO_NGAY'!$A$6:$A$505,0)),""))</x:f>
      </x:c>
      <x:c r="G12" s="29" t="str">
        <x:f>IF(B12="","",IFERROR(INDEX('05_BAO_CAO_NGAY'!$E$6:$E$505,MATCH(B12,'05_BAO_CAO_NGAY'!$A$6:$A$505,0)),""))</x:f>
      </x:c>
      <x:c r="H12" s="29" t="str">
        <x:f>IF(B12="","",IFERROR(INDEX('05_BAO_CAO_NGAY'!$J$6:$J$505,MATCH(B12,'05_BAO_CAO_NGAY'!$A$6:$A$505,0)),""))</x:f>
      </x:c>
      <x:c r="I12" s="29" t="str">
        <x:f>IF(B12="","",IFERROR(INDEX('05_BAO_CAO_NGAY'!$M$6:$M$505,MATCH(B12,'05_BAO_CAO_NGAY'!$A$6:$A$505,0)),""))</x:f>
      </x:c>
      <x:c r="J12" s="21"/>
      <x:c r="K12" s="29" t="str">
        <x:f>IF(J12="","",IFERROR(INDEX(DM_LY_DO_DUNG!$C$6:$C$105,MATCH(J12,DM_LY_DO_DUNG!$A$6:$A$105,0)),""))</x:f>
      </x:c>
      <x:c r="L12" s="21"/>
      <x:c r="M12" s="21"/>
      <x:c r="N12" s="21"/>
      <x:c r="O12" s="21"/>
      <x:c r="P12" s="21"/>
      <x:c r="Q12" s="43"/>
      <x:c r="R12" s="29" t="str">
        <x:f>IF(A12="","",IF(OR(B12="",C12="",D12="",J12=""),"Thiếu dữ liệu",IF(D12&lt;C12,"Sai thời gian",IF(AND(P12="Đã đóng",Q12=""),"Thiếu thời điểm đóng","Hợp lệ"))))</x:f>
      </x:c>
    </x:row>
    <x:row r="13">
      <x:c r="A13" s="21"/>
      <x:c r="B13" s="21"/>
      <x:c r="C13" s="43"/>
      <x:c r="D13" s="43"/>
      <x:c r="E13" s="39" t="str">
        <x:f>IF(A13="","",MAX(0,(D13-C13)*1440))</x:f>
      </x:c>
      <x:c r="F13" s="29" t="str">
        <x:f>IF(B13="","",IFERROR(INDEX('05_BAO_CAO_NGAY'!$D$6:$D$505,MATCH(B13,'05_BAO_CAO_NGAY'!$A$6:$A$505,0)),""))</x:f>
      </x:c>
      <x:c r="G13" s="29" t="str">
        <x:f>IF(B13="","",IFERROR(INDEX('05_BAO_CAO_NGAY'!$E$6:$E$505,MATCH(B13,'05_BAO_CAO_NGAY'!$A$6:$A$505,0)),""))</x:f>
      </x:c>
      <x:c r="H13" s="29" t="str">
        <x:f>IF(B13="","",IFERROR(INDEX('05_BAO_CAO_NGAY'!$J$6:$J$505,MATCH(B13,'05_BAO_CAO_NGAY'!$A$6:$A$505,0)),""))</x:f>
      </x:c>
      <x:c r="I13" s="29" t="str">
        <x:f>IF(B13="","",IFERROR(INDEX('05_BAO_CAO_NGAY'!$M$6:$M$505,MATCH(B13,'05_BAO_CAO_NGAY'!$A$6:$A$505,0)),""))</x:f>
      </x:c>
      <x:c r="J13" s="21"/>
      <x:c r="K13" s="29" t="str">
        <x:f>IF(J13="","",IFERROR(INDEX(DM_LY_DO_DUNG!$C$6:$C$105,MATCH(J13,DM_LY_DO_DUNG!$A$6:$A$105,0)),""))</x:f>
      </x:c>
      <x:c r="L13" s="21"/>
      <x:c r="M13" s="21"/>
      <x:c r="N13" s="21"/>
      <x:c r="O13" s="21"/>
      <x:c r="P13" s="21"/>
      <x:c r="Q13" s="43"/>
      <x:c r="R13" s="29" t="str">
        <x:f>IF(A13="","",IF(OR(B13="",C13="",D13="",J13=""),"Thiếu dữ liệu",IF(D13&lt;C13,"Sai thời gian",IF(AND(P13="Đã đóng",Q13=""),"Thiếu thời điểm đóng","Hợp lệ"))))</x:f>
      </x:c>
    </x:row>
    <x:row r="14">
      <x:c r="A14" s="21"/>
      <x:c r="B14" s="21"/>
      <x:c r="C14" s="43"/>
      <x:c r="D14" s="43"/>
      <x:c r="E14" s="39" t="str">
        <x:f>IF(A14="","",MAX(0,(D14-C14)*1440))</x:f>
      </x:c>
      <x:c r="F14" s="29" t="str">
        <x:f>IF(B14="","",IFERROR(INDEX('05_BAO_CAO_NGAY'!$D$6:$D$505,MATCH(B14,'05_BAO_CAO_NGAY'!$A$6:$A$505,0)),""))</x:f>
      </x:c>
      <x:c r="G14" s="29" t="str">
        <x:f>IF(B14="","",IFERROR(INDEX('05_BAO_CAO_NGAY'!$E$6:$E$505,MATCH(B14,'05_BAO_CAO_NGAY'!$A$6:$A$505,0)),""))</x:f>
      </x:c>
      <x:c r="H14" s="29" t="str">
        <x:f>IF(B14="","",IFERROR(INDEX('05_BAO_CAO_NGAY'!$J$6:$J$505,MATCH(B14,'05_BAO_CAO_NGAY'!$A$6:$A$505,0)),""))</x:f>
      </x:c>
      <x:c r="I14" s="29" t="str">
        <x:f>IF(B14="","",IFERROR(INDEX('05_BAO_CAO_NGAY'!$M$6:$M$505,MATCH(B14,'05_BAO_CAO_NGAY'!$A$6:$A$505,0)),""))</x:f>
      </x:c>
      <x:c r="J14" s="21"/>
      <x:c r="K14" s="29" t="str">
        <x:f>IF(J14="","",IFERROR(INDEX(DM_LY_DO_DUNG!$C$6:$C$105,MATCH(J14,DM_LY_DO_DUNG!$A$6:$A$105,0)),""))</x:f>
      </x:c>
      <x:c r="L14" s="21"/>
      <x:c r="M14" s="21"/>
      <x:c r="N14" s="21"/>
      <x:c r="O14" s="21"/>
      <x:c r="P14" s="21"/>
      <x:c r="Q14" s="43"/>
      <x:c r="R14" s="29" t="str">
        <x:f>IF(A14="","",IF(OR(B14="",C14="",D14="",J14=""),"Thiếu dữ liệu",IF(D14&lt;C14,"Sai thời gian",IF(AND(P14="Đã đóng",Q14=""),"Thiếu thời điểm đóng","Hợp lệ"))))</x:f>
      </x:c>
    </x:row>
    <x:row r="15">
      <x:c r="A15" s="21"/>
      <x:c r="B15" s="21"/>
      <x:c r="C15" s="43"/>
      <x:c r="D15" s="43"/>
      <x:c r="E15" s="39" t="str">
        <x:f>IF(A15="","",MAX(0,(D15-C15)*1440))</x:f>
      </x:c>
      <x:c r="F15" s="29" t="str">
        <x:f>IF(B15="","",IFERROR(INDEX('05_BAO_CAO_NGAY'!$D$6:$D$505,MATCH(B15,'05_BAO_CAO_NGAY'!$A$6:$A$505,0)),""))</x:f>
      </x:c>
      <x:c r="G15" s="29" t="str">
        <x:f>IF(B15="","",IFERROR(INDEX('05_BAO_CAO_NGAY'!$E$6:$E$505,MATCH(B15,'05_BAO_CAO_NGAY'!$A$6:$A$505,0)),""))</x:f>
      </x:c>
      <x:c r="H15" s="29" t="str">
        <x:f>IF(B15="","",IFERROR(INDEX('05_BAO_CAO_NGAY'!$J$6:$J$505,MATCH(B15,'05_BAO_CAO_NGAY'!$A$6:$A$505,0)),""))</x:f>
      </x:c>
      <x:c r="I15" s="29" t="str">
        <x:f>IF(B15="","",IFERROR(INDEX('05_BAO_CAO_NGAY'!$M$6:$M$505,MATCH(B15,'05_BAO_CAO_NGAY'!$A$6:$A$505,0)),""))</x:f>
      </x:c>
      <x:c r="J15" s="21"/>
      <x:c r="K15" s="29" t="str">
        <x:f>IF(J15="","",IFERROR(INDEX(DM_LY_DO_DUNG!$C$6:$C$105,MATCH(J15,DM_LY_DO_DUNG!$A$6:$A$105,0)),""))</x:f>
      </x:c>
      <x:c r="L15" s="21"/>
      <x:c r="M15" s="21"/>
      <x:c r="N15" s="21"/>
      <x:c r="O15" s="21"/>
      <x:c r="P15" s="21"/>
      <x:c r="Q15" s="43"/>
      <x:c r="R15" s="29" t="str">
        <x:f>IF(A15="","",IF(OR(B15="",C15="",D15="",J15=""),"Thiếu dữ liệu",IF(D15&lt;C15,"Sai thời gian",IF(AND(P15="Đã đóng",Q15=""),"Thiếu thời điểm đóng","Hợp lệ"))))</x:f>
      </x:c>
    </x:row>
    <x:row r="16">
      <x:c r="A16" s="21"/>
      <x:c r="B16" s="21"/>
      <x:c r="C16" s="43"/>
      <x:c r="D16" s="43"/>
      <x:c r="E16" s="39" t="str">
        <x:f>IF(A16="","",MAX(0,(D16-C16)*1440))</x:f>
      </x:c>
      <x:c r="F16" s="29" t="str">
        <x:f>IF(B16="","",IFERROR(INDEX('05_BAO_CAO_NGAY'!$D$6:$D$505,MATCH(B16,'05_BAO_CAO_NGAY'!$A$6:$A$505,0)),""))</x:f>
      </x:c>
      <x:c r="G16" s="29" t="str">
        <x:f>IF(B16="","",IFERROR(INDEX('05_BAO_CAO_NGAY'!$E$6:$E$505,MATCH(B16,'05_BAO_CAO_NGAY'!$A$6:$A$505,0)),""))</x:f>
      </x:c>
      <x:c r="H16" s="29" t="str">
        <x:f>IF(B16="","",IFERROR(INDEX('05_BAO_CAO_NGAY'!$J$6:$J$505,MATCH(B16,'05_BAO_CAO_NGAY'!$A$6:$A$505,0)),""))</x:f>
      </x:c>
      <x:c r="I16" s="29" t="str">
        <x:f>IF(B16="","",IFERROR(INDEX('05_BAO_CAO_NGAY'!$M$6:$M$505,MATCH(B16,'05_BAO_CAO_NGAY'!$A$6:$A$505,0)),""))</x:f>
      </x:c>
      <x:c r="J16" s="21"/>
      <x:c r="K16" s="29" t="str">
        <x:f>IF(J16="","",IFERROR(INDEX(DM_LY_DO_DUNG!$C$6:$C$105,MATCH(J16,DM_LY_DO_DUNG!$A$6:$A$105,0)),""))</x:f>
      </x:c>
      <x:c r="L16" s="21"/>
      <x:c r="M16" s="21"/>
      <x:c r="N16" s="21"/>
      <x:c r="O16" s="21"/>
      <x:c r="P16" s="21"/>
      <x:c r="Q16" s="43"/>
      <x:c r="R16" s="29" t="str">
        <x:f>IF(A16="","",IF(OR(B16="",C16="",D16="",J16=""),"Thiếu dữ liệu",IF(D16&lt;C16,"Sai thời gian",IF(AND(P16="Đã đóng",Q16=""),"Thiếu thời điểm đóng","Hợp lệ"))))</x:f>
      </x:c>
    </x:row>
    <x:row r="17">
      <x:c r="A17" s="21"/>
      <x:c r="B17" s="21"/>
      <x:c r="C17" s="43"/>
      <x:c r="D17" s="43"/>
      <x:c r="E17" s="39" t="str">
        <x:f>IF(A17="","",MAX(0,(D17-C17)*1440))</x:f>
      </x:c>
      <x:c r="F17" s="29" t="str">
        <x:f>IF(B17="","",IFERROR(INDEX('05_BAO_CAO_NGAY'!$D$6:$D$505,MATCH(B17,'05_BAO_CAO_NGAY'!$A$6:$A$505,0)),""))</x:f>
      </x:c>
      <x:c r="G17" s="29" t="str">
        <x:f>IF(B17="","",IFERROR(INDEX('05_BAO_CAO_NGAY'!$E$6:$E$505,MATCH(B17,'05_BAO_CAO_NGAY'!$A$6:$A$505,0)),""))</x:f>
      </x:c>
      <x:c r="H17" s="29" t="str">
        <x:f>IF(B17="","",IFERROR(INDEX('05_BAO_CAO_NGAY'!$J$6:$J$505,MATCH(B17,'05_BAO_CAO_NGAY'!$A$6:$A$505,0)),""))</x:f>
      </x:c>
      <x:c r="I17" s="29" t="str">
        <x:f>IF(B17="","",IFERROR(INDEX('05_BAO_CAO_NGAY'!$M$6:$M$505,MATCH(B17,'05_BAO_CAO_NGAY'!$A$6:$A$505,0)),""))</x:f>
      </x:c>
      <x:c r="J17" s="21"/>
      <x:c r="K17" s="29" t="str">
        <x:f>IF(J17="","",IFERROR(INDEX(DM_LY_DO_DUNG!$C$6:$C$105,MATCH(J17,DM_LY_DO_DUNG!$A$6:$A$105,0)),""))</x:f>
      </x:c>
      <x:c r="L17" s="21"/>
      <x:c r="M17" s="21"/>
      <x:c r="N17" s="21"/>
      <x:c r="O17" s="21"/>
      <x:c r="P17" s="21"/>
      <x:c r="Q17" s="43"/>
      <x:c r="R17" s="29" t="str">
        <x:f>IF(A17="","",IF(OR(B17="",C17="",D17="",J17=""),"Thiếu dữ liệu",IF(D17&lt;C17,"Sai thời gian",IF(AND(P17="Đã đóng",Q17=""),"Thiếu thời điểm đóng","Hợp lệ"))))</x:f>
      </x:c>
    </x:row>
    <x:row r="18">
      <x:c r="A18" s="21"/>
      <x:c r="B18" s="21"/>
      <x:c r="C18" s="43"/>
      <x:c r="D18" s="43"/>
      <x:c r="E18" s="39" t="str">
        <x:f>IF(A18="","",MAX(0,(D18-C18)*1440))</x:f>
      </x:c>
      <x:c r="F18" s="29" t="str">
        <x:f>IF(B18="","",IFERROR(INDEX('05_BAO_CAO_NGAY'!$D$6:$D$505,MATCH(B18,'05_BAO_CAO_NGAY'!$A$6:$A$505,0)),""))</x:f>
      </x:c>
      <x:c r="G18" s="29" t="str">
        <x:f>IF(B18="","",IFERROR(INDEX('05_BAO_CAO_NGAY'!$E$6:$E$505,MATCH(B18,'05_BAO_CAO_NGAY'!$A$6:$A$505,0)),""))</x:f>
      </x:c>
      <x:c r="H18" s="29" t="str">
        <x:f>IF(B18="","",IFERROR(INDEX('05_BAO_CAO_NGAY'!$J$6:$J$505,MATCH(B18,'05_BAO_CAO_NGAY'!$A$6:$A$505,0)),""))</x:f>
      </x:c>
      <x:c r="I18" s="29" t="str">
        <x:f>IF(B18="","",IFERROR(INDEX('05_BAO_CAO_NGAY'!$M$6:$M$505,MATCH(B18,'05_BAO_CAO_NGAY'!$A$6:$A$505,0)),""))</x:f>
      </x:c>
      <x:c r="J18" s="21"/>
      <x:c r="K18" s="29" t="str">
        <x:f>IF(J18="","",IFERROR(INDEX(DM_LY_DO_DUNG!$C$6:$C$105,MATCH(J18,DM_LY_DO_DUNG!$A$6:$A$105,0)),""))</x:f>
      </x:c>
      <x:c r="L18" s="21"/>
      <x:c r="M18" s="21"/>
      <x:c r="N18" s="21"/>
      <x:c r="O18" s="21"/>
      <x:c r="P18" s="21"/>
      <x:c r="Q18" s="43"/>
      <x:c r="R18" s="29" t="str">
        <x:f>IF(A18="","",IF(OR(B18="",C18="",D18="",J18=""),"Thiếu dữ liệu",IF(D18&lt;C18,"Sai thời gian",IF(AND(P18="Đã đóng",Q18=""),"Thiếu thời điểm đóng","Hợp lệ"))))</x:f>
      </x:c>
    </x:row>
    <x:row r="19">
      <x:c r="A19" s="21"/>
      <x:c r="B19" s="21"/>
      <x:c r="C19" s="43"/>
      <x:c r="D19" s="43"/>
      <x:c r="E19" s="39" t="str">
        <x:f>IF(A19="","",MAX(0,(D19-C19)*1440))</x:f>
      </x:c>
      <x:c r="F19" s="29" t="str">
        <x:f>IF(B19="","",IFERROR(INDEX('05_BAO_CAO_NGAY'!$D$6:$D$505,MATCH(B19,'05_BAO_CAO_NGAY'!$A$6:$A$505,0)),""))</x:f>
      </x:c>
      <x:c r="G19" s="29" t="str">
        <x:f>IF(B19="","",IFERROR(INDEX('05_BAO_CAO_NGAY'!$E$6:$E$505,MATCH(B19,'05_BAO_CAO_NGAY'!$A$6:$A$505,0)),""))</x:f>
      </x:c>
      <x:c r="H19" s="29" t="str">
        <x:f>IF(B19="","",IFERROR(INDEX('05_BAO_CAO_NGAY'!$J$6:$J$505,MATCH(B19,'05_BAO_CAO_NGAY'!$A$6:$A$505,0)),""))</x:f>
      </x:c>
      <x:c r="I19" s="29" t="str">
        <x:f>IF(B19="","",IFERROR(INDEX('05_BAO_CAO_NGAY'!$M$6:$M$505,MATCH(B19,'05_BAO_CAO_NGAY'!$A$6:$A$505,0)),""))</x:f>
      </x:c>
      <x:c r="J19" s="21"/>
      <x:c r="K19" s="29" t="str">
        <x:f>IF(J19="","",IFERROR(INDEX(DM_LY_DO_DUNG!$C$6:$C$105,MATCH(J19,DM_LY_DO_DUNG!$A$6:$A$105,0)),""))</x:f>
      </x:c>
      <x:c r="L19" s="21"/>
      <x:c r="M19" s="21"/>
      <x:c r="N19" s="21"/>
      <x:c r="O19" s="21"/>
      <x:c r="P19" s="21"/>
      <x:c r="Q19" s="43"/>
      <x:c r="R19" s="29" t="str">
        <x:f>IF(A19="","",IF(OR(B19="",C19="",D19="",J19=""),"Thiếu dữ liệu",IF(D19&lt;C19,"Sai thời gian",IF(AND(P19="Đã đóng",Q19=""),"Thiếu thời điểm đóng","Hợp lệ"))))</x:f>
      </x:c>
    </x:row>
    <x:row r="20">
      <x:c r="A20" s="21"/>
      <x:c r="B20" s="21"/>
      <x:c r="C20" s="43"/>
      <x:c r="D20" s="43"/>
      <x:c r="E20" s="39" t="str">
        <x:f>IF(A20="","",MAX(0,(D20-C20)*1440))</x:f>
      </x:c>
      <x:c r="F20" s="29" t="str">
        <x:f>IF(B20="","",IFERROR(INDEX('05_BAO_CAO_NGAY'!$D$6:$D$505,MATCH(B20,'05_BAO_CAO_NGAY'!$A$6:$A$505,0)),""))</x:f>
      </x:c>
      <x:c r="G20" s="29" t="str">
        <x:f>IF(B20="","",IFERROR(INDEX('05_BAO_CAO_NGAY'!$E$6:$E$505,MATCH(B20,'05_BAO_CAO_NGAY'!$A$6:$A$505,0)),""))</x:f>
      </x:c>
      <x:c r="H20" s="29" t="str">
        <x:f>IF(B20="","",IFERROR(INDEX('05_BAO_CAO_NGAY'!$J$6:$J$505,MATCH(B20,'05_BAO_CAO_NGAY'!$A$6:$A$505,0)),""))</x:f>
      </x:c>
      <x:c r="I20" s="29" t="str">
        <x:f>IF(B20="","",IFERROR(INDEX('05_BAO_CAO_NGAY'!$M$6:$M$505,MATCH(B20,'05_BAO_CAO_NGAY'!$A$6:$A$505,0)),""))</x:f>
      </x:c>
      <x:c r="J20" s="21"/>
      <x:c r="K20" s="29" t="str">
        <x:f>IF(J20="","",IFERROR(INDEX(DM_LY_DO_DUNG!$C$6:$C$105,MATCH(J20,DM_LY_DO_DUNG!$A$6:$A$105,0)),""))</x:f>
      </x:c>
      <x:c r="L20" s="21"/>
      <x:c r="M20" s="21"/>
      <x:c r="N20" s="21"/>
      <x:c r="O20" s="21"/>
      <x:c r="P20" s="21"/>
      <x:c r="Q20" s="43"/>
      <x:c r="R20" s="29" t="str">
        <x:f>IF(A20="","",IF(OR(B20="",C20="",D20="",J20=""),"Thiếu dữ liệu",IF(D20&lt;C20,"Sai thời gian",IF(AND(P20="Đã đóng",Q20=""),"Thiếu thời điểm đóng","Hợp lệ"))))</x:f>
      </x:c>
    </x:row>
    <x:row r="21">
      <x:c r="A21" s="21"/>
      <x:c r="B21" s="21"/>
      <x:c r="C21" s="43"/>
      <x:c r="D21" s="43"/>
      <x:c r="E21" s="39" t="str">
        <x:f>IF(A21="","",MAX(0,(D21-C21)*1440))</x:f>
      </x:c>
      <x:c r="F21" s="29" t="str">
        <x:f>IF(B21="","",IFERROR(INDEX('05_BAO_CAO_NGAY'!$D$6:$D$505,MATCH(B21,'05_BAO_CAO_NGAY'!$A$6:$A$505,0)),""))</x:f>
      </x:c>
      <x:c r="G21" s="29" t="str">
        <x:f>IF(B21="","",IFERROR(INDEX('05_BAO_CAO_NGAY'!$E$6:$E$505,MATCH(B21,'05_BAO_CAO_NGAY'!$A$6:$A$505,0)),""))</x:f>
      </x:c>
      <x:c r="H21" s="29" t="str">
        <x:f>IF(B21="","",IFERROR(INDEX('05_BAO_CAO_NGAY'!$J$6:$J$505,MATCH(B21,'05_BAO_CAO_NGAY'!$A$6:$A$505,0)),""))</x:f>
      </x:c>
      <x:c r="I21" s="29" t="str">
        <x:f>IF(B21="","",IFERROR(INDEX('05_BAO_CAO_NGAY'!$M$6:$M$505,MATCH(B21,'05_BAO_CAO_NGAY'!$A$6:$A$505,0)),""))</x:f>
      </x:c>
      <x:c r="J21" s="21"/>
      <x:c r="K21" s="29" t="str">
        <x:f>IF(J21="","",IFERROR(INDEX(DM_LY_DO_DUNG!$C$6:$C$105,MATCH(J21,DM_LY_DO_DUNG!$A$6:$A$105,0)),""))</x:f>
      </x:c>
      <x:c r="L21" s="21"/>
      <x:c r="M21" s="21"/>
      <x:c r="N21" s="21"/>
      <x:c r="O21" s="21"/>
      <x:c r="P21" s="21"/>
      <x:c r="Q21" s="43"/>
      <x:c r="R21" s="29" t="str">
        <x:f>IF(A21="","",IF(OR(B21="",C21="",D21="",J21=""),"Thiếu dữ liệu",IF(D21&lt;C21,"Sai thời gian",IF(AND(P21="Đã đóng",Q21=""),"Thiếu thời điểm đóng","Hợp lệ"))))</x:f>
      </x:c>
    </x:row>
    <x:row r="22">
      <x:c r="A22" s="21"/>
      <x:c r="B22" s="21"/>
      <x:c r="C22" s="43"/>
      <x:c r="D22" s="43"/>
      <x:c r="E22" s="39" t="str">
        <x:f>IF(A22="","",MAX(0,(D22-C22)*1440))</x:f>
      </x:c>
      <x:c r="F22" s="29" t="str">
        <x:f>IF(B22="","",IFERROR(INDEX('05_BAO_CAO_NGAY'!$D$6:$D$505,MATCH(B22,'05_BAO_CAO_NGAY'!$A$6:$A$505,0)),""))</x:f>
      </x:c>
      <x:c r="G22" s="29" t="str">
        <x:f>IF(B22="","",IFERROR(INDEX('05_BAO_CAO_NGAY'!$E$6:$E$505,MATCH(B22,'05_BAO_CAO_NGAY'!$A$6:$A$505,0)),""))</x:f>
      </x:c>
      <x:c r="H22" s="29" t="str">
        <x:f>IF(B22="","",IFERROR(INDEX('05_BAO_CAO_NGAY'!$J$6:$J$505,MATCH(B22,'05_BAO_CAO_NGAY'!$A$6:$A$505,0)),""))</x:f>
      </x:c>
      <x:c r="I22" s="29" t="str">
        <x:f>IF(B22="","",IFERROR(INDEX('05_BAO_CAO_NGAY'!$M$6:$M$505,MATCH(B22,'05_BAO_CAO_NGAY'!$A$6:$A$505,0)),""))</x:f>
      </x:c>
      <x:c r="J22" s="21"/>
      <x:c r="K22" s="29" t="str">
        <x:f>IF(J22="","",IFERROR(INDEX(DM_LY_DO_DUNG!$C$6:$C$105,MATCH(J22,DM_LY_DO_DUNG!$A$6:$A$105,0)),""))</x:f>
      </x:c>
      <x:c r="L22" s="21"/>
      <x:c r="M22" s="21"/>
      <x:c r="N22" s="21"/>
      <x:c r="O22" s="21"/>
      <x:c r="P22" s="21"/>
      <x:c r="Q22" s="43"/>
      <x:c r="R22" s="29" t="str">
        <x:f>IF(A22="","",IF(OR(B22="",C22="",D22="",J22=""),"Thiếu dữ liệu",IF(D22&lt;C22,"Sai thời gian",IF(AND(P22="Đã đóng",Q22=""),"Thiếu thời điểm đóng","Hợp lệ"))))</x:f>
      </x:c>
    </x:row>
    <x:row r="23">
      <x:c r="A23" s="21"/>
      <x:c r="B23" s="21"/>
      <x:c r="C23" s="43"/>
      <x:c r="D23" s="43"/>
      <x:c r="E23" s="39" t="str">
        <x:f>IF(A23="","",MAX(0,(D23-C23)*1440))</x:f>
      </x:c>
      <x:c r="F23" s="29" t="str">
        <x:f>IF(B23="","",IFERROR(INDEX('05_BAO_CAO_NGAY'!$D$6:$D$505,MATCH(B23,'05_BAO_CAO_NGAY'!$A$6:$A$505,0)),""))</x:f>
      </x:c>
      <x:c r="G23" s="29" t="str">
        <x:f>IF(B23="","",IFERROR(INDEX('05_BAO_CAO_NGAY'!$E$6:$E$505,MATCH(B23,'05_BAO_CAO_NGAY'!$A$6:$A$505,0)),""))</x:f>
      </x:c>
      <x:c r="H23" s="29" t="str">
        <x:f>IF(B23="","",IFERROR(INDEX('05_BAO_CAO_NGAY'!$J$6:$J$505,MATCH(B23,'05_BAO_CAO_NGAY'!$A$6:$A$505,0)),""))</x:f>
      </x:c>
      <x:c r="I23" s="29" t="str">
        <x:f>IF(B23="","",IFERROR(INDEX('05_BAO_CAO_NGAY'!$M$6:$M$505,MATCH(B23,'05_BAO_CAO_NGAY'!$A$6:$A$505,0)),""))</x:f>
      </x:c>
      <x:c r="J23" s="21"/>
      <x:c r="K23" s="29" t="str">
        <x:f>IF(J23="","",IFERROR(INDEX(DM_LY_DO_DUNG!$C$6:$C$105,MATCH(J23,DM_LY_DO_DUNG!$A$6:$A$105,0)),""))</x:f>
      </x:c>
      <x:c r="L23" s="21"/>
      <x:c r="M23" s="21"/>
      <x:c r="N23" s="21"/>
      <x:c r="O23" s="21"/>
      <x:c r="P23" s="21"/>
      <x:c r="Q23" s="43"/>
      <x:c r="R23" s="29" t="str">
        <x:f>IF(A23="","",IF(OR(B23="",C23="",D23="",J23=""),"Thiếu dữ liệu",IF(D23&lt;C23,"Sai thời gian",IF(AND(P23="Đã đóng",Q23=""),"Thiếu thời điểm đóng","Hợp lệ"))))</x:f>
      </x:c>
    </x:row>
    <x:row r="24">
      <x:c r="A24" s="21"/>
      <x:c r="B24" s="21"/>
      <x:c r="C24" s="43"/>
      <x:c r="D24" s="43"/>
      <x:c r="E24" s="39" t="str">
        <x:f>IF(A24="","",MAX(0,(D24-C24)*1440))</x:f>
      </x:c>
      <x:c r="F24" s="29" t="str">
        <x:f>IF(B24="","",IFERROR(INDEX('05_BAO_CAO_NGAY'!$D$6:$D$505,MATCH(B24,'05_BAO_CAO_NGAY'!$A$6:$A$505,0)),""))</x:f>
      </x:c>
      <x:c r="G24" s="29" t="str">
        <x:f>IF(B24="","",IFERROR(INDEX('05_BAO_CAO_NGAY'!$E$6:$E$505,MATCH(B24,'05_BAO_CAO_NGAY'!$A$6:$A$505,0)),""))</x:f>
      </x:c>
      <x:c r="H24" s="29" t="str">
        <x:f>IF(B24="","",IFERROR(INDEX('05_BAO_CAO_NGAY'!$J$6:$J$505,MATCH(B24,'05_BAO_CAO_NGAY'!$A$6:$A$505,0)),""))</x:f>
      </x:c>
      <x:c r="I24" s="29" t="str">
        <x:f>IF(B24="","",IFERROR(INDEX('05_BAO_CAO_NGAY'!$M$6:$M$505,MATCH(B24,'05_BAO_CAO_NGAY'!$A$6:$A$505,0)),""))</x:f>
      </x:c>
      <x:c r="J24" s="21"/>
      <x:c r="K24" s="29" t="str">
        <x:f>IF(J24="","",IFERROR(INDEX(DM_LY_DO_DUNG!$C$6:$C$105,MATCH(J24,DM_LY_DO_DUNG!$A$6:$A$105,0)),""))</x:f>
      </x:c>
      <x:c r="L24" s="21"/>
      <x:c r="M24" s="21"/>
      <x:c r="N24" s="21"/>
      <x:c r="O24" s="21"/>
      <x:c r="P24" s="21"/>
      <x:c r="Q24" s="43"/>
      <x:c r="R24" s="29" t="str">
        <x:f>IF(A24="","",IF(OR(B24="",C24="",D24="",J24=""),"Thiếu dữ liệu",IF(D24&lt;C24,"Sai thời gian",IF(AND(P24="Đã đóng",Q24=""),"Thiếu thời điểm đóng","Hợp lệ"))))</x:f>
      </x:c>
    </x:row>
    <x:row r="25">
      <x:c r="A25" s="21"/>
      <x:c r="B25" s="21"/>
      <x:c r="C25" s="43"/>
      <x:c r="D25" s="43"/>
      <x:c r="E25" s="39" t="str">
        <x:f>IF(A25="","",MAX(0,(D25-C25)*1440))</x:f>
      </x:c>
      <x:c r="F25" s="29" t="str">
        <x:f>IF(B25="","",IFERROR(INDEX('05_BAO_CAO_NGAY'!$D$6:$D$505,MATCH(B25,'05_BAO_CAO_NGAY'!$A$6:$A$505,0)),""))</x:f>
      </x:c>
      <x:c r="G25" s="29" t="str">
        <x:f>IF(B25="","",IFERROR(INDEX('05_BAO_CAO_NGAY'!$E$6:$E$505,MATCH(B25,'05_BAO_CAO_NGAY'!$A$6:$A$505,0)),""))</x:f>
      </x:c>
      <x:c r="H25" s="29" t="str">
        <x:f>IF(B25="","",IFERROR(INDEX('05_BAO_CAO_NGAY'!$J$6:$J$505,MATCH(B25,'05_BAO_CAO_NGAY'!$A$6:$A$505,0)),""))</x:f>
      </x:c>
      <x:c r="I25" s="29" t="str">
        <x:f>IF(B25="","",IFERROR(INDEX('05_BAO_CAO_NGAY'!$M$6:$M$505,MATCH(B25,'05_BAO_CAO_NGAY'!$A$6:$A$505,0)),""))</x:f>
      </x:c>
      <x:c r="J25" s="21"/>
      <x:c r="K25" s="29" t="str">
        <x:f>IF(J25="","",IFERROR(INDEX(DM_LY_DO_DUNG!$C$6:$C$105,MATCH(J25,DM_LY_DO_DUNG!$A$6:$A$105,0)),""))</x:f>
      </x:c>
      <x:c r="L25" s="21"/>
      <x:c r="M25" s="21"/>
      <x:c r="N25" s="21"/>
      <x:c r="O25" s="21"/>
      <x:c r="P25" s="21"/>
      <x:c r="Q25" s="43"/>
      <x:c r="R25" s="29" t="str">
        <x:f>IF(A25="","",IF(OR(B25="",C25="",D25="",J25=""),"Thiếu dữ liệu",IF(D25&lt;C25,"Sai thời gian",IF(AND(P25="Đã đóng",Q25=""),"Thiếu thời điểm đóng","Hợp lệ"))))</x:f>
      </x:c>
    </x:row>
    <x:row r="26">
      <x:c r="A26" s="21"/>
      <x:c r="B26" s="21"/>
      <x:c r="C26" s="43"/>
      <x:c r="D26" s="43"/>
      <x:c r="E26" s="39" t="str">
        <x:f>IF(A26="","",MAX(0,(D26-C26)*1440))</x:f>
      </x:c>
      <x:c r="F26" s="29" t="str">
        <x:f>IF(B26="","",IFERROR(INDEX('05_BAO_CAO_NGAY'!$D$6:$D$505,MATCH(B26,'05_BAO_CAO_NGAY'!$A$6:$A$505,0)),""))</x:f>
      </x:c>
      <x:c r="G26" s="29" t="str">
        <x:f>IF(B26="","",IFERROR(INDEX('05_BAO_CAO_NGAY'!$E$6:$E$505,MATCH(B26,'05_BAO_CAO_NGAY'!$A$6:$A$505,0)),""))</x:f>
      </x:c>
      <x:c r="H26" s="29" t="str">
        <x:f>IF(B26="","",IFERROR(INDEX('05_BAO_CAO_NGAY'!$J$6:$J$505,MATCH(B26,'05_BAO_CAO_NGAY'!$A$6:$A$505,0)),""))</x:f>
      </x:c>
      <x:c r="I26" s="29" t="str">
        <x:f>IF(B26="","",IFERROR(INDEX('05_BAO_CAO_NGAY'!$M$6:$M$505,MATCH(B26,'05_BAO_CAO_NGAY'!$A$6:$A$505,0)),""))</x:f>
      </x:c>
      <x:c r="J26" s="21"/>
      <x:c r="K26" s="29" t="str">
        <x:f>IF(J26="","",IFERROR(INDEX(DM_LY_DO_DUNG!$C$6:$C$105,MATCH(J26,DM_LY_DO_DUNG!$A$6:$A$105,0)),""))</x:f>
      </x:c>
      <x:c r="L26" s="21"/>
      <x:c r="M26" s="21"/>
      <x:c r="N26" s="21"/>
      <x:c r="O26" s="21"/>
      <x:c r="P26" s="21"/>
      <x:c r="Q26" s="43"/>
      <x:c r="R26" s="29" t="str">
        <x:f>IF(A26="","",IF(OR(B26="",C26="",D26="",J26=""),"Thiếu dữ liệu",IF(D26&lt;C26,"Sai thời gian",IF(AND(P26="Đã đóng",Q26=""),"Thiếu thời điểm đóng","Hợp lệ"))))</x:f>
      </x:c>
    </x:row>
    <x:row r="27">
      <x:c r="A27" s="21"/>
      <x:c r="B27" s="21"/>
      <x:c r="C27" s="43"/>
      <x:c r="D27" s="43"/>
      <x:c r="E27" s="39" t="str">
        <x:f>IF(A27="","",MAX(0,(D27-C27)*1440))</x:f>
      </x:c>
      <x:c r="F27" s="29" t="str">
        <x:f>IF(B27="","",IFERROR(INDEX('05_BAO_CAO_NGAY'!$D$6:$D$505,MATCH(B27,'05_BAO_CAO_NGAY'!$A$6:$A$505,0)),""))</x:f>
      </x:c>
      <x:c r="G27" s="29" t="str">
        <x:f>IF(B27="","",IFERROR(INDEX('05_BAO_CAO_NGAY'!$E$6:$E$505,MATCH(B27,'05_BAO_CAO_NGAY'!$A$6:$A$505,0)),""))</x:f>
      </x:c>
      <x:c r="H27" s="29" t="str">
        <x:f>IF(B27="","",IFERROR(INDEX('05_BAO_CAO_NGAY'!$J$6:$J$505,MATCH(B27,'05_BAO_CAO_NGAY'!$A$6:$A$505,0)),""))</x:f>
      </x:c>
      <x:c r="I27" s="29" t="str">
        <x:f>IF(B27="","",IFERROR(INDEX('05_BAO_CAO_NGAY'!$M$6:$M$505,MATCH(B27,'05_BAO_CAO_NGAY'!$A$6:$A$505,0)),""))</x:f>
      </x:c>
      <x:c r="J27" s="21"/>
      <x:c r="K27" s="29" t="str">
        <x:f>IF(J27="","",IFERROR(INDEX(DM_LY_DO_DUNG!$C$6:$C$105,MATCH(J27,DM_LY_DO_DUNG!$A$6:$A$105,0)),""))</x:f>
      </x:c>
      <x:c r="L27" s="21"/>
      <x:c r="M27" s="21"/>
      <x:c r="N27" s="21"/>
      <x:c r="O27" s="21"/>
      <x:c r="P27" s="21"/>
      <x:c r="Q27" s="43"/>
      <x:c r="R27" s="29" t="str">
        <x:f>IF(A27="","",IF(OR(B27="",C27="",D27="",J27=""),"Thiếu dữ liệu",IF(D27&lt;C27,"Sai thời gian",IF(AND(P27="Đã đóng",Q27=""),"Thiếu thời điểm đóng","Hợp lệ"))))</x:f>
      </x:c>
    </x:row>
    <x:row r="28">
      <x:c r="A28" s="21"/>
      <x:c r="B28" s="21"/>
      <x:c r="C28" s="43"/>
      <x:c r="D28" s="43"/>
      <x:c r="E28" s="39" t="str">
        <x:f>IF(A28="","",MAX(0,(D28-C28)*1440))</x:f>
      </x:c>
      <x:c r="F28" s="29" t="str">
        <x:f>IF(B28="","",IFERROR(INDEX('05_BAO_CAO_NGAY'!$D$6:$D$505,MATCH(B28,'05_BAO_CAO_NGAY'!$A$6:$A$505,0)),""))</x:f>
      </x:c>
      <x:c r="G28" s="29" t="str">
        <x:f>IF(B28="","",IFERROR(INDEX('05_BAO_CAO_NGAY'!$E$6:$E$505,MATCH(B28,'05_BAO_CAO_NGAY'!$A$6:$A$505,0)),""))</x:f>
      </x:c>
      <x:c r="H28" s="29" t="str">
        <x:f>IF(B28="","",IFERROR(INDEX('05_BAO_CAO_NGAY'!$J$6:$J$505,MATCH(B28,'05_BAO_CAO_NGAY'!$A$6:$A$505,0)),""))</x:f>
      </x:c>
      <x:c r="I28" s="29" t="str">
        <x:f>IF(B28="","",IFERROR(INDEX('05_BAO_CAO_NGAY'!$M$6:$M$505,MATCH(B28,'05_BAO_CAO_NGAY'!$A$6:$A$505,0)),""))</x:f>
      </x:c>
      <x:c r="J28" s="21"/>
      <x:c r="K28" s="29" t="str">
        <x:f>IF(J28="","",IFERROR(INDEX(DM_LY_DO_DUNG!$C$6:$C$105,MATCH(J28,DM_LY_DO_DUNG!$A$6:$A$105,0)),""))</x:f>
      </x:c>
      <x:c r="L28" s="21"/>
      <x:c r="M28" s="21"/>
      <x:c r="N28" s="21"/>
      <x:c r="O28" s="21"/>
      <x:c r="P28" s="21"/>
      <x:c r="Q28" s="43"/>
      <x:c r="R28" s="29" t="str">
        <x:f>IF(A28="","",IF(OR(B28="",C28="",D28="",J28=""),"Thiếu dữ liệu",IF(D28&lt;C28,"Sai thời gian",IF(AND(P28="Đã đóng",Q28=""),"Thiếu thời điểm đóng","Hợp lệ"))))</x:f>
      </x:c>
    </x:row>
    <x:row r="29">
      <x:c r="A29" s="21"/>
      <x:c r="B29" s="21"/>
      <x:c r="C29" s="43"/>
      <x:c r="D29" s="43"/>
      <x:c r="E29" s="39" t="str">
        <x:f>IF(A29="","",MAX(0,(D29-C29)*1440))</x:f>
      </x:c>
      <x:c r="F29" s="29" t="str">
        <x:f>IF(B29="","",IFERROR(INDEX('05_BAO_CAO_NGAY'!$D$6:$D$505,MATCH(B29,'05_BAO_CAO_NGAY'!$A$6:$A$505,0)),""))</x:f>
      </x:c>
      <x:c r="G29" s="29" t="str">
        <x:f>IF(B29="","",IFERROR(INDEX('05_BAO_CAO_NGAY'!$E$6:$E$505,MATCH(B29,'05_BAO_CAO_NGAY'!$A$6:$A$505,0)),""))</x:f>
      </x:c>
      <x:c r="H29" s="29" t="str">
        <x:f>IF(B29="","",IFERROR(INDEX('05_BAO_CAO_NGAY'!$J$6:$J$505,MATCH(B29,'05_BAO_CAO_NGAY'!$A$6:$A$505,0)),""))</x:f>
      </x:c>
      <x:c r="I29" s="29" t="str">
        <x:f>IF(B29="","",IFERROR(INDEX('05_BAO_CAO_NGAY'!$M$6:$M$505,MATCH(B29,'05_BAO_CAO_NGAY'!$A$6:$A$505,0)),""))</x:f>
      </x:c>
      <x:c r="J29" s="21"/>
      <x:c r="K29" s="29" t="str">
        <x:f>IF(J29="","",IFERROR(INDEX(DM_LY_DO_DUNG!$C$6:$C$105,MATCH(J29,DM_LY_DO_DUNG!$A$6:$A$105,0)),""))</x:f>
      </x:c>
      <x:c r="L29" s="21"/>
      <x:c r="M29" s="21"/>
      <x:c r="N29" s="21"/>
      <x:c r="O29" s="21"/>
      <x:c r="P29" s="21"/>
      <x:c r="Q29" s="43"/>
      <x:c r="R29" s="29" t="str">
        <x:f>IF(A29="","",IF(OR(B29="",C29="",D29="",J29=""),"Thiếu dữ liệu",IF(D29&lt;C29,"Sai thời gian",IF(AND(P29="Đã đóng",Q29=""),"Thiếu thời điểm đóng","Hợp lệ"))))</x:f>
      </x:c>
    </x:row>
    <x:row r="30">
      <x:c r="A30" s="21"/>
      <x:c r="B30" s="21"/>
      <x:c r="C30" s="43"/>
      <x:c r="D30" s="43"/>
      <x:c r="E30" s="39" t="str">
        <x:f>IF(A30="","",MAX(0,(D30-C30)*1440))</x:f>
      </x:c>
      <x:c r="F30" s="29" t="str">
        <x:f>IF(B30="","",IFERROR(INDEX('05_BAO_CAO_NGAY'!$D$6:$D$505,MATCH(B30,'05_BAO_CAO_NGAY'!$A$6:$A$505,0)),""))</x:f>
      </x:c>
      <x:c r="G30" s="29" t="str">
        <x:f>IF(B30="","",IFERROR(INDEX('05_BAO_CAO_NGAY'!$E$6:$E$505,MATCH(B30,'05_BAO_CAO_NGAY'!$A$6:$A$505,0)),""))</x:f>
      </x:c>
      <x:c r="H30" s="29" t="str">
        <x:f>IF(B30="","",IFERROR(INDEX('05_BAO_CAO_NGAY'!$J$6:$J$505,MATCH(B30,'05_BAO_CAO_NGAY'!$A$6:$A$505,0)),""))</x:f>
      </x:c>
      <x:c r="I30" s="29" t="str">
        <x:f>IF(B30="","",IFERROR(INDEX('05_BAO_CAO_NGAY'!$M$6:$M$505,MATCH(B30,'05_BAO_CAO_NGAY'!$A$6:$A$505,0)),""))</x:f>
      </x:c>
      <x:c r="J30" s="21"/>
      <x:c r="K30" s="29" t="str">
        <x:f>IF(J30="","",IFERROR(INDEX(DM_LY_DO_DUNG!$C$6:$C$105,MATCH(J30,DM_LY_DO_DUNG!$A$6:$A$105,0)),""))</x:f>
      </x:c>
      <x:c r="L30" s="21"/>
      <x:c r="M30" s="21"/>
      <x:c r="N30" s="21"/>
      <x:c r="O30" s="21"/>
      <x:c r="P30" s="21"/>
      <x:c r="Q30" s="43"/>
      <x:c r="R30" s="29" t="str">
        <x:f>IF(A30="","",IF(OR(B30="",C30="",D30="",J30=""),"Thiếu dữ liệu",IF(D30&lt;C30,"Sai thời gian",IF(AND(P30="Đã đóng",Q30=""),"Thiếu thời điểm đóng","Hợp lệ"))))</x:f>
      </x:c>
    </x:row>
    <x:row r="31">
      <x:c r="A31" s="21"/>
      <x:c r="B31" s="21"/>
      <x:c r="C31" s="43"/>
      <x:c r="D31" s="43"/>
      <x:c r="E31" s="39" t="str">
        <x:f>IF(A31="","",MAX(0,(D31-C31)*1440))</x:f>
      </x:c>
      <x:c r="F31" s="29" t="str">
        <x:f>IF(B31="","",IFERROR(INDEX('05_BAO_CAO_NGAY'!$D$6:$D$505,MATCH(B31,'05_BAO_CAO_NGAY'!$A$6:$A$505,0)),""))</x:f>
      </x:c>
      <x:c r="G31" s="29" t="str">
        <x:f>IF(B31="","",IFERROR(INDEX('05_BAO_CAO_NGAY'!$E$6:$E$505,MATCH(B31,'05_BAO_CAO_NGAY'!$A$6:$A$505,0)),""))</x:f>
      </x:c>
      <x:c r="H31" s="29" t="str">
        <x:f>IF(B31="","",IFERROR(INDEX('05_BAO_CAO_NGAY'!$J$6:$J$505,MATCH(B31,'05_BAO_CAO_NGAY'!$A$6:$A$505,0)),""))</x:f>
      </x:c>
      <x:c r="I31" s="29" t="str">
        <x:f>IF(B31="","",IFERROR(INDEX('05_BAO_CAO_NGAY'!$M$6:$M$505,MATCH(B31,'05_BAO_CAO_NGAY'!$A$6:$A$505,0)),""))</x:f>
      </x:c>
      <x:c r="J31" s="21"/>
      <x:c r="K31" s="29" t="str">
        <x:f>IF(J31="","",IFERROR(INDEX(DM_LY_DO_DUNG!$C$6:$C$105,MATCH(J31,DM_LY_DO_DUNG!$A$6:$A$105,0)),""))</x:f>
      </x:c>
      <x:c r="L31" s="21"/>
      <x:c r="M31" s="21"/>
      <x:c r="N31" s="21"/>
      <x:c r="O31" s="21"/>
      <x:c r="P31" s="21"/>
      <x:c r="Q31" s="43"/>
      <x:c r="R31" s="29" t="str">
        <x:f>IF(A31="","",IF(OR(B31="",C31="",D31="",J31=""),"Thiếu dữ liệu",IF(D31&lt;C31,"Sai thời gian",IF(AND(P31="Đã đóng",Q31=""),"Thiếu thời điểm đóng","Hợp lệ"))))</x:f>
      </x:c>
    </x:row>
    <x:row r="32">
      <x:c r="A32" s="21"/>
      <x:c r="B32" s="21"/>
      <x:c r="C32" s="43"/>
      <x:c r="D32" s="43"/>
      <x:c r="E32" s="39" t="str">
        <x:f>IF(A32="","",MAX(0,(D32-C32)*1440))</x:f>
      </x:c>
      <x:c r="F32" s="29" t="str">
        <x:f>IF(B32="","",IFERROR(INDEX('05_BAO_CAO_NGAY'!$D$6:$D$505,MATCH(B32,'05_BAO_CAO_NGAY'!$A$6:$A$505,0)),""))</x:f>
      </x:c>
      <x:c r="G32" s="29" t="str">
        <x:f>IF(B32="","",IFERROR(INDEX('05_BAO_CAO_NGAY'!$E$6:$E$505,MATCH(B32,'05_BAO_CAO_NGAY'!$A$6:$A$505,0)),""))</x:f>
      </x:c>
      <x:c r="H32" s="29" t="str">
        <x:f>IF(B32="","",IFERROR(INDEX('05_BAO_CAO_NGAY'!$J$6:$J$505,MATCH(B32,'05_BAO_CAO_NGAY'!$A$6:$A$505,0)),""))</x:f>
      </x:c>
      <x:c r="I32" s="29" t="str">
        <x:f>IF(B32="","",IFERROR(INDEX('05_BAO_CAO_NGAY'!$M$6:$M$505,MATCH(B32,'05_BAO_CAO_NGAY'!$A$6:$A$505,0)),""))</x:f>
      </x:c>
      <x:c r="J32" s="21"/>
      <x:c r="K32" s="29" t="str">
        <x:f>IF(J32="","",IFERROR(INDEX(DM_LY_DO_DUNG!$C$6:$C$105,MATCH(J32,DM_LY_DO_DUNG!$A$6:$A$105,0)),""))</x:f>
      </x:c>
      <x:c r="L32" s="21"/>
      <x:c r="M32" s="21"/>
      <x:c r="N32" s="21"/>
      <x:c r="O32" s="21"/>
      <x:c r="P32" s="21"/>
      <x:c r="Q32" s="43"/>
      <x:c r="R32" s="29" t="str">
        <x:f>IF(A32="","",IF(OR(B32="",C32="",D32="",J32=""),"Thiếu dữ liệu",IF(D32&lt;C32,"Sai thời gian",IF(AND(P32="Đã đóng",Q32=""),"Thiếu thời điểm đóng","Hợp lệ"))))</x:f>
      </x:c>
    </x:row>
    <x:row r="33">
      <x:c r="A33" s="21"/>
      <x:c r="B33" s="21"/>
      <x:c r="C33" s="43"/>
      <x:c r="D33" s="43"/>
      <x:c r="E33" s="39" t="str">
        <x:f>IF(A33="","",MAX(0,(D33-C33)*1440))</x:f>
      </x:c>
      <x:c r="F33" s="29" t="str">
        <x:f>IF(B33="","",IFERROR(INDEX('05_BAO_CAO_NGAY'!$D$6:$D$505,MATCH(B33,'05_BAO_CAO_NGAY'!$A$6:$A$505,0)),""))</x:f>
      </x:c>
      <x:c r="G33" s="29" t="str">
        <x:f>IF(B33="","",IFERROR(INDEX('05_BAO_CAO_NGAY'!$E$6:$E$505,MATCH(B33,'05_BAO_CAO_NGAY'!$A$6:$A$505,0)),""))</x:f>
      </x:c>
      <x:c r="H33" s="29" t="str">
        <x:f>IF(B33="","",IFERROR(INDEX('05_BAO_CAO_NGAY'!$J$6:$J$505,MATCH(B33,'05_BAO_CAO_NGAY'!$A$6:$A$505,0)),""))</x:f>
      </x:c>
      <x:c r="I33" s="29" t="str">
        <x:f>IF(B33="","",IFERROR(INDEX('05_BAO_CAO_NGAY'!$M$6:$M$505,MATCH(B33,'05_BAO_CAO_NGAY'!$A$6:$A$505,0)),""))</x:f>
      </x:c>
      <x:c r="J33" s="21"/>
      <x:c r="K33" s="29" t="str">
        <x:f>IF(J33="","",IFERROR(INDEX(DM_LY_DO_DUNG!$C$6:$C$105,MATCH(J33,DM_LY_DO_DUNG!$A$6:$A$105,0)),""))</x:f>
      </x:c>
      <x:c r="L33" s="21"/>
      <x:c r="M33" s="21"/>
      <x:c r="N33" s="21"/>
      <x:c r="O33" s="21"/>
      <x:c r="P33" s="21"/>
      <x:c r="Q33" s="43"/>
      <x:c r="R33" s="29" t="str">
        <x:f>IF(A33="","",IF(OR(B33="",C33="",D33="",J33=""),"Thiếu dữ liệu",IF(D33&lt;C33,"Sai thời gian",IF(AND(P33="Đã đóng",Q33=""),"Thiếu thời điểm đóng","Hợp lệ"))))</x:f>
      </x:c>
    </x:row>
    <x:row r="34">
      <x:c r="A34" s="21"/>
      <x:c r="B34" s="21"/>
      <x:c r="C34" s="43"/>
      <x:c r="D34" s="43"/>
      <x:c r="E34" s="39" t="str">
        <x:f>IF(A34="","",MAX(0,(D34-C34)*1440))</x:f>
      </x:c>
      <x:c r="F34" s="29" t="str">
        <x:f>IF(B34="","",IFERROR(INDEX('05_BAO_CAO_NGAY'!$D$6:$D$505,MATCH(B34,'05_BAO_CAO_NGAY'!$A$6:$A$505,0)),""))</x:f>
      </x:c>
      <x:c r="G34" s="29" t="str">
        <x:f>IF(B34="","",IFERROR(INDEX('05_BAO_CAO_NGAY'!$E$6:$E$505,MATCH(B34,'05_BAO_CAO_NGAY'!$A$6:$A$505,0)),""))</x:f>
      </x:c>
      <x:c r="H34" s="29" t="str">
        <x:f>IF(B34="","",IFERROR(INDEX('05_BAO_CAO_NGAY'!$J$6:$J$505,MATCH(B34,'05_BAO_CAO_NGAY'!$A$6:$A$505,0)),""))</x:f>
      </x:c>
      <x:c r="I34" s="29" t="str">
        <x:f>IF(B34="","",IFERROR(INDEX('05_BAO_CAO_NGAY'!$M$6:$M$505,MATCH(B34,'05_BAO_CAO_NGAY'!$A$6:$A$505,0)),""))</x:f>
      </x:c>
      <x:c r="J34" s="21"/>
      <x:c r="K34" s="29" t="str">
        <x:f>IF(J34="","",IFERROR(INDEX(DM_LY_DO_DUNG!$C$6:$C$105,MATCH(J34,DM_LY_DO_DUNG!$A$6:$A$105,0)),""))</x:f>
      </x:c>
      <x:c r="L34" s="21"/>
      <x:c r="M34" s="21"/>
      <x:c r="N34" s="21"/>
      <x:c r="O34" s="21"/>
      <x:c r="P34" s="21"/>
      <x:c r="Q34" s="43"/>
      <x:c r="R34" s="29" t="str">
        <x:f>IF(A34="","",IF(OR(B34="",C34="",D34="",J34=""),"Thiếu dữ liệu",IF(D34&lt;C34,"Sai thời gian",IF(AND(P34="Đã đóng",Q34=""),"Thiếu thời điểm đóng","Hợp lệ"))))</x:f>
      </x:c>
    </x:row>
    <x:row r="35">
      <x:c r="A35" s="21"/>
      <x:c r="B35" s="21"/>
      <x:c r="C35" s="43"/>
      <x:c r="D35" s="43"/>
      <x:c r="E35" s="39" t="str">
        <x:f>IF(A35="","",MAX(0,(D35-C35)*1440))</x:f>
      </x:c>
      <x:c r="F35" s="29" t="str">
        <x:f>IF(B35="","",IFERROR(INDEX('05_BAO_CAO_NGAY'!$D$6:$D$505,MATCH(B35,'05_BAO_CAO_NGAY'!$A$6:$A$505,0)),""))</x:f>
      </x:c>
      <x:c r="G35" s="29" t="str">
        <x:f>IF(B35="","",IFERROR(INDEX('05_BAO_CAO_NGAY'!$E$6:$E$505,MATCH(B35,'05_BAO_CAO_NGAY'!$A$6:$A$505,0)),""))</x:f>
      </x:c>
      <x:c r="H35" s="29" t="str">
        <x:f>IF(B35="","",IFERROR(INDEX('05_BAO_CAO_NGAY'!$J$6:$J$505,MATCH(B35,'05_BAO_CAO_NGAY'!$A$6:$A$505,0)),""))</x:f>
      </x:c>
      <x:c r="I35" s="29" t="str">
        <x:f>IF(B35="","",IFERROR(INDEX('05_BAO_CAO_NGAY'!$M$6:$M$505,MATCH(B35,'05_BAO_CAO_NGAY'!$A$6:$A$505,0)),""))</x:f>
      </x:c>
      <x:c r="J35" s="21"/>
      <x:c r="K35" s="29" t="str">
        <x:f>IF(J35="","",IFERROR(INDEX(DM_LY_DO_DUNG!$C$6:$C$105,MATCH(J35,DM_LY_DO_DUNG!$A$6:$A$105,0)),""))</x:f>
      </x:c>
      <x:c r="L35" s="21"/>
      <x:c r="M35" s="21"/>
      <x:c r="N35" s="21"/>
      <x:c r="O35" s="21"/>
      <x:c r="P35" s="21"/>
      <x:c r="Q35" s="43"/>
      <x:c r="R35" s="29" t="str">
        <x:f>IF(A35="","",IF(OR(B35="",C35="",D35="",J35=""),"Thiếu dữ liệu",IF(D35&lt;C35,"Sai thời gian",IF(AND(P35="Đã đóng",Q35=""),"Thiếu thời điểm đóng","Hợp lệ"))))</x:f>
      </x:c>
    </x:row>
    <x:row r="36">
      <x:c r="A36" s="21"/>
      <x:c r="B36" s="21"/>
      <x:c r="C36" s="43"/>
      <x:c r="D36" s="43"/>
      <x:c r="E36" s="39" t="str">
        <x:f>IF(A36="","",MAX(0,(D36-C36)*1440))</x:f>
      </x:c>
      <x:c r="F36" s="29" t="str">
        <x:f>IF(B36="","",IFERROR(INDEX('05_BAO_CAO_NGAY'!$D$6:$D$505,MATCH(B36,'05_BAO_CAO_NGAY'!$A$6:$A$505,0)),""))</x:f>
      </x:c>
      <x:c r="G36" s="29" t="str">
        <x:f>IF(B36="","",IFERROR(INDEX('05_BAO_CAO_NGAY'!$E$6:$E$505,MATCH(B36,'05_BAO_CAO_NGAY'!$A$6:$A$505,0)),""))</x:f>
      </x:c>
      <x:c r="H36" s="29" t="str">
        <x:f>IF(B36="","",IFERROR(INDEX('05_BAO_CAO_NGAY'!$J$6:$J$505,MATCH(B36,'05_BAO_CAO_NGAY'!$A$6:$A$505,0)),""))</x:f>
      </x:c>
      <x:c r="I36" s="29" t="str">
        <x:f>IF(B36="","",IFERROR(INDEX('05_BAO_CAO_NGAY'!$M$6:$M$505,MATCH(B36,'05_BAO_CAO_NGAY'!$A$6:$A$505,0)),""))</x:f>
      </x:c>
      <x:c r="J36" s="21"/>
      <x:c r="K36" s="29" t="str">
        <x:f>IF(J36="","",IFERROR(INDEX(DM_LY_DO_DUNG!$C$6:$C$105,MATCH(J36,DM_LY_DO_DUNG!$A$6:$A$105,0)),""))</x:f>
      </x:c>
      <x:c r="L36" s="21"/>
      <x:c r="M36" s="21"/>
      <x:c r="N36" s="21"/>
      <x:c r="O36" s="21"/>
      <x:c r="P36" s="21"/>
      <x:c r="Q36" s="43"/>
      <x:c r="R36" s="29" t="str">
        <x:f>IF(A36="","",IF(OR(B36="",C36="",D36="",J36=""),"Thiếu dữ liệu",IF(D36&lt;C36,"Sai thời gian",IF(AND(P36="Đã đóng",Q36=""),"Thiếu thời điểm đóng","Hợp lệ"))))</x:f>
      </x:c>
    </x:row>
    <x:row r="37">
      <x:c r="A37" s="21"/>
      <x:c r="B37" s="21"/>
      <x:c r="C37" s="43"/>
      <x:c r="D37" s="43"/>
      <x:c r="E37" s="39" t="str">
        <x:f>IF(A37="","",MAX(0,(D37-C37)*1440))</x:f>
      </x:c>
      <x:c r="F37" s="29" t="str">
        <x:f>IF(B37="","",IFERROR(INDEX('05_BAO_CAO_NGAY'!$D$6:$D$505,MATCH(B37,'05_BAO_CAO_NGAY'!$A$6:$A$505,0)),""))</x:f>
      </x:c>
      <x:c r="G37" s="29" t="str">
        <x:f>IF(B37="","",IFERROR(INDEX('05_BAO_CAO_NGAY'!$E$6:$E$505,MATCH(B37,'05_BAO_CAO_NGAY'!$A$6:$A$505,0)),""))</x:f>
      </x:c>
      <x:c r="H37" s="29" t="str">
        <x:f>IF(B37="","",IFERROR(INDEX('05_BAO_CAO_NGAY'!$J$6:$J$505,MATCH(B37,'05_BAO_CAO_NGAY'!$A$6:$A$505,0)),""))</x:f>
      </x:c>
      <x:c r="I37" s="29" t="str">
        <x:f>IF(B37="","",IFERROR(INDEX('05_BAO_CAO_NGAY'!$M$6:$M$505,MATCH(B37,'05_BAO_CAO_NGAY'!$A$6:$A$505,0)),""))</x:f>
      </x:c>
      <x:c r="J37" s="21"/>
      <x:c r="K37" s="29" t="str">
        <x:f>IF(J37="","",IFERROR(INDEX(DM_LY_DO_DUNG!$C$6:$C$105,MATCH(J37,DM_LY_DO_DUNG!$A$6:$A$105,0)),""))</x:f>
      </x:c>
      <x:c r="L37" s="21"/>
      <x:c r="M37" s="21"/>
      <x:c r="N37" s="21"/>
      <x:c r="O37" s="21"/>
      <x:c r="P37" s="21"/>
      <x:c r="Q37" s="43"/>
      <x:c r="R37" s="29" t="str">
        <x:f>IF(A37="","",IF(OR(B37="",C37="",D37="",J37=""),"Thiếu dữ liệu",IF(D37&lt;C37,"Sai thời gian",IF(AND(P37="Đã đóng",Q37=""),"Thiếu thời điểm đóng","Hợp lệ"))))</x:f>
      </x:c>
    </x:row>
    <x:row r="38">
      <x:c r="A38" s="21"/>
      <x:c r="B38" s="21"/>
      <x:c r="C38" s="43"/>
      <x:c r="D38" s="43"/>
      <x:c r="E38" s="39" t="str">
        <x:f>IF(A38="","",MAX(0,(D38-C38)*1440))</x:f>
      </x:c>
      <x:c r="F38" s="29" t="str">
        <x:f>IF(B38="","",IFERROR(INDEX('05_BAO_CAO_NGAY'!$D$6:$D$505,MATCH(B38,'05_BAO_CAO_NGAY'!$A$6:$A$505,0)),""))</x:f>
      </x:c>
      <x:c r="G38" s="29" t="str">
        <x:f>IF(B38="","",IFERROR(INDEX('05_BAO_CAO_NGAY'!$E$6:$E$505,MATCH(B38,'05_BAO_CAO_NGAY'!$A$6:$A$505,0)),""))</x:f>
      </x:c>
      <x:c r="H38" s="29" t="str">
        <x:f>IF(B38="","",IFERROR(INDEX('05_BAO_CAO_NGAY'!$J$6:$J$505,MATCH(B38,'05_BAO_CAO_NGAY'!$A$6:$A$505,0)),""))</x:f>
      </x:c>
      <x:c r="I38" s="29" t="str">
        <x:f>IF(B38="","",IFERROR(INDEX('05_BAO_CAO_NGAY'!$M$6:$M$505,MATCH(B38,'05_BAO_CAO_NGAY'!$A$6:$A$505,0)),""))</x:f>
      </x:c>
      <x:c r="J38" s="21"/>
      <x:c r="K38" s="29" t="str">
        <x:f>IF(J38="","",IFERROR(INDEX(DM_LY_DO_DUNG!$C$6:$C$105,MATCH(J38,DM_LY_DO_DUNG!$A$6:$A$105,0)),""))</x:f>
      </x:c>
      <x:c r="L38" s="21"/>
      <x:c r="M38" s="21"/>
      <x:c r="N38" s="21"/>
      <x:c r="O38" s="21"/>
      <x:c r="P38" s="21"/>
      <x:c r="Q38" s="43"/>
      <x:c r="R38" s="29" t="str">
        <x:f>IF(A38="","",IF(OR(B38="",C38="",D38="",J38=""),"Thiếu dữ liệu",IF(D38&lt;C38,"Sai thời gian",IF(AND(P38="Đã đóng",Q38=""),"Thiếu thời điểm đóng","Hợp lệ"))))</x:f>
      </x:c>
    </x:row>
    <x:row r="39">
      <x:c r="A39" s="21"/>
      <x:c r="B39" s="21"/>
      <x:c r="C39" s="43"/>
      <x:c r="D39" s="43"/>
      <x:c r="E39" s="39" t="str">
        <x:f>IF(A39="","",MAX(0,(D39-C39)*1440))</x:f>
      </x:c>
      <x:c r="F39" s="29" t="str">
        <x:f>IF(B39="","",IFERROR(INDEX('05_BAO_CAO_NGAY'!$D$6:$D$505,MATCH(B39,'05_BAO_CAO_NGAY'!$A$6:$A$505,0)),""))</x:f>
      </x:c>
      <x:c r="G39" s="29" t="str">
        <x:f>IF(B39="","",IFERROR(INDEX('05_BAO_CAO_NGAY'!$E$6:$E$505,MATCH(B39,'05_BAO_CAO_NGAY'!$A$6:$A$505,0)),""))</x:f>
      </x:c>
      <x:c r="H39" s="29" t="str">
        <x:f>IF(B39="","",IFERROR(INDEX('05_BAO_CAO_NGAY'!$J$6:$J$505,MATCH(B39,'05_BAO_CAO_NGAY'!$A$6:$A$505,0)),""))</x:f>
      </x:c>
      <x:c r="I39" s="29" t="str">
        <x:f>IF(B39="","",IFERROR(INDEX('05_BAO_CAO_NGAY'!$M$6:$M$505,MATCH(B39,'05_BAO_CAO_NGAY'!$A$6:$A$505,0)),""))</x:f>
      </x:c>
      <x:c r="J39" s="21"/>
      <x:c r="K39" s="29" t="str">
        <x:f>IF(J39="","",IFERROR(INDEX(DM_LY_DO_DUNG!$C$6:$C$105,MATCH(J39,DM_LY_DO_DUNG!$A$6:$A$105,0)),""))</x:f>
      </x:c>
      <x:c r="L39" s="21"/>
      <x:c r="M39" s="21"/>
      <x:c r="N39" s="21"/>
      <x:c r="O39" s="21"/>
      <x:c r="P39" s="21"/>
      <x:c r="Q39" s="43"/>
      <x:c r="R39" s="29" t="str">
        <x:f>IF(A39="","",IF(OR(B39="",C39="",D39="",J39=""),"Thiếu dữ liệu",IF(D39&lt;C39,"Sai thời gian",IF(AND(P39="Đã đóng",Q39=""),"Thiếu thời điểm đóng","Hợp lệ"))))</x:f>
      </x:c>
    </x:row>
    <x:row r="40">
      <x:c r="A40" s="21"/>
      <x:c r="B40" s="21"/>
      <x:c r="C40" s="43"/>
      <x:c r="D40" s="43"/>
      <x:c r="E40" s="39" t="str">
        <x:f>IF(A40="","",MAX(0,(D40-C40)*1440))</x:f>
      </x:c>
      <x:c r="F40" s="29" t="str">
        <x:f>IF(B40="","",IFERROR(INDEX('05_BAO_CAO_NGAY'!$D$6:$D$505,MATCH(B40,'05_BAO_CAO_NGAY'!$A$6:$A$505,0)),""))</x:f>
      </x:c>
      <x:c r="G40" s="29" t="str">
        <x:f>IF(B40="","",IFERROR(INDEX('05_BAO_CAO_NGAY'!$E$6:$E$505,MATCH(B40,'05_BAO_CAO_NGAY'!$A$6:$A$505,0)),""))</x:f>
      </x:c>
      <x:c r="H40" s="29" t="str">
        <x:f>IF(B40="","",IFERROR(INDEX('05_BAO_CAO_NGAY'!$J$6:$J$505,MATCH(B40,'05_BAO_CAO_NGAY'!$A$6:$A$505,0)),""))</x:f>
      </x:c>
      <x:c r="I40" s="29" t="str">
        <x:f>IF(B40="","",IFERROR(INDEX('05_BAO_CAO_NGAY'!$M$6:$M$505,MATCH(B40,'05_BAO_CAO_NGAY'!$A$6:$A$505,0)),""))</x:f>
      </x:c>
      <x:c r="J40" s="21"/>
      <x:c r="K40" s="29" t="str">
        <x:f>IF(J40="","",IFERROR(INDEX(DM_LY_DO_DUNG!$C$6:$C$105,MATCH(J40,DM_LY_DO_DUNG!$A$6:$A$105,0)),""))</x:f>
      </x:c>
      <x:c r="L40" s="21"/>
      <x:c r="M40" s="21"/>
      <x:c r="N40" s="21"/>
      <x:c r="O40" s="21"/>
      <x:c r="P40" s="21"/>
      <x:c r="Q40" s="43"/>
      <x:c r="R40" s="29" t="str">
        <x:f>IF(A40="","",IF(OR(B40="",C40="",D40="",J40=""),"Thiếu dữ liệu",IF(D40&lt;C40,"Sai thời gian",IF(AND(P40="Đã đóng",Q40=""),"Thiếu thời điểm đóng","Hợp lệ"))))</x:f>
      </x:c>
    </x:row>
    <x:row r="41">
      <x:c r="A41" s="21"/>
      <x:c r="B41" s="21"/>
      <x:c r="C41" s="43"/>
      <x:c r="D41" s="43"/>
      <x:c r="E41" s="39" t="str">
        <x:f>IF(A41="","",MAX(0,(D41-C41)*1440))</x:f>
      </x:c>
      <x:c r="F41" s="29" t="str">
        <x:f>IF(B41="","",IFERROR(INDEX('05_BAO_CAO_NGAY'!$D$6:$D$505,MATCH(B41,'05_BAO_CAO_NGAY'!$A$6:$A$505,0)),""))</x:f>
      </x:c>
      <x:c r="G41" s="29" t="str">
        <x:f>IF(B41="","",IFERROR(INDEX('05_BAO_CAO_NGAY'!$E$6:$E$505,MATCH(B41,'05_BAO_CAO_NGAY'!$A$6:$A$505,0)),""))</x:f>
      </x:c>
      <x:c r="H41" s="29" t="str">
        <x:f>IF(B41="","",IFERROR(INDEX('05_BAO_CAO_NGAY'!$J$6:$J$505,MATCH(B41,'05_BAO_CAO_NGAY'!$A$6:$A$505,0)),""))</x:f>
      </x:c>
      <x:c r="I41" s="29" t="str">
        <x:f>IF(B41="","",IFERROR(INDEX('05_BAO_CAO_NGAY'!$M$6:$M$505,MATCH(B41,'05_BAO_CAO_NGAY'!$A$6:$A$505,0)),""))</x:f>
      </x:c>
      <x:c r="J41" s="21"/>
      <x:c r="K41" s="29" t="str">
        <x:f>IF(J41="","",IFERROR(INDEX(DM_LY_DO_DUNG!$C$6:$C$105,MATCH(J41,DM_LY_DO_DUNG!$A$6:$A$105,0)),""))</x:f>
      </x:c>
      <x:c r="L41" s="21"/>
      <x:c r="M41" s="21"/>
      <x:c r="N41" s="21"/>
      <x:c r="O41" s="21"/>
      <x:c r="P41" s="21"/>
      <x:c r="Q41" s="43"/>
      <x:c r="R41" s="29" t="str">
        <x:f>IF(A41="","",IF(OR(B41="",C41="",D41="",J41=""),"Thiếu dữ liệu",IF(D41&lt;C41,"Sai thời gian",IF(AND(P41="Đã đóng",Q41=""),"Thiếu thời điểm đóng","Hợp lệ"))))</x:f>
      </x:c>
    </x:row>
    <x:row r="42">
      <x:c r="A42" s="21"/>
      <x:c r="B42" s="21"/>
      <x:c r="C42" s="43"/>
      <x:c r="D42" s="43"/>
      <x:c r="E42" s="39" t="str">
        <x:f>IF(A42="","",MAX(0,(D42-C42)*1440))</x:f>
      </x:c>
      <x:c r="F42" s="29" t="str">
        <x:f>IF(B42="","",IFERROR(INDEX('05_BAO_CAO_NGAY'!$D$6:$D$505,MATCH(B42,'05_BAO_CAO_NGAY'!$A$6:$A$505,0)),""))</x:f>
      </x:c>
      <x:c r="G42" s="29" t="str">
        <x:f>IF(B42="","",IFERROR(INDEX('05_BAO_CAO_NGAY'!$E$6:$E$505,MATCH(B42,'05_BAO_CAO_NGAY'!$A$6:$A$505,0)),""))</x:f>
      </x:c>
      <x:c r="H42" s="29" t="str">
        <x:f>IF(B42="","",IFERROR(INDEX('05_BAO_CAO_NGAY'!$J$6:$J$505,MATCH(B42,'05_BAO_CAO_NGAY'!$A$6:$A$505,0)),""))</x:f>
      </x:c>
      <x:c r="I42" s="29" t="str">
        <x:f>IF(B42="","",IFERROR(INDEX('05_BAO_CAO_NGAY'!$M$6:$M$505,MATCH(B42,'05_BAO_CAO_NGAY'!$A$6:$A$505,0)),""))</x:f>
      </x:c>
      <x:c r="J42" s="21"/>
      <x:c r="K42" s="29" t="str">
        <x:f>IF(J42="","",IFERROR(INDEX(DM_LY_DO_DUNG!$C$6:$C$105,MATCH(J42,DM_LY_DO_DUNG!$A$6:$A$105,0)),""))</x:f>
      </x:c>
      <x:c r="L42" s="21"/>
      <x:c r="M42" s="21"/>
      <x:c r="N42" s="21"/>
      <x:c r="O42" s="21"/>
      <x:c r="P42" s="21"/>
      <x:c r="Q42" s="43"/>
      <x:c r="R42" s="29" t="str">
        <x:f>IF(A42="","",IF(OR(B42="",C42="",D42="",J42=""),"Thiếu dữ liệu",IF(D42&lt;C42,"Sai thời gian",IF(AND(P42="Đã đóng",Q42=""),"Thiếu thời điểm đóng","Hợp lệ"))))</x:f>
      </x:c>
    </x:row>
    <x:row r="43">
      <x:c r="A43" s="21"/>
      <x:c r="B43" s="21"/>
      <x:c r="C43" s="43"/>
      <x:c r="D43" s="43"/>
      <x:c r="E43" s="39" t="str">
        <x:f>IF(A43="","",MAX(0,(D43-C43)*1440))</x:f>
      </x:c>
      <x:c r="F43" s="29" t="str">
        <x:f>IF(B43="","",IFERROR(INDEX('05_BAO_CAO_NGAY'!$D$6:$D$505,MATCH(B43,'05_BAO_CAO_NGAY'!$A$6:$A$505,0)),""))</x:f>
      </x:c>
      <x:c r="G43" s="29" t="str">
        <x:f>IF(B43="","",IFERROR(INDEX('05_BAO_CAO_NGAY'!$E$6:$E$505,MATCH(B43,'05_BAO_CAO_NGAY'!$A$6:$A$505,0)),""))</x:f>
      </x:c>
      <x:c r="H43" s="29" t="str">
        <x:f>IF(B43="","",IFERROR(INDEX('05_BAO_CAO_NGAY'!$J$6:$J$505,MATCH(B43,'05_BAO_CAO_NGAY'!$A$6:$A$505,0)),""))</x:f>
      </x:c>
      <x:c r="I43" s="29" t="str">
        <x:f>IF(B43="","",IFERROR(INDEX('05_BAO_CAO_NGAY'!$M$6:$M$505,MATCH(B43,'05_BAO_CAO_NGAY'!$A$6:$A$505,0)),""))</x:f>
      </x:c>
      <x:c r="J43" s="21"/>
      <x:c r="K43" s="29" t="str">
        <x:f>IF(J43="","",IFERROR(INDEX(DM_LY_DO_DUNG!$C$6:$C$105,MATCH(J43,DM_LY_DO_DUNG!$A$6:$A$105,0)),""))</x:f>
      </x:c>
      <x:c r="L43" s="21"/>
      <x:c r="M43" s="21"/>
      <x:c r="N43" s="21"/>
      <x:c r="O43" s="21"/>
      <x:c r="P43" s="21"/>
      <x:c r="Q43" s="43"/>
      <x:c r="R43" s="29" t="str">
        <x:f>IF(A43="","",IF(OR(B43="",C43="",D43="",J43=""),"Thiếu dữ liệu",IF(D43&lt;C43,"Sai thời gian",IF(AND(P43="Đã đóng",Q43=""),"Thiếu thời điểm đóng","Hợp lệ"))))</x:f>
      </x:c>
    </x:row>
    <x:row r="44">
      <x:c r="A44" s="21"/>
      <x:c r="B44" s="21"/>
      <x:c r="C44" s="43"/>
      <x:c r="D44" s="43"/>
      <x:c r="E44" s="39" t="str">
        <x:f>IF(A44="","",MAX(0,(D44-C44)*1440))</x:f>
      </x:c>
      <x:c r="F44" s="29" t="str">
        <x:f>IF(B44="","",IFERROR(INDEX('05_BAO_CAO_NGAY'!$D$6:$D$505,MATCH(B44,'05_BAO_CAO_NGAY'!$A$6:$A$505,0)),""))</x:f>
      </x:c>
      <x:c r="G44" s="29" t="str">
        <x:f>IF(B44="","",IFERROR(INDEX('05_BAO_CAO_NGAY'!$E$6:$E$505,MATCH(B44,'05_BAO_CAO_NGAY'!$A$6:$A$505,0)),""))</x:f>
      </x:c>
      <x:c r="H44" s="29" t="str">
        <x:f>IF(B44="","",IFERROR(INDEX('05_BAO_CAO_NGAY'!$J$6:$J$505,MATCH(B44,'05_BAO_CAO_NGAY'!$A$6:$A$505,0)),""))</x:f>
      </x:c>
      <x:c r="I44" s="29" t="str">
        <x:f>IF(B44="","",IFERROR(INDEX('05_BAO_CAO_NGAY'!$M$6:$M$505,MATCH(B44,'05_BAO_CAO_NGAY'!$A$6:$A$505,0)),""))</x:f>
      </x:c>
      <x:c r="J44" s="21"/>
      <x:c r="K44" s="29" t="str">
        <x:f>IF(J44="","",IFERROR(INDEX(DM_LY_DO_DUNG!$C$6:$C$105,MATCH(J44,DM_LY_DO_DUNG!$A$6:$A$105,0)),""))</x:f>
      </x:c>
      <x:c r="L44" s="21"/>
      <x:c r="M44" s="21"/>
      <x:c r="N44" s="21"/>
      <x:c r="O44" s="21"/>
      <x:c r="P44" s="21"/>
      <x:c r="Q44" s="43"/>
      <x:c r="R44" s="29" t="str">
        <x:f>IF(A44="","",IF(OR(B44="",C44="",D44="",J44=""),"Thiếu dữ liệu",IF(D44&lt;C44,"Sai thời gian",IF(AND(P44="Đã đóng",Q44=""),"Thiếu thời điểm đóng","Hợp lệ"))))</x:f>
      </x:c>
    </x:row>
    <x:row r="45">
      <x:c r="A45" s="21"/>
      <x:c r="B45" s="21"/>
      <x:c r="C45" s="43"/>
      <x:c r="D45" s="43"/>
      <x:c r="E45" s="39" t="str">
        <x:f>IF(A45="","",MAX(0,(D45-C45)*1440))</x:f>
      </x:c>
      <x:c r="F45" s="29" t="str">
        <x:f>IF(B45="","",IFERROR(INDEX('05_BAO_CAO_NGAY'!$D$6:$D$505,MATCH(B45,'05_BAO_CAO_NGAY'!$A$6:$A$505,0)),""))</x:f>
      </x:c>
      <x:c r="G45" s="29" t="str">
        <x:f>IF(B45="","",IFERROR(INDEX('05_BAO_CAO_NGAY'!$E$6:$E$505,MATCH(B45,'05_BAO_CAO_NGAY'!$A$6:$A$505,0)),""))</x:f>
      </x:c>
      <x:c r="H45" s="29" t="str">
        <x:f>IF(B45="","",IFERROR(INDEX('05_BAO_CAO_NGAY'!$J$6:$J$505,MATCH(B45,'05_BAO_CAO_NGAY'!$A$6:$A$505,0)),""))</x:f>
      </x:c>
      <x:c r="I45" s="29" t="str">
        <x:f>IF(B45="","",IFERROR(INDEX('05_BAO_CAO_NGAY'!$M$6:$M$505,MATCH(B45,'05_BAO_CAO_NGAY'!$A$6:$A$505,0)),""))</x:f>
      </x:c>
      <x:c r="J45" s="21"/>
      <x:c r="K45" s="29" t="str">
        <x:f>IF(J45="","",IFERROR(INDEX(DM_LY_DO_DUNG!$C$6:$C$105,MATCH(J45,DM_LY_DO_DUNG!$A$6:$A$105,0)),""))</x:f>
      </x:c>
      <x:c r="L45" s="21"/>
      <x:c r="M45" s="21"/>
      <x:c r="N45" s="21"/>
      <x:c r="O45" s="21"/>
      <x:c r="P45" s="21"/>
      <x:c r="Q45" s="43"/>
      <x:c r="R45" s="29" t="str">
        <x:f>IF(A45="","",IF(OR(B45="",C45="",D45="",J45=""),"Thiếu dữ liệu",IF(D45&lt;C45,"Sai thời gian",IF(AND(P45="Đã đóng",Q45=""),"Thiếu thời điểm đóng","Hợp lệ"))))</x:f>
      </x:c>
    </x:row>
    <x:row r="46">
      <x:c r="A46" s="21"/>
      <x:c r="B46" s="21"/>
      <x:c r="C46" s="43"/>
      <x:c r="D46" s="43"/>
      <x:c r="E46" s="39" t="str">
        <x:f>IF(A46="","",MAX(0,(D46-C46)*1440))</x:f>
      </x:c>
      <x:c r="F46" s="29" t="str">
        <x:f>IF(B46="","",IFERROR(INDEX('05_BAO_CAO_NGAY'!$D$6:$D$505,MATCH(B46,'05_BAO_CAO_NGAY'!$A$6:$A$505,0)),""))</x:f>
      </x:c>
      <x:c r="G46" s="29" t="str">
        <x:f>IF(B46="","",IFERROR(INDEX('05_BAO_CAO_NGAY'!$E$6:$E$505,MATCH(B46,'05_BAO_CAO_NGAY'!$A$6:$A$505,0)),""))</x:f>
      </x:c>
      <x:c r="H46" s="29" t="str">
        <x:f>IF(B46="","",IFERROR(INDEX('05_BAO_CAO_NGAY'!$J$6:$J$505,MATCH(B46,'05_BAO_CAO_NGAY'!$A$6:$A$505,0)),""))</x:f>
      </x:c>
      <x:c r="I46" s="29" t="str">
        <x:f>IF(B46="","",IFERROR(INDEX('05_BAO_CAO_NGAY'!$M$6:$M$505,MATCH(B46,'05_BAO_CAO_NGAY'!$A$6:$A$505,0)),""))</x:f>
      </x:c>
      <x:c r="J46" s="21"/>
      <x:c r="K46" s="29" t="str">
        <x:f>IF(J46="","",IFERROR(INDEX(DM_LY_DO_DUNG!$C$6:$C$105,MATCH(J46,DM_LY_DO_DUNG!$A$6:$A$105,0)),""))</x:f>
      </x:c>
      <x:c r="L46" s="21"/>
      <x:c r="M46" s="21"/>
      <x:c r="N46" s="21"/>
      <x:c r="O46" s="21"/>
      <x:c r="P46" s="21"/>
      <x:c r="Q46" s="43"/>
      <x:c r="R46" s="29" t="str">
        <x:f>IF(A46="","",IF(OR(B46="",C46="",D46="",J46=""),"Thiếu dữ liệu",IF(D46&lt;C46,"Sai thời gian",IF(AND(P46="Đã đóng",Q46=""),"Thiếu thời điểm đóng","Hợp lệ"))))</x:f>
      </x:c>
    </x:row>
    <x:row r="47">
      <x:c r="A47" s="21"/>
      <x:c r="B47" s="21"/>
      <x:c r="C47" s="43"/>
      <x:c r="D47" s="43"/>
      <x:c r="E47" s="39" t="str">
        <x:f>IF(A47="","",MAX(0,(D47-C47)*1440))</x:f>
      </x:c>
      <x:c r="F47" s="29" t="str">
        <x:f>IF(B47="","",IFERROR(INDEX('05_BAO_CAO_NGAY'!$D$6:$D$505,MATCH(B47,'05_BAO_CAO_NGAY'!$A$6:$A$505,0)),""))</x:f>
      </x:c>
      <x:c r="G47" s="29" t="str">
        <x:f>IF(B47="","",IFERROR(INDEX('05_BAO_CAO_NGAY'!$E$6:$E$505,MATCH(B47,'05_BAO_CAO_NGAY'!$A$6:$A$505,0)),""))</x:f>
      </x:c>
      <x:c r="H47" s="29" t="str">
        <x:f>IF(B47="","",IFERROR(INDEX('05_BAO_CAO_NGAY'!$J$6:$J$505,MATCH(B47,'05_BAO_CAO_NGAY'!$A$6:$A$505,0)),""))</x:f>
      </x:c>
      <x:c r="I47" s="29" t="str">
        <x:f>IF(B47="","",IFERROR(INDEX('05_BAO_CAO_NGAY'!$M$6:$M$505,MATCH(B47,'05_BAO_CAO_NGAY'!$A$6:$A$505,0)),""))</x:f>
      </x:c>
      <x:c r="J47" s="21"/>
      <x:c r="K47" s="29" t="str">
        <x:f>IF(J47="","",IFERROR(INDEX(DM_LY_DO_DUNG!$C$6:$C$105,MATCH(J47,DM_LY_DO_DUNG!$A$6:$A$105,0)),""))</x:f>
      </x:c>
      <x:c r="L47" s="21"/>
      <x:c r="M47" s="21"/>
      <x:c r="N47" s="21"/>
      <x:c r="O47" s="21"/>
      <x:c r="P47" s="21"/>
      <x:c r="Q47" s="43"/>
      <x:c r="R47" s="29" t="str">
        <x:f>IF(A47="","",IF(OR(B47="",C47="",D47="",J47=""),"Thiếu dữ liệu",IF(D47&lt;C47,"Sai thời gian",IF(AND(P47="Đã đóng",Q47=""),"Thiếu thời điểm đóng","Hợp lệ"))))</x:f>
      </x:c>
    </x:row>
    <x:row r="48">
      <x:c r="A48" s="21"/>
      <x:c r="B48" s="21"/>
      <x:c r="C48" s="43"/>
      <x:c r="D48" s="43"/>
      <x:c r="E48" s="39" t="str">
        <x:f>IF(A48="","",MAX(0,(D48-C48)*1440))</x:f>
      </x:c>
      <x:c r="F48" s="29" t="str">
        <x:f>IF(B48="","",IFERROR(INDEX('05_BAO_CAO_NGAY'!$D$6:$D$505,MATCH(B48,'05_BAO_CAO_NGAY'!$A$6:$A$505,0)),""))</x:f>
      </x:c>
      <x:c r="G48" s="29" t="str">
        <x:f>IF(B48="","",IFERROR(INDEX('05_BAO_CAO_NGAY'!$E$6:$E$505,MATCH(B48,'05_BAO_CAO_NGAY'!$A$6:$A$505,0)),""))</x:f>
      </x:c>
      <x:c r="H48" s="29" t="str">
        <x:f>IF(B48="","",IFERROR(INDEX('05_BAO_CAO_NGAY'!$J$6:$J$505,MATCH(B48,'05_BAO_CAO_NGAY'!$A$6:$A$505,0)),""))</x:f>
      </x:c>
      <x:c r="I48" s="29" t="str">
        <x:f>IF(B48="","",IFERROR(INDEX('05_BAO_CAO_NGAY'!$M$6:$M$505,MATCH(B48,'05_BAO_CAO_NGAY'!$A$6:$A$505,0)),""))</x:f>
      </x:c>
      <x:c r="J48" s="21"/>
      <x:c r="K48" s="29" t="str">
        <x:f>IF(J48="","",IFERROR(INDEX(DM_LY_DO_DUNG!$C$6:$C$105,MATCH(J48,DM_LY_DO_DUNG!$A$6:$A$105,0)),""))</x:f>
      </x:c>
      <x:c r="L48" s="21"/>
      <x:c r="M48" s="21"/>
      <x:c r="N48" s="21"/>
      <x:c r="O48" s="21"/>
      <x:c r="P48" s="21"/>
      <x:c r="Q48" s="43"/>
      <x:c r="R48" s="29" t="str">
        <x:f>IF(A48="","",IF(OR(B48="",C48="",D48="",J48=""),"Thiếu dữ liệu",IF(D48&lt;C48,"Sai thời gian",IF(AND(P48="Đã đóng",Q48=""),"Thiếu thời điểm đóng","Hợp lệ"))))</x:f>
      </x:c>
    </x:row>
    <x:row r="49">
      <x:c r="A49" s="21"/>
      <x:c r="B49" s="21"/>
      <x:c r="C49" s="43"/>
      <x:c r="D49" s="43"/>
      <x:c r="E49" s="39" t="str">
        <x:f>IF(A49="","",MAX(0,(D49-C49)*1440))</x:f>
      </x:c>
      <x:c r="F49" s="29" t="str">
        <x:f>IF(B49="","",IFERROR(INDEX('05_BAO_CAO_NGAY'!$D$6:$D$505,MATCH(B49,'05_BAO_CAO_NGAY'!$A$6:$A$505,0)),""))</x:f>
      </x:c>
      <x:c r="G49" s="29" t="str">
        <x:f>IF(B49="","",IFERROR(INDEX('05_BAO_CAO_NGAY'!$E$6:$E$505,MATCH(B49,'05_BAO_CAO_NGAY'!$A$6:$A$505,0)),""))</x:f>
      </x:c>
      <x:c r="H49" s="29" t="str">
        <x:f>IF(B49="","",IFERROR(INDEX('05_BAO_CAO_NGAY'!$J$6:$J$505,MATCH(B49,'05_BAO_CAO_NGAY'!$A$6:$A$505,0)),""))</x:f>
      </x:c>
      <x:c r="I49" s="29" t="str">
        <x:f>IF(B49="","",IFERROR(INDEX('05_BAO_CAO_NGAY'!$M$6:$M$505,MATCH(B49,'05_BAO_CAO_NGAY'!$A$6:$A$505,0)),""))</x:f>
      </x:c>
      <x:c r="J49" s="21"/>
      <x:c r="K49" s="29" t="str">
        <x:f>IF(J49="","",IFERROR(INDEX(DM_LY_DO_DUNG!$C$6:$C$105,MATCH(J49,DM_LY_DO_DUNG!$A$6:$A$105,0)),""))</x:f>
      </x:c>
      <x:c r="L49" s="21"/>
      <x:c r="M49" s="21"/>
      <x:c r="N49" s="21"/>
      <x:c r="O49" s="21"/>
      <x:c r="P49" s="21"/>
      <x:c r="Q49" s="43"/>
      <x:c r="R49" s="29" t="str">
        <x:f>IF(A49="","",IF(OR(B49="",C49="",D49="",J49=""),"Thiếu dữ liệu",IF(D49&lt;C49,"Sai thời gian",IF(AND(P49="Đã đóng",Q49=""),"Thiếu thời điểm đóng","Hợp lệ"))))</x:f>
      </x:c>
    </x:row>
    <x:row r="50">
      <x:c r="A50" s="21"/>
      <x:c r="B50" s="21"/>
      <x:c r="C50" s="43"/>
      <x:c r="D50" s="43"/>
      <x:c r="E50" s="39" t="str">
        <x:f>IF(A50="","",MAX(0,(D50-C50)*1440))</x:f>
      </x:c>
      <x:c r="F50" s="29" t="str">
        <x:f>IF(B50="","",IFERROR(INDEX('05_BAO_CAO_NGAY'!$D$6:$D$505,MATCH(B50,'05_BAO_CAO_NGAY'!$A$6:$A$505,0)),""))</x:f>
      </x:c>
      <x:c r="G50" s="29" t="str">
        <x:f>IF(B50="","",IFERROR(INDEX('05_BAO_CAO_NGAY'!$E$6:$E$505,MATCH(B50,'05_BAO_CAO_NGAY'!$A$6:$A$505,0)),""))</x:f>
      </x:c>
      <x:c r="H50" s="29" t="str">
        <x:f>IF(B50="","",IFERROR(INDEX('05_BAO_CAO_NGAY'!$J$6:$J$505,MATCH(B50,'05_BAO_CAO_NGAY'!$A$6:$A$505,0)),""))</x:f>
      </x:c>
      <x:c r="I50" s="29" t="str">
        <x:f>IF(B50="","",IFERROR(INDEX('05_BAO_CAO_NGAY'!$M$6:$M$505,MATCH(B50,'05_BAO_CAO_NGAY'!$A$6:$A$505,0)),""))</x:f>
      </x:c>
      <x:c r="J50" s="21"/>
      <x:c r="K50" s="29" t="str">
        <x:f>IF(J50="","",IFERROR(INDEX(DM_LY_DO_DUNG!$C$6:$C$105,MATCH(J50,DM_LY_DO_DUNG!$A$6:$A$105,0)),""))</x:f>
      </x:c>
      <x:c r="L50" s="21"/>
      <x:c r="M50" s="21"/>
      <x:c r="N50" s="21"/>
      <x:c r="O50" s="21"/>
      <x:c r="P50" s="21"/>
      <x:c r="Q50" s="43"/>
      <x:c r="R50" s="29" t="str">
        <x:f>IF(A50="","",IF(OR(B50="",C50="",D50="",J50=""),"Thiếu dữ liệu",IF(D50&lt;C50,"Sai thời gian",IF(AND(P50="Đã đóng",Q50=""),"Thiếu thời điểm đóng","Hợp lệ"))))</x:f>
      </x:c>
    </x:row>
    <x:row r="51">
      <x:c r="A51" s="21"/>
      <x:c r="B51" s="21"/>
      <x:c r="C51" s="43"/>
      <x:c r="D51" s="43"/>
      <x:c r="E51" s="39" t="str">
        <x:f>IF(A51="","",MAX(0,(D51-C51)*1440))</x:f>
      </x:c>
      <x:c r="F51" s="29" t="str">
        <x:f>IF(B51="","",IFERROR(INDEX('05_BAO_CAO_NGAY'!$D$6:$D$505,MATCH(B51,'05_BAO_CAO_NGAY'!$A$6:$A$505,0)),""))</x:f>
      </x:c>
      <x:c r="G51" s="29" t="str">
        <x:f>IF(B51="","",IFERROR(INDEX('05_BAO_CAO_NGAY'!$E$6:$E$505,MATCH(B51,'05_BAO_CAO_NGAY'!$A$6:$A$505,0)),""))</x:f>
      </x:c>
      <x:c r="H51" s="29" t="str">
        <x:f>IF(B51="","",IFERROR(INDEX('05_BAO_CAO_NGAY'!$J$6:$J$505,MATCH(B51,'05_BAO_CAO_NGAY'!$A$6:$A$505,0)),""))</x:f>
      </x:c>
      <x:c r="I51" s="29" t="str">
        <x:f>IF(B51="","",IFERROR(INDEX('05_BAO_CAO_NGAY'!$M$6:$M$505,MATCH(B51,'05_BAO_CAO_NGAY'!$A$6:$A$505,0)),""))</x:f>
      </x:c>
      <x:c r="J51" s="21"/>
      <x:c r="K51" s="29" t="str">
        <x:f>IF(J51="","",IFERROR(INDEX(DM_LY_DO_DUNG!$C$6:$C$105,MATCH(J51,DM_LY_DO_DUNG!$A$6:$A$105,0)),""))</x:f>
      </x:c>
      <x:c r="L51" s="21"/>
      <x:c r="M51" s="21"/>
      <x:c r="N51" s="21"/>
      <x:c r="O51" s="21"/>
      <x:c r="P51" s="21"/>
      <x:c r="Q51" s="43"/>
      <x:c r="R51" s="29" t="str">
        <x:f>IF(A51="","",IF(OR(B51="",C51="",D51="",J51=""),"Thiếu dữ liệu",IF(D51&lt;C51,"Sai thời gian",IF(AND(P51="Đã đóng",Q51=""),"Thiếu thời điểm đóng","Hợp lệ"))))</x:f>
      </x:c>
    </x:row>
    <x:row r="52">
      <x:c r="A52" s="21"/>
      <x:c r="B52" s="21"/>
      <x:c r="C52" s="43"/>
      <x:c r="D52" s="43"/>
      <x:c r="E52" s="39" t="str">
        <x:f>IF(A52="","",MAX(0,(D52-C52)*1440))</x:f>
      </x:c>
      <x:c r="F52" s="29" t="str">
        <x:f>IF(B52="","",IFERROR(INDEX('05_BAO_CAO_NGAY'!$D$6:$D$505,MATCH(B52,'05_BAO_CAO_NGAY'!$A$6:$A$505,0)),""))</x:f>
      </x:c>
      <x:c r="G52" s="29" t="str">
        <x:f>IF(B52="","",IFERROR(INDEX('05_BAO_CAO_NGAY'!$E$6:$E$505,MATCH(B52,'05_BAO_CAO_NGAY'!$A$6:$A$505,0)),""))</x:f>
      </x:c>
      <x:c r="H52" s="29" t="str">
        <x:f>IF(B52="","",IFERROR(INDEX('05_BAO_CAO_NGAY'!$J$6:$J$505,MATCH(B52,'05_BAO_CAO_NGAY'!$A$6:$A$505,0)),""))</x:f>
      </x:c>
      <x:c r="I52" s="29" t="str">
        <x:f>IF(B52="","",IFERROR(INDEX('05_BAO_CAO_NGAY'!$M$6:$M$505,MATCH(B52,'05_BAO_CAO_NGAY'!$A$6:$A$505,0)),""))</x:f>
      </x:c>
      <x:c r="J52" s="21"/>
      <x:c r="K52" s="29" t="str">
        <x:f>IF(J52="","",IFERROR(INDEX(DM_LY_DO_DUNG!$C$6:$C$105,MATCH(J52,DM_LY_DO_DUNG!$A$6:$A$105,0)),""))</x:f>
      </x:c>
      <x:c r="L52" s="21"/>
      <x:c r="M52" s="21"/>
      <x:c r="N52" s="21"/>
      <x:c r="O52" s="21"/>
      <x:c r="P52" s="21"/>
      <x:c r="Q52" s="43"/>
      <x:c r="R52" s="29" t="str">
        <x:f>IF(A52="","",IF(OR(B52="",C52="",D52="",J52=""),"Thiếu dữ liệu",IF(D52&lt;C52,"Sai thời gian",IF(AND(P52="Đã đóng",Q52=""),"Thiếu thời điểm đóng","Hợp lệ"))))</x:f>
      </x:c>
    </x:row>
    <x:row r="53">
      <x:c r="A53" s="21"/>
      <x:c r="B53" s="21"/>
      <x:c r="C53" s="43"/>
      <x:c r="D53" s="43"/>
      <x:c r="E53" s="39" t="str">
        <x:f>IF(A53="","",MAX(0,(D53-C53)*1440))</x:f>
      </x:c>
      <x:c r="F53" s="29" t="str">
        <x:f>IF(B53="","",IFERROR(INDEX('05_BAO_CAO_NGAY'!$D$6:$D$505,MATCH(B53,'05_BAO_CAO_NGAY'!$A$6:$A$505,0)),""))</x:f>
      </x:c>
      <x:c r="G53" s="29" t="str">
        <x:f>IF(B53="","",IFERROR(INDEX('05_BAO_CAO_NGAY'!$E$6:$E$505,MATCH(B53,'05_BAO_CAO_NGAY'!$A$6:$A$505,0)),""))</x:f>
      </x:c>
      <x:c r="H53" s="29" t="str">
        <x:f>IF(B53="","",IFERROR(INDEX('05_BAO_CAO_NGAY'!$J$6:$J$505,MATCH(B53,'05_BAO_CAO_NGAY'!$A$6:$A$505,0)),""))</x:f>
      </x:c>
      <x:c r="I53" s="29" t="str">
        <x:f>IF(B53="","",IFERROR(INDEX('05_BAO_CAO_NGAY'!$M$6:$M$505,MATCH(B53,'05_BAO_CAO_NGAY'!$A$6:$A$505,0)),""))</x:f>
      </x:c>
      <x:c r="J53" s="21"/>
      <x:c r="K53" s="29" t="str">
        <x:f>IF(J53="","",IFERROR(INDEX(DM_LY_DO_DUNG!$C$6:$C$105,MATCH(J53,DM_LY_DO_DUNG!$A$6:$A$105,0)),""))</x:f>
      </x:c>
      <x:c r="L53" s="21"/>
      <x:c r="M53" s="21"/>
      <x:c r="N53" s="21"/>
      <x:c r="O53" s="21"/>
      <x:c r="P53" s="21"/>
      <x:c r="Q53" s="43"/>
      <x:c r="R53" s="29" t="str">
        <x:f>IF(A53="","",IF(OR(B53="",C53="",D53="",J53=""),"Thiếu dữ liệu",IF(D53&lt;C53,"Sai thời gian",IF(AND(P53="Đã đóng",Q53=""),"Thiếu thời điểm đóng","Hợp lệ"))))</x:f>
      </x:c>
    </x:row>
    <x:row r="54">
      <x:c r="A54" s="21"/>
      <x:c r="B54" s="21"/>
      <x:c r="C54" s="43"/>
      <x:c r="D54" s="43"/>
      <x:c r="E54" s="39" t="str">
        <x:f>IF(A54="","",MAX(0,(D54-C54)*1440))</x:f>
      </x:c>
      <x:c r="F54" s="29" t="str">
        <x:f>IF(B54="","",IFERROR(INDEX('05_BAO_CAO_NGAY'!$D$6:$D$505,MATCH(B54,'05_BAO_CAO_NGAY'!$A$6:$A$505,0)),""))</x:f>
      </x:c>
      <x:c r="G54" s="29" t="str">
        <x:f>IF(B54="","",IFERROR(INDEX('05_BAO_CAO_NGAY'!$E$6:$E$505,MATCH(B54,'05_BAO_CAO_NGAY'!$A$6:$A$505,0)),""))</x:f>
      </x:c>
      <x:c r="H54" s="29" t="str">
        <x:f>IF(B54="","",IFERROR(INDEX('05_BAO_CAO_NGAY'!$J$6:$J$505,MATCH(B54,'05_BAO_CAO_NGAY'!$A$6:$A$505,0)),""))</x:f>
      </x:c>
      <x:c r="I54" s="29" t="str">
        <x:f>IF(B54="","",IFERROR(INDEX('05_BAO_CAO_NGAY'!$M$6:$M$505,MATCH(B54,'05_BAO_CAO_NGAY'!$A$6:$A$505,0)),""))</x:f>
      </x:c>
      <x:c r="J54" s="21"/>
      <x:c r="K54" s="29" t="str">
        <x:f>IF(J54="","",IFERROR(INDEX(DM_LY_DO_DUNG!$C$6:$C$105,MATCH(J54,DM_LY_DO_DUNG!$A$6:$A$105,0)),""))</x:f>
      </x:c>
      <x:c r="L54" s="21"/>
      <x:c r="M54" s="21"/>
      <x:c r="N54" s="21"/>
      <x:c r="O54" s="21"/>
      <x:c r="P54" s="21"/>
      <x:c r="Q54" s="43"/>
      <x:c r="R54" s="29" t="str">
        <x:f>IF(A54="","",IF(OR(B54="",C54="",D54="",J54=""),"Thiếu dữ liệu",IF(D54&lt;C54,"Sai thời gian",IF(AND(P54="Đã đóng",Q54=""),"Thiếu thời điểm đóng","Hợp lệ"))))</x:f>
      </x:c>
    </x:row>
    <x:row r="55">
      <x:c r="A55" s="21"/>
      <x:c r="B55" s="21"/>
      <x:c r="C55" s="43"/>
      <x:c r="D55" s="43"/>
      <x:c r="E55" s="39" t="str">
        <x:f>IF(A55="","",MAX(0,(D55-C55)*1440))</x:f>
      </x:c>
      <x:c r="F55" s="29" t="str">
        <x:f>IF(B55="","",IFERROR(INDEX('05_BAO_CAO_NGAY'!$D$6:$D$505,MATCH(B55,'05_BAO_CAO_NGAY'!$A$6:$A$505,0)),""))</x:f>
      </x:c>
      <x:c r="G55" s="29" t="str">
        <x:f>IF(B55="","",IFERROR(INDEX('05_BAO_CAO_NGAY'!$E$6:$E$505,MATCH(B55,'05_BAO_CAO_NGAY'!$A$6:$A$505,0)),""))</x:f>
      </x:c>
      <x:c r="H55" s="29" t="str">
        <x:f>IF(B55="","",IFERROR(INDEX('05_BAO_CAO_NGAY'!$J$6:$J$505,MATCH(B55,'05_BAO_CAO_NGAY'!$A$6:$A$505,0)),""))</x:f>
      </x:c>
      <x:c r="I55" s="29" t="str">
        <x:f>IF(B55="","",IFERROR(INDEX('05_BAO_CAO_NGAY'!$M$6:$M$505,MATCH(B55,'05_BAO_CAO_NGAY'!$A$6:$A$505,0)),""))</x:f>
      </x:c>
      <x:c r="J55" s="21"/>
      <x:c r="K55" s="29" t="str">
        <x:f>IF(J55="","",IFERROR(INDEX(DM_LY_DO_DUNG!$C$6:$C$105,MATCH(J55,DM_LY_DO_DUNG!$A$6:$A$105,0)),""))</x:f>
      </x:c>
      <x:c r="L55" s="21"/>
      <x:c r="M55" s="21"/>
      <x:c r="N55" s="21"/>
      <x:c r="O55" s="21"/>
      <x:c r="P55" s="21"/>
      <x:c r="Q55" s="43"/>
      <x:c r="R55" s="29" t="str">
        <x:f>IF(A55="","",IF(OR(B55="",C55="",D55="",J55=""),"Thiếu dữ liệu",IF(D55&lt;C55,"Sai thời gian",IF(AND(P55="Đã đóng",Q55=""),"Thiếu thời điểm đóng","Hợp lệ"))))</x:f>
      </x:c>
    </x:row>
    <x:row r="56">
      <x:c r="A56" s="21"/>
      <x:c r="B56" s="21"/>
      <x:c r="C56" s="43"/>
      <x:c r="D56" s="43"/>
      <x:c r="E56" s="39" t="str">
        <x:f>IF(A56="","",MAX(0,(D56-C56)*1440))</x:f>
      </x:c>
      <x:c r="F56" s="29" t="str">
        <x:f>IF(B56="","",IFERROR(INDEX('05_BAO_CAO_NGAY'!$D$6:$D$505,MATCH(B56,'05_BAO_CAO_NGAY'!$A$6:$A$505,0)),""))</x:f>
      </x:c>
      <x:c r="G56" s="29" t="str">
        <x:f>IF(B56="","",IFERROR(INDEX('05_BAO_CAO_NGAY'!$E$6:$E$505,MATCH(B56,'05_BAO_CAO_NGAY'!$A$6:$A$505,0)),""))</x:f>
      </x:c>
      <x:c r="H56" s="29" t="str">
        <x:f>IF(B56="","",IFERROR(INDEX('05_BAO_CAO_NGAY'!$J$6:$J$505,MATCH(B56,'05_BAO_CAO_NGAY'!$A$6:$A$505,0)),""))</x:f>
      </x:c>
      <x:c r="I56" s="29" t="str">
        <x:f>IF(B56="","",IFERROR(INDEX('05_BAO_CAO_NGAY'!$M$6:$M$505,MATCH(B56,'05_BAO_CAO_NGAY'!$A$6:$A$505,0)),""))</x:f>
      </x:c>
      <x:c r="J56" s="21"/>
      <x:c r="K56" s="29" t="str">
        <x:f>IF(J56="","",IFERROR(INDEX(DM_LY_DO_DUNG!$C$6:$C$105,MATCH(J56,DM_LY_DO_DUNG!$A$6:$A$105,0)),""))</x:f>
      </x:c>
      <x:c r="L56" s="21"/>
      <x:c r="M56" s="21"/>
      <x:c r="N56" s="21"/>
      <x:c r="O56" s="21"/>
      <x:c r="P56" s="21"/>
      <x:c r="Q56" s="43"/>
      <x:c r="R56" s="29" t="str">
        <x:f>IF(A56="","",IF(OR(B56="",C56="",D56="",J56=""),"Thiếu dữ liệu",IF(D56&lt;C56,"Sai thời gian",IF(AND(P56="Đã đóng",Q56=""),"Thiếu thời điểm đóng","Hợp lệ"))))</x:f>
      </x:c>
    </x:row>
    <x:row r="57">
      <x:c r="A57" s="21"/>
      <x:c r="B57" s="21"/>
      <x:c r="C57" s="43"/>
      <x:c r="D57" s="43"/>
      <x:c r="E57" s="39" t="str">
        <x:f>IF(A57="","",MAX(0,(D57-C57)*1440))</x:f>
      </x:c>
      <x:c r="F57" s="29" t="str">
        <x:f>IF(B57="","",IFERROR(INDEX('05_BAO_CAO_NGAY'!$D$6:$D$505,MATCH(B57,'05_BAO_CAO_NGAY'!$A$6:$A$505,0)),""))</x:f>
      </x:c>
      <x:c r="G57" s="29" t="str">
        <x:f>IF(B57="","",IFERROR(INDEX('05_BAO_CAO_NGAY'!$E$6:$E$505,MATCH(B57,'05_BAO_CAO_NGAY'!$A$6:$A$505,0)),""))</x:f>
      </x:c>
      <x:c r="H57" s="29" t="str">
        <x:f>IF(B57="","",IFERROR(INDEX('05_BAO_CAO_NGAY'!$J$6:$J$505,MATCH(B57,'05_BAO_CAO_NGAY'!$A$6:$A$505,0)),""))</x:f>
      </x:c>
      <x:c r="I57" s="29" t="str">
        <x:f>IF(B57="","",IFERROR(INDEX('05_BAO_CAO_NGAY'!$M$6:$M$505,MATCH(B57,'05_BAO_CAO_NGAY'!$A$6:$A$505,0)),""))</x:f>
      </x:c>
      <x:c r="J57" s="21"/>
      <x:c r="K57" s="29" t="str">
        <x:f>IF(J57="","",IFERROR(INDEX(DM_LY_DO_DUNG!$C$6:$C$105,MATCH(J57,DM_LY_DO_DUNG!$A$6:$A$105,0)),""))</x:f>
      </x:c>
      <x:c r="L57" s="21"/>
      <x:c r="M57" s="21"/>
      <x:c r="N57" s="21"/>
      <x:c r="O57" s="21"/>
      <x:c r="P57" s="21"/>
      <x:c r="Q57" s="43"/>
      <x:c r="R57" s="29" t="str">
        <x:f>IF(A57="","",IF(OR(B57="",C57="",D57="",J57=""),"Thiếu dữ liệu",IF(D57&lt;C57,"Sai thời gian",IF(AND(P57="Đã đóng",Q57=""),"Thiếu thời điểm đóng","Hợp lệ"))))</x:f>
      </x:c>
    </x:row>
    <x:row r="58">
      <x:c r="A58" s="21"/>
      <x:c r="B58" s="21"/>
      <x:c r="C58" s="43"/>
      <x:c r="D58" s="43"/>
      <x:c r="E58" s="39" t="str">
        <x:f>IF(A58="","",MAX(0,(D58-C58)*1440))</x:f>
      </x:c>
      <x:c r="F58" s="29" t="str">
        <x:f>IF(B58="","",IFERROR(INDEX('05_BAO_CAO_NGAY'!$D$6:$D$505,MATCH(B58,'05_BAO_CAO_NGAY'!$A$6:$A$505,0)),""))</x:f>
      </x:c>
      <x:c r="G58" s="29" t="str">
        <x:f>IF(B58="","",IFERROR(INDEX('05_BAO_CAO_NGAY'!$E$6:$E$505,MATCH(B58,'05_BAO_CAO_NGAY'!$A$6:$A$505,0)),""))</x:f>
      </x:c>
      <x:c r="H58" s="29" t="str">
        <x:f>IF(B58="","",IFERROR(INDEX('05_BAO_CAO_NGAY'!$J$6:$J$505,MATCH(B58,'05_BAO_CAO_NGAY'!$A$6:$A$505,0)),""))</x:f>
      </x:c>
      <x:c r="I58" s="29" t="str">
        <x:f>IF(B58="","",IFERROR(INDEX('05_BAO_CAO_NGAY'!$M$6:$M$505,MATCH(B58,'05_BAO_CAO_NGAY'!$A$6:$A$505,0)),""))</x:f>
      </x:c>
      <x:c r="J58" s="21"/>
      <x:c r="K58" s="29" t="str">
        <x:f>IF(J58="","",IFERROR(INDEX(DM_LY_DO_DUNG!$C$6:$C$105,MATCH(J58,DM_LY_DO_DUNG!$A$6:$A$105,0)),""))</x:f>
      </x:c>
      <x:c r="L58" s="21"/>
      <x:c r="M58" s="21"/>
      <x:c r="N58" s="21"/>
      <x:c r="O58" s="21"/>
      <x:c r="P58" s="21"/>
      <x:c r="Q58" s="43"/>
      <x:c r="R58" s="29" t="str">
        <x:f>IF(A58="","",IF(OR(B58="",C58="",D58="",J58=""),"Thiếu dữ liệu",IF(D58&lt;C58,"Sai thời gian",IF(AND(P58="Đã đóng",Q58=""),"Thiếu thời điểm đóng","Hợp lệ"))))</x:f>
      </x:c>
    </x:row>
    <x:row r="59">
      <x:c r="A59" s="21"/>
      <x:c r="B59" s="21"/>
      <x:c r="C59" s="43"/>
      <x:c r="D59" s="43"/>
      <x:c r="E59" s="39" t="str">
        <x:f>IF(A59="","",MAX(0,(D59-C59)*1440))</x:f>
      </x:c>
      <x:c r="F59" s="29" t="str">
        <x:f>IF(B59="","",IFERROR(INDEX('05_BAO_CAO_NGAY'!$D$6:$D$505,MATCH(B59,'05_BAO_CAO_NGAY'!$A$6:$A$505,0)),""))</x:f>
      </x:c>
      <x:c r="G59" s="29" t="str">
        <x:f>IF(B59="","",IFERROR(INDEX('05_BAO_CAO_NGAY'!$E$6:$E$505,MATCH(B59,'05_BAO_CAO_NGAY'!$A$6:$A$505,0)),""))</x:f>
      </x:c>
      <x:c r="H59" s="29" t="str">
        <x:f>IF(B59="","",IFERROR(INDEX('05_BAO_CAO_NGAY'!$J$6:$J$505,MATCH(B59,'05_BAO_CAO_NGAY'!$A$6:$A$505,0)),""))</x:f>
      </x:c>
      <x:c r="I59" s="29" t="str">
        <x:f>IF(B59="","",IFERROR(INDEX('05_BAO_CAO_NGAY'!$M$6:$M$505,MATCH(B59,'05_BAO_CAO_NGAY'!$A$6:$A$505,0)),""))</x:f>
      </x:c>
      <x:c r="J59" s="21"/>
      <x:c r="K59" s="29" t="str">
        <x:f>IF(J59="","",IFERROR(INDEX(DM_LY_DO_DUNG!$C$6:$C$105,MATCH(J59,DM_LY_DO_DUNG!$A$6:$A$105,0)),""))</x:f>
      </x:c>
      <x:c r="L59" s="21"/>
      <x:c r="M59" s="21"/>
      <x:c r="N59" s="21"/>
      <x:c r="O59" s="21"/>
      <x:c r="P59" s="21"/>
      <x:c r="Q59" s="43"/>
      <x:c r="R59" s="29" t="str">
        <x:f>IF(A59="","",IF(OR(B59="",C59="",D59="",J59=""),"Thiếu dữ liệu",IF(D59&lt;C59,"Sai thời gian",IF(AND(P59="Đã đóng",Q59=""),"Thiếu thời điểm đóng","Hợp lệ"))))</x:f>
      </x:c>
    </x:row>
    <x:row r="60">
      <x:c r="A60" s="21"/>
      <x:c r="B60" s="21"/>
      <x:c r="C60" s="43"/>
      <x:c r="D60" s="43"/>
      <x:c r="E60" s="39" t="str">
        <x:f>IF(A60="","",MAX(0,(D60-C60)*1440))</x:f>
      </x:c>
      <x:c r="F60" s="29" t="str">
        <x:f>IF(B60="","",IFERROR(INDEX('05_BAO_CAO_NGAY'!$D$6:$D$505,MATCH(B60,'05_BAO_CAO_NGAY'!$A$6:$A$505,0)),""))</x:f>
      </x:c>
      <x:c r="G60" s="29" t="str">
        <x:f>IF(B60="","",IFERROR(INDEX('05_BAO_CAO_NGAY'!$E$6:$E$505,MATCH(B60,'05_BAO_CAO_NGAY'!$A$6:$A$505,0)),""))</x:f>
      </x:c>
      <x:c r="H60" s="29" t="str">
        <x:f>IF(B60="","",IFERROR(INDEX('05_BAO_CAO_NGAY'!$J$6:$J$505,MATCH(B60,'05_BAO_CAO_NGAY'!$A$6:$A$505,0)),""))</x:f>
      </x:c>
      <x:c r="I60" s="29" t="str">
        <x:f>IF(B60="","",IFERROR(INDEX('05_BAO_CAO_NGAY'!$M$6:$M$505,MATCH(B60,'05_BAO_CAO_NGAY'!$A$6:$A$505,0)),""))</x:f>
      </x:c>
      <x:c r="J60" s="21"/>
      <x:c r="K60" s="29" t="str">
        <x:f>IF(J60="","",IFERROR(INDEX(DM_LY_DO_DUNG!$C$6:$C$105,MATCH(J60,DM_LY_DO_DUNG!$A$6:$A$105,0)),""))</x:f>
      </x:c>
      <x:c r="L60" s="21"/>
      <x:c r="M60" s="21"/>
      <x:c r="N60" s="21"/>
      <x:c r="O60" s="21"/>
      <x:c r="P60" s="21"/>
      <x:c r="Q60" s="43"/>
      <x:c r="R60" s="29" t="str">
        <x:f>IF(A60="","",IF(OR(B60="",C60="",D60="",J60=""),"Thiếu dữ liệu",IF(D60&lt;C60,"Sai thời gian",IF(AND(P60="Đã đóng",Q60=""),"Thiếu thời điểm đóng","Hợp lệ"))))</x:f>
      </x:c>
    </x:row>
    <x:row r="61">
      <x:c r="A61" s="21"/>
      <x:c r="B61" s="21"/>
      <x:c r="C61" s="43"/>
      <x:c r="D61" s="43"/>
      <x:c r="E61" s="39" t="str">
        <x:f>IF(A61="","",MAX(0,(D61-C61)*1440))</x:f>
      </x:c>
      <x:c r="F61" s="29" t="str">
        <x:f>IF(B61="","",IFERROR(INDEX('05_BAO_CAO_NGAY'!$D$6:$D$505,MATCH(B61,'05_BAO_CAO_NGAY'!$A$6:$A$505,0)),""))</x:f>
      </x:c>
      <x:c r="G61" s="29" t="str">
        <x:f>IF(B61="","",IFERROR(INDEX('05_BAO_CAO_NGAY'!$E$6:$E$505,MATCH(B61,'05_BAO_CAO_NGAY'!$A$6:$A$505,0)),""))</x:f>
      </x:c>
      <x:c r="H61" s="29" t="str">
        <x:f>IF(B61="","",IFERROR(INDEX('05_BAO_CAO_NGAY'!$J$6:$J$505,MATCH(B61,'05_BAO_CAO_NGAY'!$A$6:$A$505,0)),""))</x:f>
      </x:c>
      <x:c r="I61" s="29" t="str">
        <x:f>IF(B61="","",IFERROR(INDEX('05_BAO_CAO_NGAY'!$M$6:$M$505,MATCH(B61,'05_BAO_CAO_NGAY'!$A$6:$A$505,0)),""))</x:f>
      </x:c>
      <x:c r="J61" s="21"/>
      <x:c r="K61" s="29" t="str">
        <x:f>IF(J61="","",IFERROR(INDEX(DM_LY_DO_DUNG!$C$6:$C$105,MATCH(J61,DM_LY_DO_DUNG!$A$6:$A$105,0)),""))</x:f>
      </x:c>
      <x:c r="L61" s="21"/>
      <x:c r="M61" s="21"/>
      <x:c r="N61" s="21"/>
      <x:c r="O61" s="21"/>
      <x:c r="P61" s="21"/>
      <x:c r="Q61" s="43"/>
      <x:c r="R61" s="29" t="str">
        <x:f>IF(A61="","",IF(OR(B61="",C61="",D61="",J61=""),"Thiếu dữ liệu",IF(D61&lt;C61,"Sai thời gian",IF(AND(P61="Đã đóng",Q61=""),"Thiếu thời điểm đóng","Hợp lệ"))))</x:f>
      </x:c>
    </x:row>
    <x:row r="62">
      <x:c r="A62" s="21"/>
      <x:c r="B62" s="21"/>
      <x:c r="C62" s="43"/>
      <x:c r="D62" s="43"/>
      <x:c r="E62" s="39" t="str">
        <x:f>IF(A62="","",MAX(0,(D62-C62)*1440))</x:f>
      </x:c>
      <x:c r="F62" s="29" t="str">
        <x:f>IF(B62="","",IFERROR(INDEX('05_BAO_CAO_NGAY'!$D$6:$D$505,MATCH(B62,'05_BAO_CAO_NGAY'!$A$6:$A$505,0)),""))</x:f>
      </x:c>
      <x:c r="G62" s="29" t="str">
        <x:f>IF(B62="","",IFERROR(INDEX('05_BAO_CAO_NGAY'!$E$6:$E$505,MATCH(B62,'05_BAO_CAO_NGAY'!$A$6:$A$505,0)),""))</x:f>
      </x:c>
      <x:c r="H62" s="29" t="str">
        <x:f>IF(B62="","",IFERROR(INDEX('05_BAO_CAO_NGAY'!$J$6:$J$505,MATCH(B62,'05_BAO_CAO_NGAY'!$A$6:$A$505,0)),""))</x:f>
      </x:c>
      <x:c r="I62" s="29" t="str">
        <x:f>IF(B62="","",IFERROR(INDEX('05_BAO_CAO_NGAY'!$M$6:$M$505,MATCH(B62,'05_BAO_CAO_NGAY'!$A$6:$A$505,0)),""))</x:f>
      </x:c>
      <x:c r="J62" s="21"/>
      <x:c r="K62" s="29" t="str">
        <x:f>IF(J62="","",IFERROR(INDEX(DM_LY_DO_DUNG!$C$6:$C$105,MATCH(J62,DM_LY_DO_DUNG!$A$6:$A$105,0)),""))</x:f>
      </x:c>
      <x:c r="L62" s="21"/>
      <x:c r="M62" s="21"/>
      <x:c r="N62" s="21"/>
      <x:c r="O62" s="21"/>
      <x:c r="P62" s="21"/>
      <x:c r="Q62" s="43"/>
      <x:c r="R62" s="29" t="str">
        <x:f>IF(A62="","",IF(OR(B62="",C62="",D62="",J62=""),"Thiếu dữ liệu",IF(D62&lt;C62,"Sai thời gian",IF(AND(P62="Đã đóng",Q62=""),"Thiếu thời điểm đóng","Hợp lệ"))))</x:f>
      </x:c>
    </x:row>
    <x:row r="63">
      <x:c r="A63" s="21"/>
      <x:c r="B63" s="21"/>
      <x:c r="C63" s="43"/>
      <x:c r="D63" s="43"/>
      <x:c r="E63" s="39" t="str">
        <x:f>IF(A63="","",MAX(0,(D63-C63)*1440))</x:f>
      </x:c>
      <x:c r="F63" s="29" t="str">
        <x:f>IF(B63="","",IFERROR(INDEX('05_BAO_CAO_NGAY'!$D$6:$D$505,MATCH(B63,'05_BAO_CAO_NGAY'!$A$6:$A$505,0)),""))</x:f>
      </x:c>
      <x:c r="G63" s="29" t="str">
        <x:f>IF(B63="","",IFERROR(INDEX('05_BAO_CAO_NGAY'!$E$6:$E$505,MATCH(B63,'05_BAO_CAO_NGAY'!$A$6:$A$505,0)),""))</x:f>
      </x:c>
      <x:c r="H63" s="29" t="str">
        <x:f>IF(B63="","",IFERROR(INDEX('05_BAO_CAO_NGAY'!$J$6:$J$505,MATCH(B63,'05_BAO_CAO_NGAY'!$A$6:$A$505,0)),""))</x:f>
      </x:c>
      <x:c r="I63" s="29" t="str">
        <x:f>IF(B63="","",IFERROR(INDEX('05_BAO_CAO_NGAY'!$M$6:$M$505,MATCH(B63,'05_BAO_CAO_NGAY'!$A$6:$A$505,0)),""))</x:f>
      </x:c>
      <x:c r="J63" s="21"/>
      <x:c r="K63" s="29" t="str">
        <x:f>IF(J63="","",IFERROR(INDEX(DM_LY_DO_DUNG!$C$6:$C$105,MATCH(J63,DM_LY_DO_DUNG!$A$6:$A$105,0)),""))</x:f>
      </x:c>
      <x:c r="L63" s="21"/>
      <x:c r="M63" s="21"/>
      <x:c r="N63" s="21"/>
      <x:c r="O63" s="21"/>
      <x:c r="P63" s="21"/>
      <x:c r="Q63" s="43"/>
      <x:c r="R63" s="29" t="str">
        <x:f>IF(A63="","",IF(OR(B63="",C63="",D63="",J63=""),"Thiếu dữ liệu",IF(D63&lt;C63,"Sai thời gian",IF(AND(P63="Đã đóng",Q63=""),"Thiếu thời điểm đóng","Hợp lệ"))))</x:f>
      </x:c>
    </x:row>
    <x:row r="64">
      <x:c r="A64" s="21"/>
      <x:c r="B64" s="21"/>
      <x:c r="C64" s="43"/>
      <x:c r="D64" s="43"/>
      <x:c r="E64" s="39" t="str">
        <x:f>IF(A64="","",MAX(0,(D64-C64)*1440))</x:f>
      </x:c>
      <x:c r="F64" s="29" t="str">
        <x:f>IF(B64="","",IFERROR(INDEX('05_BAO_CAO_NGAY'!$D$6:$D$505,MATCH(B64,'05_BAO_CAO_NGAY'!$A$6:$A$505,0)),""))</x:f>
      </x:c>
      <x:c r="G64" s="29" t="str">
        <x:f>IF(B64="","",IFERROR(INDEX('05_BAO_CAO_NGAY'!$E$6:$E$505,MATCH(B64,'05_BAO_CAO_NGAY'!$A$6:$A$505,0)),""))</x:f>
      </x:c>
      <x:c r="H64" s="29" t="str">
        <x:f>IF(B64="","",IFERROR(INDEX('05_BAO_CAO_NGAY'!$J$6:$J$505,MATCH(B64,'05_BAO_CAO_NGAY'!$A$6:$A$505,0)),""))</x:f>
      </x:c>
      <x:c r="I64" s="29" t="str">
        <x:f>IF(B64="","",IFERROR(INDEX('05_BAO_CAO_NGAY'!$M$6:$M$505,MATCH(B64,'05_BAO_CAO_NGAY'!$A$6:$A$505,0)),""))</x:f>
      </x:c>
      <x:c r="J64" s="21"/>
      <x:c r="K64" s="29" t="str">
        <x:f>IF(J64="","",IFERROR(INDEX(DM_LY_DO_DUNG!$C$6:$C$105,MATCH(J64,DM_LY_DO_DUNG!$A$6:$A$105,0)),""))</x:f>
      </x:c>
      <x:c r="L64" s="21"/>
      <x:c r="M64" s="21"/>
      <x:c r="N64" s="21"/>
      <x:c r="O64" s="21"/>
      <x:c r="P64" s="21"/>
      <x:c r="Q64" s="43"/>
      <x:c r="R64" s="29" t="str">
        <x:f>IF(A64="","",IF(OR(B64="",C64="",D64="",J64=""),"Thiếu dữ liệu",IF(D64&lt;C64,"Sai thời gian",IF(AND(P64="Đã đóng",Q64=""),"Thiếu thời điểm đóng","Hợp lệ"))))</x:f>
      </x:c>
    </x:row>
    <x:row r="65">
      <x:c r="A65" s="21"/>
      <x:c r="B65" s="21"/>
      <x:c r="C65" s="43"/>
      <x:c r="D65" s="43"/>
      <x:c r="E65" s="39" t="str">
        <x:f>IF(A65="","",MAX(0,(D65-C65)*1440))</x:f>
      </x:c>
      <x:c r="F65" s="29" t="str">
        <x:f>IF(B65="","",IFERROR(INDEX('05_BAO_CAO_NGAY'!$D$6:$D$505,MATCH(B65,'05_BAO_CAO_NGAY'!$A$6:$A$505,0)),""))</x:f>
      </x:c>
      <x:c r="G65" s="29" t="str">
        <x:f>IF(B65="","",IFERROR(INDEX('05_BAO_CAO_NGAY'!$E$6:$E$505,MATCH(B65,'05_BAO_CAO_NGAY'!$A$6:$A$505,0)),""))</x:f>
      </x:c>
      <x:c r="H65" s="29" t="str">
        <x:f>IF(B65="","",IFERROR(INDEX('05_BAO_CAO_NGAY'!$J$6:$J$505,MATCH(B65,'05_BAO_CAO_NGAY'!$A$6:$A$505,0)),""))</x:f>
      </x:c>
      <x:c r="I65" s="29" t="str">
        <x:f>IF(B65="","",IFERROR(INDEX('05_BAO_CAO_NGAY'!$M$6:$M$505,MATCH(B65,'05_BAO_CAO_NGAY'!$A$6:$A$505,0)),""))</x:f>
      </x:c>
      <x:c r="J65" s="21"/>
      <x:c r="K65" s="29" t="str">
        <x:f>IF(J65="","",IFERROR(INDEX(DM_LY_DO_DUNG!$C$6:$C$105,MATCH(J65,DM_LY_DO_DUNG!$A$6:$A$105,0)),""))</x:f>
      </x:c>
      <x:c r="L65" s="21"/>
      <x:c r="M65" s="21"/>
      <x:c r="N65" s="21"/>
      <x:c r="O65" s="21"/>
      <x:c r="P65" s="21"/>
      <x:c r="Q65" s="43"/>
      <x:c r="R65" s="29" t="str">
        <x:f>IF(A65="","",IF(OR(B65="",C65="",D65="",J65=""),"Thiếu dữ liệu",IF(D65&lt;C65,"Sai thời gian",IF(AND(P65="Đã đóng",Q65=""),"Thiếu thời điểm đóng","Hợp lệ"))))</x:f>
      </x:c>
    </x:row>
    <x:row r="66">
      <x:c r="A66" s="21"/>
      <x:c r="B66" s="21"/>
      <x:c r="C66" s="43"/>
      <x:c r="D66" s="43"/>
      <x:c r="E66" s="39" t="str">
        <x:f>IF(A66="","",MAX(0,(D66-C66)*1440))</x:f>
      </x:c>
      <x:c r="F66" s="29" t="str">
        <x:f>IF(B66="","",IFERROR(INDEX('05_BAO_CAO_NGAY'!$D$6:$D$505,MATCH(B66,'05_BAO_CAO_NGAY'!$A$6:$A$505,0)),""))</x:f>
      </x:c>
      <x:c r="G66" s="29" t="str">
        <x:f>IF(B66="","",IFERROR(INDEX('05_BAO_CAO_NGAY'!$E$6:$E$505,MATCH(B66,'05_BAO_CAO_NGAY'!$A$6:$A$505,0)),""))</x:f>
      </x:c>
      <x:c r="H66" s="29" t="str">
        <x:f>IF(B66="","",IFERROR(INDEX('05_BAO_CAO_NGAY'!$J$6:$J$505,MATCH(B66,'05_BAO_CAO_NGAY'!$A$6:$A$505,0)),""))</x:f>
      </x:c>
      <x:c r="I66" s="29" t="str">
        <x:f>IF(B66="","",IFERROR(INDEX('05_BAO_CAO_NGAY'!$M$6:$M$505,MATCH(B66,'05_BAO_CAO_NGAY'!$A$6:$A$505,0)),""))</x:f>
      </x:c>
      <x:c r="J66" s="21"/>
      <x:c r="K66" s="29" t="str">
        <x:f>IF(J66="","",IFERROR(INDEX(DM_LY_DO_DUNG!$C$6:$C$105,MATCH(J66,DM_LY_DO_DUNG!$A$6:$A$105,0)),""))</x:f>
      </x:c>
      <x:c r="L66" s="21"/>
      <x:c r="M66" s="21"/>
      <x:c r="N66" s="21"/>
      <x:c r="O66" s="21"/>
      <x:c r="P66" s="21"/>
      <x:c r="Q66" s="43"/>
      <x:c r="R66" s="29" t="str">
        <x:f>IF(A66="","",IF(OR(B66="",C66="",D66="",J66=""),"Thiếu dữ liệu",IF(D66&lt;C66,"Sai thời gian",IF(AND(P66="Đã đóng",Q66=""),"Thiếu thời điểm đóng","Hợp lệ"))))</x:f>
      </x:c>
    </x:row>
    <x:row r="67">
      <x:c r="A67" s="21"/>
      <x:c r="B67" s="21"/>
      <x:c r="C67" s="43"/>
      <x:c r="D67" s="43"/>
      <x:c r="E67" s="39" t="str">
        <x:f>IF(A67="","",MAX(0,(D67-C67)*1440))</x:f>
      </x:c>
      <x:c r="F67" s="29" t="str">
        <x:f>IF(B67="","",IFERROR(INDEX('05_BAO_CAO_NGAY'!$D$6:$D$505,MATCH(B67,'05_BAO_CAO_NGAY'!$A$6:$A$505,0)),""))</x:f>
      </x:c>
      <x:c r="G67" s="29" t="str">
        <x:f>IF(B67="","",IFERROR(INDEX('05_BAO_CAO_NGAY'!$E$6:$E$505,MATCH(B67,'05_BAO_CAO_NGAY'!$A$6:$A$505,0)),""))</x:f>
      </x:c>
      <x:c r="H67" s="29" t="str">
        <x:f>IF(B67="","",IFERROR(INDEX('05_BAO_CAO_NGAY'!$J$6:$J$505,MATCH(B67,'05_BAO_CAO_NGAY'!$A$6:$A$505,0)),""))</x:f>
      </x:c>
      <x:c r="I67" s="29" t="str">
        <x:f>IF(B67="","",IFERROR(INDEX('05_BAO_CAO_NGAY'!$M$6:$M$505,MATCH(B67,'05_BAO_CAO_NGAY'!$A$6:$A$505,0)),""))</x:f>
      </x:c>
      <x:c r="J67" s="21"/>
      <x:c r="K67" s="29" t="str">
        <x:f>IF(J67="","",IFERROR(INDEX(DM_LY_DO_DUNG!$C$6:$C$105,MATCH(J67,DM_LY_DO_DUNG!$A$6:$A$105,0)),""))</x:f>
      </x:c>
      <x:c r="L67" s="21"/>
      <x:c r="M67" s="21"/>
      <x:c r="N67" s="21"/>
      <x:c r="O67" s="21"/>
      <x:c r="P67" s="21"/>
      <x:c r="Q67" s="43"/>
      <x:c r="R67" s="29" t="str">
        <x:f>IF(A67="","",IF(OR(B67="",C67="",D67="",J67=""),"Thiếu dữ liệu",IF(D67&lt;C67,"Sai thời gian",IF(AND(P67="Đã đóng",Q67=""),"Thiếu thời điểm đóng","Hợp lệ"))))</x:f>
      </x:c>
    </x:row>
    <x:row r="68">
      <x:c r="A68" s="21"/>
      <x:c r="B68" s="21"/>
      <x:c r="C68" s="43"/>
      <x:c r="D68" s="43"/>
      <x:c r="E68" s="39" t="str">
        <x:f>IF(A68="","",MAX(0,(D68-C68)*1440))</x:f>
      </x:c>
      <x:c r="F68" s="29" t="str">
        <x:f>IF(B68="","",IFERROR(INDEX('05_BAO_CAO_NGAY'!$D$6:$D$505,MATCH(B68,'05_BAO_CAO_NGAY'!$A$6:$A$505,0)),""))</x:f>
      </x:c>
      <x:c r="G68" s="29" t="str">
        <x:f>IF(B68="","",IFERROR(INDEX('05_BAO_CAO_NGAY'!$E$6:$E$505,MATCH(B68,'05_BAO_CAO_NGAY'!$A$6:$A$505,0)),""))</x:f>
      </x:c>
      <x:c r="H68" s="29" t="str">
        <x:f>IF(B68="","",IFERROR(INDEX('05_BAO_CAO_NGAY'!$J$6:$J$505,MATCH(B68,'05_BAO_CAO_NGAY'!$A$6:$A$505,0)),""))</x:f>
      </x:c>
      <x:c r="I68" s="29" t="str">
        <x:f>IF(B68="","",IFERROR(INDEX('05_BAO_CAO_NGAY'!$M$6:$M$505,MATCH(B68,'05_BAO_CAO_NGAY'!$A$6:$A$505,0)),""))</x:f>
      </x:c>
      <x:c r="J68" s="21"/>
      <x:c r="K68" s="29" t="str">
        <x:f>IF(J68="","",IFERROR(INDEX(DM_LY_DO_DUNG!$C$6:$C$105,MATCH(J68,DM_LY_DO_DUNG!$A$6:$A$105,0)),""))</x:f>
      </x:c>
      <x:c r="L68" s="21"/>
      <x:c r="M68" s="21"/>
      <x:c r="N68" s="21"/>
      <x:c r="O68" s="21"/>
      <x:c r="P68" s="21"/>
      <x:c r="Q68" s="43"/>
      <x:c r="R68" s="29" t="str">
        <x:f>IF(A68="","",IF(OR(B68="",C68="",D68="",J68=""),"Thiếu dữ liệu",IF(D68&lt;C68,"Sai thời gian",IF(AND(P68="Đã đóng",Q68=""),"Thiếu thời điểm đóng","Hợp lệ"))))</x:f>
      </x:c>
    </x:row>
    <x:row r="69">
      <x:c r="A69" s="21"/>
      <x:c r="B69" s="21"/>
      <x:c r="C69" s="43"/>
      <x:c r="D69" s="43"/>
      <x:c r="E69" s="39" t="str">
        <x:f>IF(A69="","",MAX(0,(D69-C69)*1440))</x:f>
      </x:c>
      <x:c r="F69" s="29" t="str">
        <x:f>IF(B69="","",IFERROR(INDEX('05_BAO_CAO_NGAY'!$D$6:$D$505,MATCH(B69,'05_BAO_CAO_NGAY'!$A$6:$A$505,0)),""))</x:f>
      </x:c>
      <x:c r="G69" s="29" t="str">
        <x:f>IF(B69="","",IFERROR(INDEX('05_BAO_CAO_NGAY'!$E$6:$E$505,MATCH(B69,'05_BAO_CAO_NGAY'!$A$6:$A$505,0)),""))</x:f>
      </x:c>
      <x:c r="H69" s="29" t="str">
        <x:f>IF(B69="","",IFERROR(INDEX('05_BAO_CAO_NGAY'!$J$6:$J$505,MATCH(B69,'05_BAO_CAO_NGAY'!$A$6:$A$505,0)),""))</x:f>
      </x:c>
      <x:c r="I69" s="29" t="str">
        <x:f>IF(B69="","",IFERROR(INDEX('05_BAO_CAO_NGAY'!$M$6:$M$505,MATCH(B69,'05_BAO_CAO_NGAY'!$A$6:$A$505,0)),""))</x:f>
      </x:c>
      <x:c r="J69" s="21"/>
      <x:c r="K69" s="29" t="str">
        <x:f>IF(J69="","",IFERROR(INDEX(DM_LY_DO_DUNG!$C$6:$C$105,MATCH(J69,DM_LY_DO_DUNG!$A$6:$A$105,0)),""))</x:f>
      </x:c>
      <x:c r="L69" s="21"/>
      <x:c r="M69" s="21"/>
      <x:c r="N69" s="21"/>
      <x:c r="O69" s="21"/>
      <x:c r="P69" s="21"/>
      <x:c r="Q69" s="43"/>
      <x:c r="R69" s="29" t="str">
        <x:f>IF(A69="","",IF(OR(B69="",C69="",D69="",J69=""),"Thiếu dữ liệu",IF(D69&lt;C69,"Sai thời gian",IF(AND(P69="Đã đóng",Q69=""),"Thiếu thời điểm đóng","Hợp lệ"))))</x:f>
      </x:c>
    </x:row>
    <x:row r="70">
      <x:c r="A70" s="21"/>
      <x:c r="B70" s="21"/>
      <x:c r="C70" s="43"/>
      <x:c r="D70" s="43"/>
      <x:c r="E70" s="39" t="str">
        <x:f>IF(A70="","",MAX(0,(D70-C70)*1440))</x:f>
      </x:c>
      <x:c r="F70" s="29" t="str">
        <x:f>IF(B70="","",IFERROR(INDEX('05_BAO_CAO_NGAY'!$D$6:$D$505,MATCH(B70,'05_BAO_CAO_NGAY'!$A$6:$A$505,0)),""))</x:f>
      </x:c>
      <x:c r="G70" s="29" t="str">
        <x:f>IF(B70="","",IFERROR(INDEX('05_BAO_CAO_NGAY'!$E$6:$E$505,MATCH(B70,'05_BAO_CAO_NGAY'!$A$6:$A$505,0)),""))</x:f>
      </x:c>
      <x:c r="H70" s="29" t="str">
        <x:f>IF(B70="","",IFERROR(INDEX('05_BAO_CAO_NGAY'!$J$6:$J$505,MATCH(B70,'05_BAO_CAO_NGAY'!$A$6:$A$505,0)),""))</x:f>
      </x:c>
      <x:c r="I70" s="29" t="str">
        <x:f>IF(B70="","",IFERROR(INDEX('05_BAO_CAO_NGAY'!$M$6:$M$505,MATCH(B70,'05_BAO_CAO_NGAY'!$A$6:$A$505,0)),""))</x:f>
      </x:c>
      <x:c r="J70" s="21"/>
      <x:c r="K70" s="29" t="str">
        <x:f>IF(J70="","",IFERROR(INDEX(DM_LY_DO_DUNG!$C$6:$C$105,MATCH(J70,DM_LY_DO_DUNG!$A$6:$A$105,0)),""))</x:f>
      </x:c>
      <x:c r="L70" s="21"/>
      <x:c r="M70" s="21"/>
      <x:c r="N70" s="21"/>
      <x:c r="O70" s="21"/>
      <x:c r="P70" s="21"/>
      <x:c r="Q70" s="43"/>
      <x:c r="R70" s="29" t="str">
        <x:f>IF(A70="","",IF(OR(B70="",C70="",D70="",J70=""),"Thiếu dữ liệu",IF(D70&lt;C70,"Sai thời gian",IF(AND(P70="Đã đóng",Q70=""),"Thiếu thời điểm đóng","Hợp lệ"))))</x:f>
      </x:c>
    </x:row>
    <x:row r="71">
      <x:c r="A71" s="21"/>
      <x:c r="B71" s="21"/>
      <x:c r="C71" s="43"/>
      <x:c r="D71" s="43"/>
      <x:c r="E71" s="39" t="str">
        <x:f>IF(A71="","",MAX(0,(D71-C71)*1440))</x:f>
      </x:c>
      <x:c r="F71" s="29" t="str">
        <x:f>IF(B71="","",IFERROR(INDEX('05_BAO_CAO_NGAY'!$D$6:$D$505,MATCH(B71,'05_BAO_CAO_NGAY'!$A$6:$A$505,0)),""))</x:f>
      </x:c>
      <x:c r="G71" s="29" t="str">
        <x:f>IF(B71="","",IFERROR(INDEX('05_BAO_CAO_NGAY'!$E$6:$E$505,MATCH(B71,'05_BAO_CAO_NGAY'!$A$6:$A$505,0)),""))</x:f>
      </x:c>
      <x:c r="H71" s="29" t="str">
        <x:f>IF(B71="","",IFERROR(INDEX('05_BAO_CAO_NGAY'!$J$6:$J$505,MATCH(B71,'05_BAO_CAO_NGAY'!$A$6:$A$505,0)),""))</x:f>
      </x:c>
      <x:c r="I71" s="29" t="str">
        <x:f>IF(B71="","",IFERROR(INDEX('05_BAO_CAO_NGAY'!$M$6:$M$505,MATCH(B71,'05_BAO_CAO_NGAY'!$A$6:$A$505,0)),""))</x:f>
      </x:c>
      <x:c r="J71" s="21"/>
      <x:c r="K71" s="29" t="str">
        <x:f>IF(J71="","",IFERROR(INDEX(DM_LY_DO_DUNG!$C$6:$C$105,MATCH(J71,DM_LY_DO_DUNG!$A$6:$A$105,0)),""))</x:f>
      </x:c>
      <x:c r="L71" s="21"/>
      <x:c r="M71" s="21"/>
      <x:c r="N71" s="21"/>
      <x:c r="O71" s="21"/>
      <x:c r="P71" s="21"/>
      <x:c r="Q71" s="43"/>
      <x:c r="R71" s="29" t="str">
        <x:f>IF(A71="","",IF(OR(B71="",C71="",D71="",J71=""),"Thiếu dữ liệu",IF(D71&lt;C71,"Sai thời gian",IF(AND(P71="Đã đóng",Q71=""),"Thiếu thời điểm đóng","Hợp lệ"))))</x:f>
      </x:c>
    </x:row>
    <x:row r="72">
      <x:c r="A72" s="21"/>
      <x:c r="B72" s="21"/>
      <x:c r="C72" s="43"/>
      <x:c r="D72" s="43"/>
      <x:c r="E72" s="39" t="str">
        <x:f>IF(A72="","",MAX(0,(D72-C72)*1440))</x:f>
      </x:c>
      <x:c r="F72" s="29" t="str">
        <x:f>IF(B72="","",IFERROR(INDEX('05_BAO_CAO_NGAY'!$D$6:$D$505,MATCH(B72,'05_BAO_CAO_NGAY'!$A$6:$A$505,0)),""))</x:f>
      </x:c>
      <x:c r="G72" s="29" t="str">
        <x:f>IF(B72="","",IFERROR(INDEX('05_BAO_CAO_NGAY'!$E$6:$E$505,MATCH(B72,'05_BAO_CAO_NGAY'!$A$6:$A$505,0)),""))</x:f>
      </x:c>
      <x:c r="H72" s="29" t="str">
        <x:f>IF(B72="","",IFERROR(INDEX('05_BAO_CAO_NGAY'!$J$6:$J$505,MATCH(B72,'05_BAO_CAO_NGAY'!$A$6:$A$505,0)),""))</x:f>
      </x:c>
      <x:c r="I72" s="29" t="str">
        <x:f>IF(B72="","",IFERROR(INDEX('05_BAO_CAO_NGAY'!$M$6:$M$505,MATCH(B72,'05_BAO_CAO_NGAY'!$A$6:$A$505,0)),""))</x:f>
      </x:c>
      <x:c r="J72" s="21"/>
      <x:c r="K72" s="29" t="str">
        <x:f>IF(J72="","",IFERROR(INDEX(DM_LY_DO_DUNG!$C$6:$C$105,MATCH(J72,DM_LY_DO_DUNG!$A$6:$A$105,0)),""))</x:f>
      </x:c>
      <x:c r="L72" s="21"/>
      <x:c r="M72" s="21"/>
      <x:c r="N72" s="21"/>
      <x:c r="O72" s="21"/>
      <x:c r="P72" s="21"/>
      <x:c r="Q72" s="43"/>
      <x:c r="R72" s="29" t="str">
        <x:f>IF(A72="","",IF(OR(B72="",C72="",D72="",J72=""),"Thiếu dữ liệu",IF(D72&lt;C72,"Sai thời gian",IF(AND(P72="Đã đóng",Q72=""),"Thiếu thời điểm đóng","Hợp lệ"))))</x:f>
      </x:c>
    </x:row>
    <x:row r="73">
      <x:c r="A73" s="21"/>
      <x:c r="B73" s="21"/>
      <x:c r="C73" s="43"/>
      <x:c r="D73" s="43"/>
      <x:c r="E73" s="39" t="str">
        <x:f>IF(A73="","",MAX(0,(D73-C73)*1440))</x:f>
      </x:c>
      <x:c r="F73" s="29" t="str">
        <x:f>IF(B73="","",IFERROR(INDEX('05_BAO_CAO_NGAY'!$D$6:$D$505,MATCH(B73,'05_BAO_CAO_NGAY'!$A$6:$A$505,0)),""))</x:f>
      </x:c>
      <x:c r="G73" s="29" t="str">
        <x:f>IF(B73="","",IFERROR(INDEX('05_BAO_CAO_NGAY'!$E$6:$E$505,MATCH(B73,'05_BAO_CAO_NGAY'!$A$6:$A$505,0)),""))</x:f>
      </x:c>
      <x:c r="H73" s="29" t="str">
        <x:f>IF(B73="","",IFERROR(INDEX('05_BAO_CAO_NGAY'!$J$6:$J$505,MATCH(B73,'05_BAO_CAO_NGAY'!$A$6:$A$505,0)),""))</x:f>
      </x:c>
      <x:c r="I73" s="29" t="str">
        <x:f>IF(B73="","",IFERROR(INDEX('05_BAO_CAO_NGAY'!$M$6:$M$505,MATCH(B73,'05_BAO_CAO_NGAY'!$A$6:$A$505,0)),""))</x:f>
      </x:c>
      <x:c r="J73" s="21"/>
      <x:c r="K73" s="29" t="str">
        <x:f>IF(J73="","",IFERROR(INDEX(DM_LY_DO_DUNG!$C$6:$C$105,MATCH(J73,DM_LY_DO_DUNG!$A$6:$A$105,0)),""))</x:f>
      </x:c>
      <x:c r="L73" s="21"/>
      <x:c r="M73" s="21"/>
      <x:c r="N73" s="21"/>
      <x:c r="O73" s="21"/>
      <x:c r="P73" s="21"/>
      <x:c r="Q73" s="43"/>
      <x:c r="R73" s="29" t="str">
        <x:f>IF(A73="","",IF(OR(B73="",C73="",D73="",J73=""),"Thiếu dữ liệu",IF(D73&lt;C73,"Sai thời gian",IF(AND(P73="Đã đóng",Q73=""),"Thiếu thời điểm đóng","Hợp lệ"))))</x:f>
      </x:c>
    </x:row>
    <x:row r="74">
      <x:c r="A74" s="21"/>
      <x:c r="B74" s="21"/>
      <x:c r="C74" s="43"/>
      <x:c r="D74" s="43"/>
      <x:c r="E74" s="39" t="str">
        <x:f>IF(A74="","",MAX(0,(D74-C74)*1440))</x:f>
      </x:c>
      <x:c r="F74" s="29" t="str">
        <x:f>IF(B74="","",IFERROR(INDEX('05_BAO_CAO_NGAY'!$D$6:$D$505,MATCH(B74,'05_BAO_CAO_NGAY'!$A$6:$A$505,0)),""))</x:f>
      </x:c>
      <x:c r="G74" s="29" t="str">
        <x:f>IF(B74="","",IFERROR(INDEX('05_BAO_CAO_NGAY'!$E$6:$E$505,MATCH(B74,'05_BAO_CAO_NGAY'!$A$6:$A$505,0)),""))</x:f>
      </x:c>
      <x:c r="H74" s="29" t="str">
        <x:f>IF(B74="","",IFERROR(INDEX('05_BAO_CAO_NGAY'!$J$6:$J$505,MATCH(B74,'05_BAO_CAO_NGAY'!$A$6:$A$505,0)),""))</x:f>
      </x:c>
      <x:c r="I74" s="29" t="str">
        <x:f>IF(B74="","",IFERROR(INDEX('05_BAO_CAO_NGAY'!$M$6:$M$505,MATCH(B74,'05_BAO_CAO_NGAY'!$A$6:$A$505,0)),""))</x:f>
      </x:c>
      <x:c r="J74" s="21"/>
      <x:c r="K74" s="29" t="str">
        <x:f>IF(J74="","",IFERROR(INDEX(DM_LY_DO_DUNG!$C$6:$C$105,MATCH(J74,DM_LY_DO_DUNG!$A$6:$A$105,0)),""))</x:f>
      </x:c>
      <x:c r="L74" s="21"/>
      <x:c r="M74" s="21"/>
      <x:c r="N74" s="21"/>
      <x:c r="O74" s="21"/>
      <x:c r="P74" s="21"/>
      <x:c r="Q74" s="43"/>
      <x:c r="R74" s="29" t="str">
        <x:f>IF(A74="","",IF(OR(B74="",C74="",D74="",J74=""),"Thiếu dữ liệu",IF(D74&lt;C74,"Sai thời gian",IF(AND(P74="Đã đóng",Q74=""),"Thiếu thời điểm đóng","Hợp lệ"))))</x:f>
      </x:c>
    </x:row>
    <x:row r="75">
      <x:c r="A75" s="21"/>
      <x:c r="B75" s="21"/>
      <x:c r="C75" s="43"/>
      <x:c r="D75" s="43"/>
      <x:c r="E75" s="39" t="str">
        <x:f>IF(A75="","",MAX(0,(D75-C75)*1440))</x:f>
      </x:c>
      <x:c r="F75" s="29" t="str">
        <x:f>IF(B75="","",IFERROR(INDEX('05_BAO_CAO_NGAY'!$D$6:$D$505,MATCH(B75,'05_BAO_CAO_NGAY'!$A$6:$A$505,0)),""))</x:f>
      </x:c>
      <x:c r="G75" s="29" t="str">
        <x:f>IF(B75="","",IFERROR(INDEX('05_BAO_CAO_NGAY'!$E$6:$E$505,MATCH(B75,'05_BAO_CAO_NGAY'!$A$6:$A$505,0)),""))</x:f>
      </x:c>
      <x:c r="H75" s="29" t="str">
        <x:f>IF(B75="","",IFERROR(INDEX('05_BAO_CAO_NGAY'!$J$6:$J$505,MATCH(B75,'05_BAO_CAO_NGAY'!$A$6:$A$505,0)),""))</x:f>
      </x:c>
      <x:c r="I75" s="29" t="str">
        <x:f>IF(B75="","",IFERROR(INDEX('05_BAO_CAO_NGAY'!$M$6:$M$505,MATCH(B75,'05_BAO_CAO_NGAY'!$A$6:$A$505,0)),""))</x:f>
      </x:c>
      <x:c r="J75" s="21"/>
      <x:c r="K75" s="29" t="str">
        <x:f>IF(J75="","",IFERROR(INDEX(DM_LY_DO_DUNG!$C$6:$C$105,MATCH(J75,DM_LY_DO_DUNG!$A$6:$A$105,0)),""))</x:f>
      </x:c>
      <x:c r="L75" s="21"/>
      <x:c r="M75" s="21"/>
      <x:c r="N75" s="21"/>
      <x:c r="O75" s="21"/>
      <x:c r="P75" s="21"/>
      <x:c r="Q75" s="43"/>
      <x:c r="R75" s="29" t="str">
        <x:f>IF(A75="","",IF(OR(B75="",C75="",D75="",J75=""),"Thiếu dữ liệu",IF(D75&lt;C75,"Sai thời gian",IF(AND(P75="Đã đóng",Q75=""),"Thiếu thời điểm đóng","Hợp lệ"))))</x:f>
      </x:c>
    </x:row>
    <x:row r="76">
      <x:c r="A76" s="21"/>
      <x:c r="B76" s="21"/>
      <x:c r="C76" s="43"/>
      <x:c r="D76" s="43"/>
      <x:c r="E76" s="39" t="str">
        <x:f>IF(A76="","",MAX(0,(D76-C76)*1440))</x:f>
      </x:c>
      <x:c r="F76" s="29" t="str">
        <x:f>IF(B76="","",IFERROR(INDEX('05_BAO_CAO_NGAY'!$D$6:$D$505,MATCH(B76,'05_BAO_CAO_NGAY'!$A$6:$A$505,0)),""))</x:f>
      </x:c>
      <x:c r="G76" s="29" t="str">
        <x:f>IF(B76="","",IFERROR(INDEX('05_BAO_CAO_NGAY'!$E$6:$E$505,MATCH(B76,'05_BAO_CAO_NGAY'!$A$6:$A$505,0)),""))</x:f>
      </x:c>
      <x:c r="H76" s="29" t="str">
        <x:f>IF(B76="","",IFERROR(INDEX('05_BAO_CAO_NGAY'!$J$6:$J$505,MATCH(B76,'05_BAO_CAO_NGAY'!$A$6:$A$505,0)),""))</x:f>
      </x:c>
      <x:c r="I76" s="29" t="str">
        <x:f>IF(B76="","",IFERROR(INDEX('05_BAO_CAO_NGAY'!$M$6:$M$505,MATCH(B76,'05_BAO_CAO_NGAY'!$A$6:$A$505,0)),""))</x:f>
      </x:c>
      <x:c r="J76" s="21"/>
      <x:c r="K76" s="29" t="str">
        <x:f>IF(J76="","",IFERROR(INDEX(DM_LY_DO_DUNG!$C$6:$C$105,MATCH(J76,DM_LY_DO_DUNG!$A$6:$A$105,0)),""))</x:f>
      </x:c>
      <x:c r="L76" s="21"/>
      <x:c r="M76" s="21"/>
      <x:c r="N76" s="21"/>
      <x:c r="O76" s="21"/>
      <x:c r="P76" s="21"/>
      <x:c r="Q76" s="43"/>
      <x:c r="R76" s="29" t="str">
        <x:f>IF(A76="","",IF(OR(B76="",C76="",D76="",J76=""),"Thiếu dữ liệu",IF(D76&lt;C76,"Sai thời gian",IF(AND(P76="Đã đóng",Q76=""),"Thiếu thời điểm đóng","Hợp lệ"))))</x:f>
      </x:c>
    </x:row>
    <x:row r="77">
      <x:c r="A77" s="21"/>
      <x:c r="B77" s="21"/>
      <x:c r="C77" s="43"/>
      <x:c r="D77" s="43"/>
      <x:c r="E77" s="39" t="str">
        <x:f>IF(A77="","",MAX(0,(D77-C77)*1440))</x:f>
      </x:c>
      <x:c r="F77" s="29" t="str">
        <x:f>IF(B77="","",IFERROR(INDEX('05_BAO_CAO_NGAY'!$D$6:$D$505,MATCH(B77,'05_BAO_CAO_NGAY'!$A$6:$A$505,0)),""))</x:f>
      </x:c>
      <x:c r="G77" s="29" t="str">
        <x:f>IF(B77="","",IFERROR(INDEX('05_BAO_CAO_NGAY'!$E$6:$E$505,MATCH(B77,'05_BAO_CAO_NGAY'!$A$6:$A$505,0)),""))</x:f>
      </x:c>
      <x:c r="H77" s="29" t="str">
        <x:f>IF(B77="","",IFERROR(INDEX('05_BAO_CAO_NGAY'!$J$6:$J$505,MATCH(B77,'05_BAO_CAO_NGAY'!$A$6:$A$505,0)),""))</x:f>
      </x:c>
      <x:c r="I77" s="29" t="str">
        <x:f>IF(B77="","",IFERROR(INDEX('05_BAO_CAO_NGAY'!$M$6:$M$505,MATCH(B77,'05_BAO_CAO_NGAY'!$A$6:$A$505,0)),""))</x:f>
      </x:c>
      <x:c r="J77" s="21"/>
      <x:c r="K77" s="29" t="str">
        <x:f>IF(J77="","",IFERROR(INDEX(DM_LY_DO_DUNG!$C$6:$C$105,MATCH(J77,DM_LY_DO_DUNG!$A$6:$A$105,0)),""))</x:f>
      </x:c>
      <x:c r="L77" s="21"/>
      <x:c r="M77" s="21"/>
      <x:c r="N77" s="21"/>
      <x:c r="O77" s="21"/>
      <x:c r="P77" s="21"/>
      <x:c r="Q77" s="43"/>
      <x:c r="R77" s="29" t="str">
        <x:f>IF(A77="","",IF(OR(B77="",C77="",D77="",J77=""),"Thiếu dữ liệu",IF(D77&lt;C77,"Sai thời gian",IF(AND(P77="Đã đóng",Q77=""),"Thiếu thời điểm đóng","Hợp lệ"))))</x:f>
      </x:c>
    </x:row>
    <x:row r="78">
      <x:c r="A78" s="21"/>
      <x:c r="B78" s="21"/>
      <x:c r="C78" s="43"/>
      <x:c r="D78" s="43"/>
      <x:c r="E78" s="39" t="str">
        <x:f>IF(A78="","",MAX(0,(D78-C78)*1440))</x:f>
      </x:c>
      <x:c r="F78" s="29" t="str">
        <x:f>IF(B78="","",IFERROR(INDEX('05_BAO_CAO_NGAY'!$D$6:$D$505,MATCH(B78,'05_BAO_CAO_NGAY'!$A$6:$A$505,0)),""))</x:f>
      </x:c>
      <x:c r="G78" s="29" t="str">
        <x:f>IF(B78="","",IFERROR(INDEX('05_BAO_CAO_NGAY'!$E$6:$E$505,MATCH(B78,'05_BAO_CAO_NGAY'!$A$6:$A$505,0)),""))</x:f>
      </x:c>
      <x:c r="H78" s="29" t="str">
        <x:f>IF(B78="","",IFERROR(INDEX('05_BAO_CAO_NGAY'!$J$6:$J$505,MATCH(B78,'05_BAO_CAO_NGAY'!$A$6:$A$505,0)),""))</x:f>
      </x:c>
      <x:c r="I78" s="29" t="str">
        <x:f>IF(B78="","",IFERROR(INDEX('05_BAO_CAO_NGAY'!$M$6:$M$505,MATCH(B78,'05_BAO_CAO_NGAY'!$A$6:$A$505,0)),""))</x:f>
      </x:c>
      <x:c r="J78" s="21"/>
      <x:c r="K78" s="29" t="str">
        <x:f>IF(J78="","",IFERROR(INDEX(DM_LY_DO_DUNG!$C$6:$C$105,MATCH(J78,DM_LY_DO_DUNG!$A$6:$A$105,0)),""))</x:f>
      </x:c>
      <x:c r="L78" s="21"/>
      <x:c r="M78" s="21"/>
      <x:c r="N78" s="21"/>
      <x:c r="O78" s="21"/>
      <x:c r="P78" s="21"/>
      <x:c r="Q78" s="43"/>
      <x:c r="R78" s="29" t="str">
        <x:f>IF(A78="","",IF(OR(B78="",C78="",D78="",J78=""),"Thiếu dữ liệu",IF(D78&lt;C78,"Sai thời gian",IF(AND(P78="Đã đóng",Q78=""),"Thiếu thời điểm đóng","Hợp lệ"))))</x:f>
      </x:c>
    </x:row>
    <x:row r="79">
      <x:c r="A79" s="21"/>
      <x:c r="B79" s="21"/>
      <x:c r="C79" s="43"/>
      <x:c r="D79" s="43"/>
      <x:c r="E79" s="39" t="str">
        <x:f>IF(A79="","",MAX(0,(D79-C79)*1440))</x:f>
      </x:c>
      <x:c r="F79" s="29" t="str">
        <x:f>IF(B79="","",IFERROR(INDEX('05_BAO_CAO_NGAY'!$D$6:$D$505,MATCH(B79,'05_BAO_CAO_NGAY'!$A$6:$A$505,0)),""))</x:f>
      </x:c>
      <x:c r="G79" s="29" t="str">
        <x:f>IF(B79="","",IFERROR(INDEX('05_BAO_CAO_NGAY'!$E$6:$E$505,MATCH(B79,'05_BAO_CAO_NGAY'!$A$6:$A$505,0)),""))</x:f>
      </x:c>
      <x:c r="H79" s="29" t="str">
        <x:f>IF(B79="","",IFERROR(INDEX('05_BAO_CAO_NGAY'!$J$6:$J$505,MATCH(B79,'05_BAO_CAO_NGAY'!$A$6:$A$505,0)),""))</x:f>
      </x:c>
      <x:c r="I79" s="29" t="str">
        <x:f>IF(B79="","",IFERROR(INDEX('05_BAO_CAO_NGAY'!$M$6:$M$505,MATCH(B79,'05_BAO_CAO_NGAY'!$A$6:$A$505,0)),""))</x:f>
      </x:c>
      <x:c r="J79" s="21"/>
      <x:c r="K79" s="29" t="str">
        <x:f>IF(J79="","",IFERROR(INDEX(DM_LY_DO_DUNG!$C$6:$C$105,MATCH(J79,DM_LY_DO_DUNG!$A$6:$A$105,0)),""))</x:f>
      </x:c>
      <x:c r="L79" s="21"/>
      <x:c r="M79" s="21"/>
      <x:c r="N79" s="21"/>
      <x:c r="O79" s="21"/>
      <x:c r="P79" s="21"/>
      <x:c r="Q79" s="43"/>
      <x:c r="R79" s="29" t="str">
        <x:f>IF(A79="","",IF(OR(B79="",C79="",D79="",J79=""),"Thiếu dữ liệu",IF(D79&lt;C79,"Sai thời gian",IF(AND(P79="Đã đóng",Q79=""),"Thiếu thời điểm đóng","Hợp lệ"))))</x:f>
      </x:c>
    </x:row>
    <x:row r="80">
      <x:c r="A80" s="21"/>
      <x:c r="B80" s="21"/>
      <x:c r="C80" s="43"/>
      <x:c r="D80" s="43"/>
      <x:c r="E80" s="39" t="str">
        <x:f>IF(A80="","",MAX(0,(D80-C80)*1440))</x:f>
      </x:c>
      <x:c r="F80" s="29" t="str">
        <x:f>IF(B80="","",IFERROR(INDEX('05_BAO_CAO_NGAY'!$D$6:$D$505,MATCH(B80,'05_BAO_CAO_NGAY'!$A$6:$A$505,0)),""))</x:f>
      </x:c>
      <x:c r="G80" s="29" t="str">
        <x:f>IF(B80="","",IFERROR(INDEX('05_BAO_CAO_NGAY'!$E$6:$E$505,MATCH(B80,'05_BAO_CAO_NGAY'!$A$6:$A$505,0)),""))</x:f>
      </x:c>
      <x:c r="H80" s="29" t="str">
        <x:f>IF(B80="","",IFERROR(INDEX('05_BAO_CAO_NGAY'!$J$6:$J$505,MATCH(B80,'05_BAO_CAO_NGAY'!$A$6:$A$505,0)),""))</x:f>
      </x:c>
      <x:c r="I80" s="29" t="str">
        <x:f>IF(B80="","",IFERROR(INDEX('05_BAO_CAO_NGAY'!$M$6:$M$505,MATCH(B80,'05_BAO_CAO_NGAY'!$A$6:$A$505,0)),""))</x:f>
      </x:c>
      <x:c r="J80" s="21"/>
      <x:c r="K80" s="29" t="str">
        <x:f>IF(J80="","",IFERROR(INDEX(DM_LY_DO_DUNG!$C$6:$C$105,MATCH(J80,DM_LY_DO_DUNG!$A$6:$A$105,0)),""))</x:f>
      </x:c>
      <x:c r="L80" s="21"/>
      <x:c r="M80" s="21"/>
      <x:c r="N80" s="21"/>
      <x:c r="O80" s="21"/>
      <x:c r="P80" s="21"/>
      <x:c r="Q80" s="43"/>
      <x:c r="R80" s="29" t="str">
        <x:f>IF(A80="","",IF(OR(B80="",C80="",D80="",J80=""),"Thiếu dữ liệu",IF(D80&lt;C80,"Sai thời gian",IF(AND(P80="Đã đóng",Q80=""),"Thiếu thời điểm đóng","Hợp lệ"))))</x:f>
      </x:c>
    </x:row>
    <x:row r="81">
      <x:c r="A81" s="21"/>
      <x:c r="B81" s="21"/>
      <x:c r="C81" s="43"/>
      <x:c r="D81" s="43"/>
      <x:c r="E81" s="39" t="str">
        <x:f>IF(A81="","",MAX(0,(D81-C81)*1440))</x:f>
      </x:c>
      <x:c r="F81" s="29" t="str">
        <x:f>IF(B81="","",IFERROR(INDEX('05_BAO_CAO_NGAY'!$D$6:$D$505,MATCH(B81,'05_BAO_CAO_NGAY'!$A$6:$A$505,0)),""))</x:f>
      </x:c>
      <x:c r="G81" s="29" t="str">
        <x:f>IF(B81="","",IFERROR(INDEX('05_BAO_CAO_NGAY'!$E$6:$E$505,MATCH(B81,'05_BAO_CAO_NGAY'!$A$6:$A$505,0)),""))</x:f>
      </x:c>
      <x:c r="H81" s="29" t="str">
        <x:f>IF(B81="","",IFERROR(INDEX('05_BAO_CAO_NGAY'!$J$6:$J$505,MATCH(B81,'05_BAO_CAO_NGAY'!$A$6:$A$505,0)),""))</x:f>
      </x:c>
      <x:c r="I81" s="29" t="str">
        <x:f>IF(B81="","",IFERROR(INDEX('05_BAO_CAO_NGAY'!$M$6:$M$505,MATCH(B81,'05_BAO_CAO_NGAY'!$A$6:$A$505,0)),""))</x:f>
      </x:c>
      <x:c r="J81" s="21"/>
      <x:c r="K81" s="29" t="str">
        <x:f>IF(J81="","",IFERROR(INDEX(DM_LY_DO_DUNG!$C$6:$C$105,MATCH(J81,DM_LY_DO_DUNG!$A$6:$A$105,0)),""))</x:f>
      </x:c>
      <x:c r="L81" s="21"/>
      <x:c r="M81" s="21"/>
      <x:c r="N81" s="21"/>
      <x:c r="O81" s="21"/>
      <x:c r="P81" s="21"/>
      <x:c r="Q81" s="43"/>
      <x:c r="R81" s="29" t="str">
        <x:f>IF(A81="","",IF(OR(B81="",C81="",D81="",J81=""),"Thiếu dữ liệu",IF(D81&lt;C81,"Sai thời gian",IF(AND(P81="Đã đóng",Q81=""),"Thiếu thời điểm đóng","Hợp lệ"))))</x:f>
      </x:c>
    </x:row>
    <x:row r="82">
      <x:c r="A82" s="21"/>
      <x:c r="B82" s="21"/>
      <x:c r="C82" s="43"/>
      <x:c r="D82" s="43"/>
      <x:c r="E82" s="39" t="str">
        <x:f>IF(A82="","",MAX(0,(D82-C82)*1440))</x:f>
      </x:c>
      <x:c r="F82" s="29" t="str">
        <x:f>IF(B82="","",IFERROR(INDEX('05_BAO_CAO_NGAY'!$D$6:$D$505,MATCH(B82,'05_BAO_CAO_NGAY'!$A$6:$A$505,0)),""))</x:f>
      </x:c>
      <x:c r="G82" s="29" t="str">
        <x:f>IF(B82="","",IFERROR(INDEX('05_BAO_CAO_NGAY'!$E$6:$E$505,MATCH(B82,'05_BAO_CAO_NGAY'!$A$6:$A$505,0)),""))</x:f>
      </x:c>
      <x:c r="H82" s="29" t="str">
        <x:f>IF(B82="","",IFERROR(INDEX('05_BAO_CAO_NGAY'!$J$6:$J$505,MATCH(B82,'05_BAO_CAO_NGAY'!$A$6:$A$505,0)),""))</x:f>
      </x:c>
      <x:c r="I82" s="29" t="str">
        <x:f>IF(B82="","",IFERROR(INDEX('05_BAO_CAO_NGAY'!$M$6:$M$505,MATCH(B82,'05_BAO_CAO_NGAY'!$A$6:$A$505,0)),""))</x:f>
      </x:c>
      <x:c r="J82" s="21"/>
      <x:c r="K82" s="29" t="str">
        <x:f>IF(J82="","",IFERROR(INDEX(DM_LY_DO_DUNG!$C$6:$C$105,MATCH(J82,DM_LY_DO_DUNG!$A$6:$A$105,0)),""))</x:f>
      </x:c>
      <x:c r="L82" s="21"/>
      <x:c r="M82" s="21"/>
      <x:c r="N82" s="21"/>
      <x:c r="O82" s="21"/>
      <x:c r="P82" s="21"/>
      <x:c r="Q82" s="43"/>
      <x:c r="R82" s="29" t="str">
        <x:f>IF(A82="","",IF(OR(B82="",C82="",D82="",J82=""),"Thiếu dữ liệu",IF(D82&lt;C82,"Sai thời gian",IF(AND(P82="Đã đóng",Q82=""),"Thiếu thời điểm đóng","Hợp lệ"))))</x:f>
      </x:c>
    </x:row>
    <x:row r="83">
      <x:c r="A83" s="21"/>
      <x:c r="B83" s="21"/>
      <x:c r="C83" s="43"/>
      <x:c r="D83" s="43"/>
      <x:c r="E83" s="39" t="str">
        <x:f>IF(A83="","",MAX(0,(D83-C83)*1440))</x:f>
      </x:c>
      <x:c r="F83" s="29" t="str">
        <x:f>IF(B83="","",IFERROR(INDEX('05_BAO_CAO_NGAY'!$D$6:$D$505,MATCH(B83,'05_BAO_CAO_NGAY'!$A$6:$A$505,0)),""))</x:f>
      </x:c>
      <x:c r="G83" s="29" t="str">
        <x:f>IF(B83="","",IFERROR(INDEX('05_BAO_CAO_NGAY'!$E$6:$E$505,MATCH(B83,'05_BAO_CAO_NGAY'!$A$6:$A$505,0)),""))</x:f>
      </x:c>
      <x:c r="H83" s="29" t="str">
        <x:f>IF(B83="","",IFERROR(INDEX('05_BAO_CAO_NGAY'!$J$6:$J$505,MATCH(B83,'05_BAO_CAO_NGAY'!$A$6:$A$505,0)),""))</x:f>
      </x:c>
      <x:c r="I83" s="29" t="str">
        <x:f>IF(B83="","",IFERROR(INDEX('05_BAO_CAO_NGAY'!$M$6:$M$505,MATCH(B83,'05_BAO_CAO_NGAY'!$A$6:$A$505,0)),""))</x:f>
      </x:c>
      <x:c r="J83" s="21"/>
      <x:c r="K83" s="29" t="str">
        <x:f>IF(J83="","",IFERROR(INDEX(DM_LY_DO_DUNG!$C$6:$C$105,MATCH(J83,DM_LY_DO_DUNG!$A$6:$A$105,0)),""))</x:f>
      </x:c>
      <x:c r="L83" s="21"/>
      <x:c r="M83" s="21"/>
      <x:c r="N83" s="21"/>
      <x:c r="O83" s="21"/>
      <x:c r="P83" s="21"/>
      <x:c r="Q83" s="43"/>
      <x:c r="R83" s="29" t="str">
        <x:f>IF(A83="","",IF(OR(B83="",C83="",D83="",J83=""),"Thiếu dữ liệu",IF(D83&lt;C83,"Sai thời gian",IF(AND(P83="Đã đóng",Q83=""),"Thiếu thời điểm đóng","Hợp lệ"))))</x:f>
      </x:c>
    </x:row>
    <x:row r="84">
      <x:c r="A84" s="21"/>
      <x:c r="B84" s="21"/>
      <x:c r="C84" s="43"/>
      <x:c r="D84" s="43"/>
      <x:c r="E84" s="39" t="str">
        <x:f>IF(A84="","",MAX(0,(D84-C84)*1440))</x:f>
      </x:c>
      <x:c r="F84" s="29" t="str">
        <x:f>IF(B84="","",IFERROR(INDEX('05_BAO_CAO_NGAY'!$D$6:$D$505,MATCH(B84,'05_BAO_CAO_NGAY'!$A$6:$A$505,0)),""))</x:f>
      </x:c>
      <x:c r="G84" s="29" t="str">
        <x:f>IF(B84="","",IFERROR(INDEX('05_BAO_CAO_NGAY'!$E$6:$E$505,MATCH(B84,'05_BAO_CAO_NGAY'!$A$6:$A$505,0)),""))</x:f>
      </x:c>
      <x:c r="H84" s="29" t="str">
        <x:f>IF(B84="","",IFERROR(INDEX('05_BAO_CAO_NGAY'!$J$6:$J$505,MATCH(B84,'05_BAO_CAO_NGAY'!$A$6:$A$505,0)),""))</x:f>
      </x:c>
      <x:c r="I84" s="29" t="str">
        <x:f>IF(B84="","",IFERROR(INDEX('05_BAO_CAO_NGAY'!$M$6:$M$505,MATCH(B84,'05_BAO_CAO_NGAY'!$A$6:$A$505,0)),""))</x:f>
      </x:c>
      <x:c r="J84" s="21"/>
      <x:c r="K84" s="29" t="str">
        <x:f>IF(J84="","",IFERROR(INDEX(DM_LY_DO_DUNG!$C$6:$C$105,MATCH(J84,DM_LY_DO_DUNG!$A$6:$A$105,0)),""))</x:f>
      </x:c>
      <x:c r="L84" s="21"/>
      <x:c r="M84" s="21"/>
      <x:c r="N84" s="21"/>
      <x:c r="O84" s="21"/>
      <x:c r="P84" s="21"/>
      <x:c r="Q84" s="43"/>
      <x:c r="R84" s="29" t="str">
        <x:f>IF(A84="","",IF(OR(B84="",C84="",D84="",J84=""),"Thiếu dữ liệu",IF(D84&lt;C84,"Sai thời gian",IF(AND(P84="Đã đóng",Q84=""),"Thiếu thời điểm đóng","Hợp lệ"))))</x:f>
      </x:c>
    </x:row>
    <x:row r="85">
      <x:c r="A85" s="21"/>
      <x:c r="B85" s="21"/>
      <x:c r="C85" s="43"/>
      <x:c r="D85" s="43"/>
      <x:c r="E85" s="39" t="str">
        <x:f>IF(A85="","",MAX(0,(D85-C85)*1440))</x:f>
      </x:c>
      <x:c r="F85" s="29" t="str">
        <x:f>IF(B85="","",IFERROR(INDEX('05_BAO_CAO_NGAY'!$D$6:$D$505,MATCH(B85,'05_BAO_CAO_NGAY'!$A$6:$A$505,0)),""))</x:f>
      </x:c>
      <x:c r="G85" s="29" t="str">
        <x:f>IF(B85="","",IFERROR(INDEX('05_BAO_CAO_NGAY'!$E$6:$E$505,MATCH(B85,'05_BAO_CAO_NGAY'!$A$6:$A$505,0)),""))</x:f>
      </x:c>
      <x:c r="H85" s="29" t="str">
        <x:f>IF(B85="","",IFERROR(INDEX('05_BAO_CAO_NGAY'!$J$6:$J$505,MATCH(B85,'05_BAO_CAO_NGAY'!$A$6:$A$505,0)),""))</x:f>
      </x:c>
      <x:c r="I85" s="29" t="str">
        <x:f>IF(B85="","",IFERROR(INDEX('05_BAO_CAO_NGAY'!$M$6:$M$505,MATCH(B85,'05_BAO_CAO_NGAY'!$A$6:$A$505,0)),""))</x:f>
      </x:c>
      <x:c r="J85" s="21"/>
      <x:c r="K85" s="29" t="str">
        <x:f>IF(J85="","",IFERROR(INDEX(DM_LY_DO_DUNG!$C$6:$C$105,MATCH(J85,DM_LY_DO_DUNG!$A$6:$A$105,0)),""))</x:f>
      </x:c>
      <x:c r="L85" s="21"/>
      <x:c r="M85" s="21"/>
      <x:c r="N85" s="21"/>
      <x:c r="O85" s="21"/>
      <x:c r="P85" s="21"/>
      <x:c r="Q85" s="43"/>
      <x:c r="R85" s="29" t="str">
        <x:f>IF(A85="","",IF(OR(B85="",C85="",D85="",J85=""),"Thiếu dữ liệu",IF(D85&lt;C85,"Sai thời gian",IF(AND(P85="Đã đóng",Q85=""),"Thiếu thời điểm đóng","Hợp lệ"))))</x:f>
      </x:c>
    </x:row>
    <x:row r="86">
      <x:c r="A86" s="21"/>
      <x:c r="B86" s="21"/>
      <x:c r="C86" s="43"/>
      <x:c r="D86" s="43"/>
      <x:c r="E86" s="39" t="str">
        <x:f>IF(A86="","",MAX(0,(D86-C86)*1440))</x:f>
      </x:c>
      <x:c r="F86" s="29" t="str">
        <x:f>IF(B86="","",IFERROR(INDEX('05_BAO_CAO_NGAY'!$D$6:$D$505,MATCH(B86,'05_BAO_CAO_NGAY'!$A$6:$A$505,0)),""))</x:f>
      </x:c>
      <x:c r="G86" s="29" t="str">
        <x:f>IF(B86="","",IFERROR(INDEX('05_BAO_CAO_NGAY'!$E$6:$E$505,MATCH(B86,'05_BAO_CAO_NGAY'!$A$6:$A$505,0)),""))</x:f>
      </x:c>
      <x:c r="H86" s="29" t="str">
        <x:f>IF(B86="","",IFERROR(INDEX('05_BAO_CAO_NGAY'!$J$6:$J$505,MATCH(B86,'05_BAO_CAO_NGAY'!$A$6:$A$505,0)),""))</x:f>
      </x:c>
      <x:c r="I86" s="29" t="str">
        <x:f>IF(B86="","",IFERROR(INDEX('05_BAO_CAO_NGAY'!$M$6:$M$505,MATCH(B86,'05_BAO_CAO_NGAY'!$A$6:$A$505,0)),""))</x:f>
      </x:c>
      <x:c r="J86" s="21"/>
      <x:c r="K86" s="29" t="str">
        <x:f>IF(J86="","",IFERROR(INDEX(DM_LY_DO_DUNG!$C$6:$C$105,MATCH(J86,DM_LY_DO_DUNG!$A$6:$A$105,0)),""))</x:f>
      </x:c>
      <x:c r="L86" s="21"/>
      <x:c r="M86" s="21"/>
      <x:c r="N86" s="21"/>
      <x:c r="O86" s="21"/>
      <x:c r="P86" s="21"/>
      <x:c r="Q86" s="43"/>
      <x:c r="R86" s="29" t="str">
        <x:f>IF(A86="","",IF(OR(B86="",C86="",D86="",J86=""),"Thiếu dữ liệu",IF(D86&lt;C86,"Sai thời gian",IF(AND(P86="Đã đóng",Q86=""),"Thiếu thời điểm đóng","Hợp lệ"))))</x:f>
      </x:c>
    </x:row>
    <x:row r="87">
      <x:c r="A87" s="21"/>
      <x:c r="B87" s="21"/>
      <x:c r="C87" s="43"/>
      <x:c r="D87" s="43"/>
      <x:c r="E87" s="39" t="str">
        <x:f>IF(A87="","",MAX(0,(D87-C87)*1440))</x:f>
      </x:c>
      <x:c r="F87" s="29" t="str">
        <x:f>IF(B87="","",IFERROR(INDEX('05_BAO_CAO_NGAY'!$D$6:$D$505,MATCH(B87,'05_BAO_CAO_NGAY'!$A$6:$A$505,0)),""))</x:f>
      </x:c>
      <x:c r="G87" s="29" t="str">
        <x:f>IF(B87="","",IFERROR(INDEX('05_BAO_CAO_NGAY'!$E$6:$E$505,MATCH(B87,'05_BAO_CAO_NGAY'!$A$6:$A$505,0)),""))</x:f>
      </x:c>
      <x:c r="H87" s="29" t="str">
        <x:f>IF(B87="","",IFERROR(INDEX('05_BAO_CAO_NGAY'!$J$6:$J$505,MATCH(B87,'05_BAO_CAO_NGAY'!$A$6:$A$505,0)),""))</x:f>
      </x:c>
      <x:c r="I87" s="29" t="str">
        <x:f>IF(B87="","",IFERROR(INDEX('05_BAO_CAO_NGAY'!$M$6:$M$505,MATCH(B87,'05_BAO_CAO_NGAY'!$A$6:$A$505,0)),""))</x:f>
      </x:c>
      <x:c r="J87" s="21"/>
      <x:c r="K87" s="29" t="str">
        <x:f>IF(J87="","",IFERROR(INDEX(DM_LY_DO_DUNG!$C$6:$C$105,MATCH(J87,DM_LY_DO_DUNG!$A$6:$A$105,0)),""))</x:f>
      </x:c>
      <x:c r="L87" s="21"/>
      <x:c r="M87" s="21"/>
      <x:c r="N87" s="21"/>
      <x:c r="O87" s="21"/>
      <x:c r="P87" s="21"/>
      <x:c r="Q87" s="43"/>
      <x:c r="R87" s="29" t="str">
        <x:f>IF(A87="","",IF(OR(B87="",C87="",D87="",J87=""),"Thiếu dữ liệu",IF(D87&lt;C87,"Sai thời gian",IF(AND(P87="Đã đóng",Q87=""),"Thiếu thời điểm đóng","Hợp lệ"))))</x:f>
      </x:c>
    </x:row>
    <x:row r="88">
      <x:c r="A88" s="21"/>
      <x:c r="B88" s="21"/>
      <x:c r="C88" s="43"/>
      <x:c r="D88" s="43"/>
      <x:c r="E88" s="39" t="str">
        <x:f>IF(A88="","",MAX(0,(D88-C88)*1440))</x:f>
      </x:c>
      <x:c r="F88" s="29" t="str">
        <x:f>IF(B88="","",IFERROR(INDEX('05_BAO_CAO_NGAY'!$D$6:$D$505,MATCH(B88,'05_BAO_CAO_NGAY'!$A$6:$A$505,0)),""))</x:f>
      </x:c>
      <x:c r="G88" s="29" t="str">
        <x:f>IF(B88="","",IFERROR(INDEX('05_BAO_CAO_NGAY'!$E$6:$E$505,MATCH(B88,'05_BAO_CAO_NGAY'!$A$6:$A$505,0)),""))</x:f>
      </x:c>
      <x:c r="H88" s="29" t="str">
        <x:f>IF(B88="","",IFERROR(INDEX('05_BAO_CAO_NGAY'!$J$6:$J$505,MATCH(B88,'05_BAO_CAO_NGAY'!$A$6:$A$505,0)),""))</x:f>
      </x:c>
      <x:c r="I88" s="29" t="str">
        <x:f>IF(B88="","",IFERROR(INDEX('05_BAO_CAO_NGAY'!$M$6:$M$505,MATCH(B88,'05_BAO_CAO_NGAY'!$A$6:$A$505,0)),""))</x:f>
      </x:c>
      <x:c r="J88" s="21"/>
      <x:c r="K88" s="29" t="str">
        <x:f>IF(J88="","",IFERROR(INDEX(DM_LY_DO_DUNG!$C$6:$C$105,MATCH(J88,DM_LY_DO_DUNG!$A$6:$A$105,0)),""))</x:f>
      </x:c>
      <x:c r="L88" s="21"/>
      <x:c r="M88" s="21"/>
      <x:c r="N88" s="21"/>
      <x:c r="O88" s="21"/>
      <x:c r="P88" s="21"/>
      <x:c r="Q88" s="43"/>
      <x:c r="R88" s="29" t="str">
        <x:f>IF(A88="","",IF(OR(B88="",C88="",D88="",J88=""),"Thiếu dữ liệu",IF(D88&lt;C88,"Sai thời gian",IF(AND(P88="Đã đóng",Q88=""),"Thiếu thời điểm đóng","Hợp lệ"))))</x:f>
      </x:c>
    </x:row>
    <x:row r="89">
      <x:c r="A89" s="21"/>
      <x:c r="B89" s="21"/>
      <x:c r="C89" s="43"/>
      <x:c r="D89" s="43"/>
      <x:c r="E89" s="39" t="str">
        <x:f>IF(A89="","",MAX(0,(D89-C89)*1440))</x:f>
      </x:c>
      <x:c r="F89" s="29" t="str">
        <x:f>IF(B89="","",IFERROR(INDEX('05_BAO_CAO_NGAY'!$D$6:$D$505,MATCH(B89,'05_BAO_CAO_NGAY'!$A$6:$A$505,0)),""))</x:f>
      </x:c>
      <x:c r="G89" s="29" t="str">
        <x:f>IF(B89="","",IFERROR(INDEX('05_BAO_CAO_NGAY'!$E$6:$E$505,MATCH(B89,'05_BAO_CAO_NGAY'!$A$6:$A$505,0)),""))</x:f>
      </x:c>
      <x:c r="H89" s="29" t="str">
        <x:f>IF(B89="","",IFERROR(INDEX('05_BAO_CAO_NGAY'!$J$6:$J$505,MATCH(B89,'05_BAO_CAO_NGAY'!$A$6:$A$505,0)),""))</x:f>
      </x:c>
      <x:c r="I89" s="29" t="str">
        <x:f>IF(B89="","",IFERROR(INDEX('05_BAO_CAO_NGAY'!$M$6:$M$505,MATCH(B89,'05_BAO_CAO_NGAY'!$A$6:$A$505,0)),""))</x:f>
      </x:c>
      <x:c r="J89" s="21"/>
      <x:c r="K89" s="29" t="str">
        <x:f>IF(J89="","",IFERROR(INDEX(DM_LY_DO_DUNG!$C$6:$C$105,MATCH(J89,DM_LY_DO_DUNG!$A$6:$A$105,0)),""))</x:f>
      </x:c>
      <x:c r="L89" s="21"/>
      <x:c r="M89" s="21"/>
      <x:c r="N89" s="21"/>
      <x:c r="O89" s="21"/>
      <x:c r="P89" s="21"/>
      <x:c r="Q89" s="43"/>
      <x:c r="R89" s="29" t="str">
        <x:f>IF(A89="","",IF(OR(B89="",C89="",D89="",J89=""),"Thiếu dữ liệu",IF(D89&lt;C89,"Sai thời gian",IF(AND(P89="Đã đóng",Q89=""),"Thiếu thời điểm đóng","Hợp lệ"))))</x:f>
      </x:c>
    </x:row>
    <x:row r="90">
      <x:c r="A90" s="21"/>
      <x:c r="B90" s="21"/>
      <x:c r="C90" s="43"/>
      <x:c r="D90" s="43"/>
      <x:c r="E90" s="39" t="str">
        <x:f>IF(A90="","",MAX(0,(D90-C90)*1440))</x:f>
      </x:c>
      <x:c r="F90" s="29" t="str">
        <x:f>IF(B90="","",IFERROR(INDEX('05_BAO_CAO_NGAY'!$D$6:$D$505,MATCH(B90,'05_BAO_CAO_NGAY'!$A$6:$A$505,0)),""))</x:f>
      </x:c>
      <x:c r="G90" s="29" t="str">
        <x:f>IF(B90="","",IFERROR(INDEX('05_BAO_CAO_NGAY'!$E$6:$E$505,MATCH(B90,'05_BAO_CAO_NGAY'!$A$6:$A$505,0)),""))</x:f>
      </x:c>
      <x:c r="H90" s="29" t="str">
        <x:f>IF(B90="","",IFERROR(INDEX('05_BAO_CAO_NGAY'!$J$6:$J$505,MATCH(B90,'05_BAO_CAO_NGAY'!$A$6:$A$505,0)),""))</x:f>
      </x:c>
      <x:c r="I90" s="29" t="str">
        <x:f>IF(B90="","",IFERROR(INDEX('05_BAO_CAO_NGAY'!$M$6:$M$505,MATCH(B90,'05_BAO_CAO_NGAY'!$A$6:$A$505,0)),""))</x:f>
      </x:c>
      <x:c r="J90" s="21"/>
      <x:c r="K90" s="29" t="str">
        <x:f>IF(J90="","",IFERROR(INDEX(DM_LY_DO_DUNG!$C$6:$C$105,MATCH(J90,DM_LY_DO_DUNG!$A$6:$A$105,0)),""))</x:f>
      </x:c>
      <x:c r="L90" s="21"/>
      <x:c r="M90" s="21"/>
      <x:c r="N90" s="21"/>
      <x:c r="O90" s="21"/>
      <x:c r="P90" s="21"/>
      <x:c r="Q90" s="43"/>
      <x:c r="R90" s="29" t="str">
        <x:f>IF(A90="","",IF(OR(B90="",C90="",D90="",J90=""),"Thiếu dữ liệu",IF(D90&lt;C90,"Sai thời gian",IF(AND(P90="Đã đóng",Q90=""),"Thiếu thời điểm đóng","Hợp lệ"))))</x:f>
      </x:c>
    </x:row>
    <x:row r="91">
      <x:c r="A91" s="21"/>
      <x:c r="B91" s="21"/>
      <x:c r="C91" s="43"/>
      <x:c r="D91" s="43"/>
      <x:c r="E91" s="39" t="str">
        <x:f>IF(A91="","",MAX(0,(D91-C91)*1440))</x:f>
      </x:c>
      <x:c r="F91" s="29" t="str">
        <x:f>IF(B91="","",IFERROR(INDEX('05_BAO_CAO_NGAY'!$D$6:$D$505,MATCH(B91,'05_BAO_CAO_NGAY'!$A$6:$A$505,0)),""))</x:f>
      </x:c>
      <x:c r="G91" s="29" t="str">
        <x:f>IF(B91="","",IFERROR(INDEX('05_BAO_CAO_NGAY'!$E$6:$E$505,MATCH(B91,'05_BAO_CAO_NGAY'!$A$6:$A$505,0)),""))</x:f>
      </x:c>
      <x:c r="H91" s="29" t="str">
        <x:f>IF(B91="","",IFERROR(INDEX('05_BAO_CAO_NGAY'!$J$6:$J$505,MATCH(B91,'05_BAO_CAO_NGAY'!$A$6:$A$505,0)),""))</x:f>
      </x:c>
      <x:c r="I91" s="29" t="str">
        <x:f>IF(B91="","",IFERROR(INDEX('05_BAO_CAO_NGAY'!$M$6:$M$505,MATCH(B91,'05_BAO_CAO_NGAY'!$A$6:$A$505,0)),""))</x:f>
      </x:c>
      <x:c r="J91" s="21"/>
      <x:c r="K91" s="29" t="str">
        <x:f>IF(J91="","",IFERROR(INDEX(DM_LY_DO_DUNG!$C$6:$C$105,MATCH(J91,DM_LY_DO_DUNG!$A$6:$A$105,0)),""))</x:f>
      </x:c>
      <x:c r="L91" s="21"/>
      <x:c r="M91" s="21"/>
      <x:c r="N91" s="21"/>
      <x:c r="O91" s="21"/>
      <x:c r="P91" s="21"/>
      <x:c r="Q91" s="43"/>
      <x:c r="R91" s="29" t="str">
        <x:f>IF(A91="","",IF(OR(B91="",C91="",D91="",J91=""),"Thiếu dữ liệu",IF(D91&lt;C91,"Sai thời gian",IF(AND(P91="Đã đóng",Q91=""),"Thiếu thời điểm đóng","Hợp lệ"))))</x:f>
      </x:c>
    </x:row>
    <x:row r="92">
      <x:c r="A92" s="21"/>
      <x:c r="B92" s="21"/>
      <x:c r="C92" s="43"/>
      <x:c r="D92" s="43"/>
      <x:c r="E92" s="39" t="str">
        <x:f>IF(A92="","",MAX(0,(D92-C92)*1440))</x:f>
      </x:c>
      <x:c r="F92" s="29" t="str">
        <x:f>IF(B92="","",IFERROR(INDEX('05_BAO_CAO_NGAY'!$D$6:$D$505,MATCH(B92,'05_BAO_CAO_NGAY'!$A$6:$A$505,0)),""))</x:f>
      </x:c>
      <x:c r="G92" s="29" t="str">
        <x:f>IF(B92="","",IFERROR(INDEX('05_BAO_CAO_NGAY'!$E$6:$E$505,MATCH(B92,'05_BAO_CAO_NGAY'!$A$6:$A$505,0)),""))</x:f>
      </x:c>
      <x:c r="H92" s="29" t="str">
        <x:f>IF(B92="","",IFERROR(INDEX('05_BAO_CAO_NGAY'!$J$6:$J$505,MATCH(B92,'05_BAO_CAO_NGAY'!$A$6:$A$505,0)),""))</x:f>
      </x:c>
      <x:c r="I92" s="29" t="str">
        <x:f>IF(B92="","",IFERROR(INDEX('05_BAO_CAO_NGAY'!$M$6:$M$505,MATCH(B92,'05_BAO_CAO_NGAY'!$A$6:$A$505,0)),""))</x:f>
      </x:c>
      <x:c r="J92" s="21"/>
      <x:c r="K92" s="29" t="str">
        <x:f>IF(J92="","",IFERROR(INDEX(DM_LY_DO_DUNG!$C$6:$C$105,MATCH(J92,DM_LY_DO_DUNG!$A$6:$A$105,0)),""))</x:f>
      </x:c>
      <x:c r="L92" s="21"/>
      <x:c r="M92" s="21"/>
      <x:c r="N92" s="21"/>
      <x:c r="O92" s="21"/>
      <x:c r="P92" s="21"/>
      <x:c r="Q92" s="43"/>
      <x:c r="R92" s="29" t="str">
        <x:f>IF(A92="","",IF(OR(B92="",C92="",D92="",J92=""),"Thiếu dữ liệu",IF(D92&lt;C92,"Sai thời gian",IF(AND(P92="Đã đóng",Q92=""),"Thiếu thời điểm đóng","Hợp lệ"))))</x:f>
      </x:c>
    </x:row>
    <x:row r="93">
      <x:c r="A93" s="21"/>
      <x:c r="B93" s="21"/>
      <x:c r="C93" s="43"/>
      <x:c r="D93" s="43"/>
      <x:c r="E93" s="39" t="str">
        <x:f>IF(A93="","",MAX(0,(D93-C93)*1440))</x:f>
      </x:c>
      <x:c r="F93" s="29" t="str">
        <x:f>IF(B93="","",IFERROR(INDEX('05_BAO_CAO_NGAY'!$D$6:$D$505,MATCH(B93,'05_BAO_CAO_NGAY'!$A$6:$A$505,0)),""))</x:f>
      </x:c>
      <x:c r="G93" s="29" t="str">
        <x:f>IF(B93="","",IFERROR(INDEX('05_BAO_CAO_NGAY'!$E$6:$E$505,MATCH(B93,'05_BAO_CAO_NGAY'!$A$6:$A$505,0)),""))</x:f>
      </x:c>
      <x:c r="H93" s="29" t="str">
        <x:f>IF(B93="","",IFERROR(INDEX('05_BAO_CAO_NGAY'!$J$6:$J$505,MATCH(B93,'05_BAO_CAO_NGAY'!$A$6:$A$505,0)),""))</x:f>
      </x:c>
      <x:c r="I93" s="29" t="str">
        <x:f>IF(B93="","",IFERROR(INDEX('05_BAO_CAO_NGAY'!$M$6:$M$505,MATCH(B93,'05_BAO_CAO_NGAY'!$A$6:$A$505,0)),""))</x:f>
      </x:c>
      <x:c r="J93" s="21"/>
      <x:c r="K93" s="29" t="str">
        <x:f>IF(J93="","",IFERROR(INDEX(DM_LY_DO_DUNG!$C$6:$C$105,MATCH(J93,DM_LY_DO_DUNG!$A$6:$A$105,0)),""))</x:f>
      </x:c>
      <x:c r="L93" s="21"/>
      <x:c r="M93" s="21"/>
      <x:c r="N93" s="21"/>
      <x:c r="O93" s="21"/>
      <x:c r="P93" s="21"/>
      <x:c r="Q93" s="43"/>
      <x:c r="R93" s="29" t="str">
        <x:f>IF(A93="","",IF(OR(B93="",C93="",D93="",J93=""),"Thiếu dữ liệu",IF(D93&lt;C93,"Sai thời gian",IF(AND(P93="Đã đóng",Q93=""),"Thiếu thời điểm đóng","Hợp lệ"))))</x:f>
      </x:c>
    </x:row>
    <x:row r="94">
      <x:c r="A94" s="21"/>
      <x:c r="B94" s="21"/>
      <x:c r="C94" s="43"/>
      <x:c r="D94" s="43"/>
      <x:c r="E94" s="39" t="str">
        <x:f>IF(A94="","",MAX(0,(D94-C94)*1440))</x:f>
      </x:c>
      <x:c r="F94" s="29" t="str">
        <x:f>IF(B94="","",IFERROR(INDEX('05_BAO_CAO_NGAY'!$D$6:$D$505,MATCH(B94,'05_BAO_CAO_NGAY'!$A$6:$A$505,0)),""))</x:f>
      </x:c>
      <x:c r="G94" s="29" t="str">
        <x:f>IF(B94="","",IFERROR(INDEX('05_BAO_CAO_NGAY'!$E$6:$E$505,MATCH(B94,'05_BAO_CAO_NGAY'!$A$6:$A$505,0)),""))</x:f>
      </x:c>
      <x:c r="H94" s="29" t="str">
        <x:f>IF(B94="","",IFERROR(INDEX('05_BAO_CAO_NGAY'!$J$6:$J$505,MATCH(B94,'05_BAO_CAO_NGAY'!$A$6:$A$505,0)),""))</x:f>
      </x:c>
      <x:c r="I94" s="29" t="str">
        <x:f>IF(B94="","",IFERROR(INDEX('05_BAO_CAO_NGAY'!$M$6:$M$505,MATCH(B94,'05_BAO_CAO_NGAY'!$A$6:$A$505,0)),""))</x:f>
      </x:c>
      <x:c r="J94" s="21"/>
      <x:c r="K94" s="29" t="str">
        <x:f>IF(J94="","",IFERROR(INDEX(DM_LY_DO_DUNG!$C$6:$C$105,MATCH(J94,DM_LY_DO_DUNG!$A$6:$A$105,0)),""))</x:f>
      </x:c>
      <x:c r="L94" s="21"/>
      <x:c r="M94" s="21"/>
      <x:c r="N94" s="21"/>
      <x:c r="O94" s="21"/>
      <x:c r="P94" s="21"/>
      <x:c r="Q94" s="43"/>
      <x:c r="R94" s="29" t="str">
        <x:f>IF(A94="","",IF(OR(B94="",C94="",D94="",J94=""),"Thiếu dữ liệu",IF(D94&lt;C94,"Sai thời gian",IF(AND(P94="Đã đóng",Q94=""),"Thiếu thời điểm đóng","Hợp lệ"))))</x:f>
      </x:c>
    </x:row>
    <x:row r="95">
      <x:c r="A95" s="21"/>
      <x:c r="B95" s="21"/>
      <x:c r="C95" s="43"/>
      <x:c r="D95" s="43"/>
      <x:c r="E95" s="39" t="str">
        <x:f>IF(A95="","",MAX(0,(D95-C95)*1440))</x:f>
      </x:c>
      <x:c r="F95" s="29" t="str">
        <x:f>IF(B95="","",IFERROR(INDEX('05_BAO_CAO_NGAY'!$D$6:$D$505,MATCH(B95,'05_BAO_CAO_NGAY'!$A$6:$A$505,0)),""))</x:f>
      </x:c>
      <x:c r="G95" s="29" t="str">
        <x:f>IF(B95="","",IFERROR(INDEX('05_BAO_CAO_NGAY'!$E$6:$E$505,MATCH(B95,'05_BAO_CAO_NGAY'!$A$6:$A$505,0)),""))</x:f>
      </x:c>
      <x:c r="H95" s="29" t="str">
        <x:f>IF(B95="","",IFERROR(INDEX('05_BAO_CAO_NGAY'!$J$6:$J$505,MATCH(B95,'05_BAO_CAO_NGAY'!$A$6:$A$505,0)),""))</x:f>
      </x:c>
      <x:c r="I95" s="29" t="str">
        <x:f>IF(B95="","",IFERROR(INDEX('05_BAO_CAO_NGAY'!$M$6:$M$505,MATCH(B95,'05_BAO_CAO_NGAY'!$A$6:$A$505,0)),""))</x:f>
      </x:c>
      <x:c r="J95" s="21"/>
      <x:c r="K95" s="29" t="str">
        <x:f>IF(J95="","",IFERROR(INDEX(DM_LY_DO_DUNG!$C$6:$C$105,MATCH(J95,DM_LY_DO_DUNG!$A$6:$A$105,0)),""))</x:f>
      </x:c>
      <x:c r="L95" s="21"/>
      <x:c r="M95" s="21"/>
      <x:c r="N95" s="21"/>
      <x:c r="O95" s="21"/>
      <x:c r="P95" s="21"/>
      <x:c r="Q95" s="43"/>
      <x:c r="R95" s="29" t="str">
        <x:f>IF(A95="","",IF(OR(B95="",C95="",D95="",J95=""),"Thiếu dữ liệu",IF(D95&lt;C95,"Sai thời gian",IF(AND(P95="Đã đóng",Q95=""),"Thiếu thời điểm đóng","Hợp lệ"))))</x:f>
      </x:c>
    </x:row>
    <x:row r="96">
      <x:c r="A96" s="21"/>
      <x:c r="B96" s="21"/>
      <x:c r="C96" s="43"/>
      <x:c r="D96" s="43"/>
      <x:c r="E96" s="39" t="str">
        <x:f>IF(A96="","",MAX(0,(D96-C96)*1440))</x:f>
      </x:c>
      <x:c r="F96" s="29" t="str">
        <x:f>IF(B96="","",IFERROR(INDEX('05_BAO_CAO_NGAY'!$D$6:$D$505,MATCH(B96,'05_BAO_CAO_NGAY'!$A$6:$A$505,0)),""))</x:f>
      </x:c>
      <x:c r="G96" s="29" t="str">
        <x:f>IF(B96="","",IFERROR(INDEX('05_BAO_CAO_NGAY'!$E$6:$E$505,MATCH(B96,'05_BAO_CAO_NGAY'!$A$6:$A$505,0)),""))</x:f>
      </x:c>
      <x:c r="H96" s="29" t="str">
        <x:f>IF(B96="","",IFERROR(INDEX('05_BAO_CAO_NGAY'!$J$6:$J$505,MATCH(B96,'05_BAO_CAO_NGAY'!$A$6:$A$505,0)),""))</x:f>
      </x:c>
      <x:c r="I96" s="29" t="str">
        <x:f>IF(B96="","",IFERROR(INDEX('05_BAO_CAO_NGAY'!$M$6:$M$505,MATCH(B96,'05_BAO_CAO_NGAY'!$A$6:$A$505,0)),""))</x:f>
      </x:c>
      <x:c r="J96" s="21"/>
      <x:c r="K96" s="29" t="str">
        <x:f>IF(J96="","",IFERROR(INDEX(DM_LY_DO_DUNG!$C$6:$C$105,MATCH(J96,DM_LY_DO_DUNG!$A$6:$A$105,0)),""))</x:f>
      </x:c>
      <x:c r="L96" s="21"/>
      <x:c r="M96" s="21"/>
      <x:c r="N96" s="21"/>
      <x:c r="O96" s="21"/>
      <x:c r="P96" s="21"/>
      <x:c r="Q96" s="43"/>
      <x:c r="R96" s="29" t="str">
        <x:f>IF(A96="","",IF(OR(B96="",C96="",D96="",J96=""),"Thiếu dữ liệu",IF(D96&lt;C96,"Sai thời gian",IF(AND(P96="Đã đóng",Q96=""),"Thiếu thời điểm đóng","Hợp lệ"))))</x:f>
      </x:c>
    </x:row>
    <x:row r="97">
      <x:c r="A97" s="21"/>
      <x:c r="B97" s="21"/>
      <x:c r="C97" s="43"/>
      <x:c r="D97" s="43"/>
      <x:c r="E97" s="39" t="str">
        <x:f>IF(A97="","",MAX(0,(D97-C97)*1440))</x:f>
      </x:c>
      <x:c r="F97" s="29" t="str">
        <x:f>IF(B97="","",IFERROR(INDEX('05_BAO_CAO_NGAY'!$D$6:$D$505,MATCH(B97,'05_BAO_CAO_NGAY'!$A$6:$A$505,0)),""))</x:f>
      </x:c>
      <x:c r="G97" s="29" t="str">
        <x:f>IF(B97="","",IFERROR(INDEX('05_BAO_CAO_NGAY'!$E$6:$E$505,MATCH(B97,'05_BAO_CAO_NGAY'!$A$6:$A$505,0)),""))</x:f>
      </x:c>
      <x:c r="H97" s="29" t="str">
        <x:f>IF(B97="","",IFERROR(INDEX('05_BAO_CAO_NGAY'!$J$6:$J$505,MATCH(B97,'05_BAO_CAO_NGAY'!$A$6:$A$505,0)),""))</x:f>
      </x:c>
      <x:c r="I97" s="29" t="str">
        <x:f>IF(B97="","",IFERROR(INDEX('05_BAO_CAO_NGAY'!$M$6:$M$505,MATCH(B97,'05_BAO_CAO_NGAY'!$A$6:$A$505,0)),""))</x:f>
      </x:c>
      <x:c r="J97" s="21"/>
      <x:c r="K97" s="29" t="str">
        <x:f>IF(J97="","",IFERROR(INDEX(DM_LY_DO_DUNG!$C$6:$C$105,MATCH(J97,DM_LY_DO_DUNG!$A$6:$A$105,0)),""))</x:f>
      </x:c>
      <x:c r="L97" s="21"/>
      <x:c r="M97" s="21"/>
      <x:c r="N97" s="21"/>
      <x:c r="O97" s="21"/>
      <x:c r="P97" s="21"/>
      <x:c r="Q97" s="43"/>
      <x:c r="R97" s="29" t="str">
        <x:f>IF(A97="","",IF(OR(B97="",C97="",D97="",J97=""),"Thiếu dữ liệu",IF(D97&lt;C97,"Sai thời gian",IF(AND(P97="Đã đóng",Q97=""),"Thiếu thời điểm đóng","Hợp lệ"))))</x:f>
      </x:c>
    </x:row>
    <x:row r="98">
      <x:c r="A98" s="21"/>
      <x:c r="B98" s="21"/>
      <x:c r="C98" s="43"/>
      <x:c r="D98" s="43"/>
      <x:c r="E98" s="39" t="str">
        <x:f>IF(A98="","",MAX(0,(D98-C98)*1440))</x:f>
      </x:c>
      <x:c r="F98" s="29" t="str">
        <x:f>IF(B98="","",IFERROR(INDEX('05_BAO_CAO_NGAY'!$D$6:$D$505,MATCH(B98,'05_BAO_CAO_NGAY'!$A$6:$A$505,0)),""))</x:f>
      </x:c>
      <x:c r="G98" s="29" t="str">
        <x:f>IF(B98="","",IFERROR(INDEX('05_BAO_CAO_NGAY'!$E$6:$E$505,MATCH(B98,'05_BAO_CAO_NGAY'!$A$6:$A$505,0)),""))</x:f>
      </x:c>
      <x:c r="H98" s="29" t="str">
        <x:f>IF(B98="","",IFERROR(INDEX('05_BAO_CAO_NGAY'!$J$6:$J$505,MATCH(B98,'05_BAO_CAO_NGAY'!$A$6:$A$505,0)),""))</x:f>
      </x:c>
      <x:c r="I98" s="29" t="str">
        <x:f>IF(B98="","",IFERROR(INDEX('05_BAO_CAO_NGAY'!$M$6:$M$505,MATCH(B98,'05_BAO_CAO_NGAY'!$A$6:$A$505,0)),""))</x:f>
      </x:c>
      <x:c r="J98" s="21"/>
      <x:c r="K98" s="29" t="str">
        <x:f>IF(J98="","",IFERROR(INDEX(DM_LY_DO_DUNG!$C$6:$C$105,MATCH(J98,DM_LY_DO_DUNG!$A$6:$A$105,0)),""))</x:f>
      </x:c>
      <x:c r="L98" s="21"/>
      <x:c r="M98" s="21"/>
      <x:c r="N98" s="21"/>
      <x:c r="O98" s="21"/>
      <x:c r="P98" s="21"/>
      <x:c r="Q98" s="43"/>
      <x:c r="R98" s="29" t="str">
        <x:f>IF(A98="","",IF(OR(B98="",C98="",D98="",J98=""),"Thiếu dữ liệu",IF(D98&lt;C98,"Sai thời gian",IF(AND(P98="Đã đóng",Q98=""),"Thiếu thời điểm đóng","Hợp lệ"))))</x:f>
      </x:c>
    </x:row>
    <x:row r="99">
      <x:c r="A99" s="21"/>
      <x:c r="B99" s="21"/>
      <x:c r="C99" s="43"/>
      <x:c r="D99" s="43"/>
      <x:c r="E99" s="39" t="str">
        <x:f>IF(A99="","",MAX(0,(D99-C99)*1440))</x:f>
      </x:c>
      <x:c r="F99" s="29" t="str">
        <x:f>IF(B99="","",IFERROR(INDEX('05_BAO_CAO_NGAY'!$D$6:$D$505,MATCH(B99,'05_BAO_CAO_NGAY'!$A$6:$A$505,0)),""))</x:f>
      </x:c>
      <x:c r="G99" s="29" t="str">
        <x:f>IF(B99="","",IFERROR(INDEX('05_BAO_CAO_NGAY'!$E$6:$E$505,MATCH(B99,'05_BAO_CAO_NGAY'!$A$6:$A$505,0)),""))</x:f>
      </x:c>
      <x:c r="H99" s="29" t="str">
        <x:f>IF(B99="","",IFERROR(INDEX('05_BAO_CAO_NGAY'!$J$6:$J$505,MATCH(B99,'05_BAO_CAO_NGAY'!$A$6:$A$505,0)),""))</x:f>
      </x:c>
      <x:c r="I99" s="29" t="str">
        <x:f>IF(B99="","",IFERROR(INDEX('05_BAO_CAO_NGAY'!$M$6:$M$505,MATCH(B99,'05_BAO_CAO_NGAY'!$A$6:$A$505,0)),""))</x:f>
      </x:c>
      <x:c r="J99" s="21"/>
      <x:c r="K99" s="29" t="str">
        <x:f>IF(J99="","",IFERROR(INDEX(DM_LY_DO_DUNG!$C$6:$C$105,MATCH(J99,DM_LY_DO_DUNG!$A$6:$A$105,0)),""))</x:f>
      </x:c>
      <x:c r="L99" s="21"/>
      <x:c r="M99" s="21"/>
      <x:c r="N99" s="21"/>
      <x:c r="O99" s="21"/>
      <x:c r="P99" s="21"/>
      <x:c r="Q99" s="43"/>
      <x:c r="R99" s="29" t="str">
        <x:f>IF(A99="","",IF(OR(B99="",C99="",D99="",J99=""),"Thiếu dữ liệu",IF(D99&lt;C99,"Sai thời gian",IF(AND(P99="Đã đóng",Q99=""),"Thiếu thời điểm đóng","Hợp lệ"))))</x:f>
      </x:c>
    </x:row>
    <x:row r="100">
      <x:c r="A100" s="21"/>
      <x:c r="B100" s="21"/>
      <x:c r="C100" s="43"/>
      <x:c r="D100" s="43"/>
      <x:c r="E100" s="39" t="str">
        <x:f>IF(A100="","",MAX(0,(D100-C100)*1440))</x:f>
      </x:c>
      <x:c r="F100" s="29" t="str">
        <x:f>IF(B100="","",IFERROR(INDEX('05_BAO_CAO_NGAY'!$D$6:$D$505,MATCH(B100,'05_BAO_CAO_NGAY'!$A$6:$A$505,0)),""))</x:f>
      </x:c>
      <x:c r="G100" s="29" t="str">
        <x:f>IF(B100="","",IFERROR(INDEX('05_BAO_CAO_NGAY'!$E$6:$E$505,MATCH(B100,'05_BAO_CAO_NGAY'!$A$6:$A$505,0)),""))</x:f>
      </x:c>
      <x:c r="H100" s="29" t="str">
        <x:f>IF(B100="","",IFERROR(INDEX('05_BAO_CAO_NGAY'!$J$6:$J$505,MATCH(B100,'05_BAO_CAO_NGAY'!$A$6:$A$505,0)),""))</x:f>
      </x:c>
      <x:c r="I100" s="29" t="str">
        <x:f>IF(B100="","",IFERROR(INDEX('05_BAO_CAO_NGAY'!$M$6:$M$505,MATCH(B100,'05_BAO_CAO_NGAY'!$A$6:$A$505,0)),""))</x:f>
      </x:c>
      <x:c r="J100" s="21"/>
      <x:c r="K100" s="29" t="str">
        <x:f>IF(J100="","",IFERROR(INDEX(DM_LY_DO_DUNG!$C$6:$C$105,MATCH(J100,DM_LY_DO_DUNG!$A$6:$A$105,0)),""))</x:f>
      </x:c>
      <x:c r="L100" s="21"/>
      <x:c r="M100" s="21"/>
      <x:c r="N100" s="21"/>
      <x:c r="O100" s="21"/>
      <x:c r="P100" s="21"/>
      <x:c r="Q100" s="43"/>
      <x:c r="R100" s="29" t="str">
        <x:f>IF(A100="","",IF(OR(B100="",C100="",D100="",J100=""),"Thiếu dữ liệu",IF(D100&lt;C100,"Sai thời gian",IF(AND(P100="Đã đóng",Q100=""),"Thiếu thời điểm đóng","Hợp lệ"))))</x:f>
      </x:c>
    </x:row>
    <x:row r="101">
      <x:c r="A101" s="21"/>
      <x:c r="B101" s="21"/>
      <x:c r="C101" s="43"/>
      <x:c r="D101" s="43"/>
      <x:c r="E101" s="39" t="str">
        <x:f>IF(A101="","",MAX(0,(D101-C101)*1440))</x:f>
      </x:c>
      <x:c r="F101" s="29" t="str">
        <x:f>IF(B101="","",IFERROR(INDEX('05_BAO_CAO_NGAY'!$D$6:$D$505,MATCH(B101,'05_BAO_CAO_NGAY'!$A$6:$A$505,0)),""))</x:f>
      </x:c>
      <x:c r="G101" s="29" t="str">
        <x:f>IF(B101="","",IFERROR(INDEX('05_BAO_CAO_NGAY'!$E$6:$E$505,MATCH(B101,'05_BAO_CAO_NGAY'!$A$6:$A$505,0)),""))</x:f>
      </x:c>
      <x:c r="H101" s="29" t="str">
        <x:f>IF(B101="","",IFERROR(INDEX('05_BAO_CAO_NGAY'!$J$6:$J$505,MATCH(B101,'05_BAO_CAO_NGAY'!$A$6:$A$505,0)),""))</x:f>
      </x:c>
      <x:c r="I101" s="29" t="str">
        <x:f>IF(B101="","",IFERROR(INDEX('05_BAO_CAO_NGAY'!$M$6:$M$505,MATCH(B101,'05_BAO_CAO_NGAY'!$A$6:$A$505,0)),""))</x:f>
      </x:c>
      <x:c r="J101" s="21"/>
      <x:c r="K101" s="29" t="str">
        <x:f>IF(J101="","",IFERROR(INDEX(DM_LY_DO_DUNG!$C$6:$C$105,MATCH(J101,DM_LY_DO_DUNG!$A$6:$A$105,0)),""))</x:f>
      </x:c>
      <x:c r="L101" s="21"/>
      <x:c r="M101" s="21"/>
      <x:c r="N101" s="21"/>
      <x:c r="O101" s="21"/>
      <x:c r="P101" s="21"/>
      <x:c r="Q101" s="43"/>
      <x:c r="R101" s="29" t="str">
        <x:f>IF(A101="","",IF(OR(B101="",C101="",D101="",J101=""),"Thiếu dữ liệu",IF(D101&lt;C101,"Sai thời gian",IF(AND(P101="Đã đóng",Q101=""),"Thiếu thời điểm đóng","Hợp lệ"))))</x:f>
      </x:c>
    </x:row>
    <x:row r="102">
      <x:c r="A102" s="21"/>
      <x:c r="B102" s="21"/>
      <x:c r="C102" s="43"/>
      <x:c r="D102" s="43"/>
      <x:c r="E102" s="39" t="str">
        <x:f>IF(A102="","",MAX(0,(D102-C102)*1440))</x:f>
      </x:c>
      <x:c r="F102" s="29" t="str">
        <x:f>IF(B102="","",IFERROR(INDEX('05_BAO_CAO_NGAY'!$D$6:$D$505,MATCH(B102,'05_BAO_CAO_NGAY'!$A$6:$A$505,0)),""))</x:f>
      </x:c>
      <x:c r="G102" s="29" t="str">
        <x:f>IF(B102="","",IFERROR(INDEX('05_BAO_CAO_NGAY'!$E$6:$E$505,MATCH(B102,'05_BAO_CAO_NGAY'!$A$6:$A$505,0)),""))</x:f>
      </x:c>
      <x:c r="H102" s="29" t="str">
        <x:f>IF(B102="","",IFERROR(INDEX('05_BAO_CAO_NGAY'!$J$6:$J$505,MATCH(B102,'05_BAO_CAO_NGAY'!$A$6:$A$505,0)),""))</x:f>
      </x:c>
      <x:c r="I102" s="29" t="str">
        <x:f>IF(B102="","",IFERROR(INDEX('05_BAO_CAO_NGAY'!$M$6:$M$505,MATCH(B102,'05_BAO_CAO_NGAY'!$A$6:$A$505,0)),""))</x:f>
      </x:c>
      <x:c r="J102" s="21"/>
      <x:c r="K102" s="29" t="str">
        <x:f>IF(J102="","",IFERROR(INDEX(DM_LY_DO_DUNG!$C$6:$C$105,MATCH(J102,DM_LY_DO_DUNG!$A$6:$A$105,0)),""))</x:f>
      </x:c>
      <x:c r="L102" s="21"/>
      <x:c r="M102" s="21"/>
      <x:c r="N102" s="21"/>
      <x:c r="O102" s="21"/>
      <x:c r="P102" s="21"/>
      <x:c r="Q102" s="43"/>
      <x:c r="R102" s="29" t="str">
        <x:f>IF(A102="","",IF(OR(B102="",C102="",D102="",J102=""),"Thiếu dữ liệu",IF(D102&lt;C102,"Sai thời gian",IF(AND(P102="Đã đóng",Q102=""),"Thiếu thời điểm đóng","Hợp lệ"))))</x:f>
      </x:c>
    </x:row>
    <x:row r="103">
      <x:c r="A103" s="21"/>
      <x:c r="B103" s="21"/>
      <x:c r="C103" s="43"/>
      <x:c r="D103" s="43"/>
      <x:c r="E103" s="39" t="str">
        <x:f>IF(A103="","",MAX(0,(D103-C103)*1440))</x:f>
      </x:c>
      <x:c r="F103" s="29" t="str">
        <x:f>IF(B103="","",IFERROR(INDEX('05_BAO_CAO_NGAY'!$D$6:$D$505,MATCH(B103,'05_BAO_CAO_NGAY'!$A$6:$A$505,0)),""))</x:f>
      </x:c>
      <x:c r="G103" s="29" t="str">
        <x:f>IF(B103="","",IFERROR(INDEX('05_BAO_CAO_NGAY'!$E$6:$E$505,MATCH(B103,'05_BAO_CAO_NGAY'!$A$6:$A$505,0)),""))</x:f>
      </x:c>
      <x:c r="H103" s="29" t="str">
        <x:f>IF(B103="","",IFERROR(INDEX('05_BAO_CAO_NGAY'!$J$6:$J$505,MATCH(B103,'05_BAO_CAO_NGAY'!$A$6:$A$505,0)),""))</x:f>
      </x:c>
      <x:c r="I103" s="29" t="str">
        <x:f>IF(B103="","",IFERROR(INDEX('05_BAO_CAO_NGAY'!$M$6:$M$505,MATCH(B103,'05_BAO_CAO_NGAY'!$A$6:$A$505,0)),""))</x:f>
      </x:c>
      <x:c r="J103" s="21"/>
      <x:c r="K103" s="29" t="str">
        <x:f>IF(J103="","",IFERROR(INDEX(DM_LY_DO_DUNG!$C$6:$C$105,MATCH(J103,DM_LY_DO_DUNG!$A$6:$A$105,0)),""))</x:f>
      </x:c>
      <x:c r="L103" s="21"/>
      <x:c r="M103" s="21"/>
      <x:c r="N103" s="21"/>
      <x:c r="O103" s="21"/>
      <x:c r="P103" s="21"/>
      <x:c r="Q103" s="43"/>
      <x:c r="R103" s="29" t="str">
        <x:f>IF(A103="","",IF(OR(B103="",C103="",D103="",J103=""),"Thiếu dữ liệu",IF(D103&lt;C103,"Sai thời gian",IF(AND(P103="Đã đóng",Q103=""),"Thiếu thời điểm đóng","Hợp lệ"))))</x:f>
      </x:c>
    </x:row>
    <x:row r="104">
      <x:c r="A104" s="21"/>
      <x:c r="B104" s="21"/>
      <x:c r="C104" s="43"/>
      <x:c r="D104" s="43"/>
      <x:c r="E104" s="39" t="str">
        <x:f>IF(A104="","",MAX(0,(D104-C104)*1440))</x:f>
      </x:c>
      <x:c r="F104" s="29" t="str">
        <x:f>IF(B104="","",IFERROR(INDEX('05_BAO_CAO_NGAY'!$D$6:$D$505,MATCH(B104,'05_BAO_CAO_NGAY'!$A$6:$A$505,0)),""))</x:f>
      </x:c>
      <x:c r="G104" s="29" t="str">
        <x:f>IF(B104="","",IFERROR(INDEX('05_BAO_CAO_NGAY'!$E$6:$E$505,MATCH(B104,'05_BAO_CAO_NGAY'!$A$6:$A$505,0)),""))</x:f>
      </x:c>
      <x:c r="H104" s="29" t="str">
        <x:f>IF(B104="","",IFERROR(INDEX('05_BAO_CAO_NGAY'!$J$6:$J$505,MATCH(B104,'05_BAO_CAO_NGAY'!$A$6:$A$505,0)),""))</x:f>
      </x:c>
      <x:c r="I104" s="29" t="str">
        <x:f>IF(B104="","",IFERROR(INDEX('05_BAO_CAO_NGAY'!$M$6:$M$505,MATCH(B104,'05_BAO_CAO_NGAY'!$A$6:$A$505,0)),""))</x:f>
      </x:c>
      <x:c r="J104" s="21"/>
      <x:c r="K104" s="29" t="str">
        <x:f>IF(J104="","",IFERROR(INDEX(DM_LY_DO_DUNG!$C$6:$C$105,MATCH(J104,DM_LY_DO_DUNG!$A$6:$A$105,0)),""))</x:f>
      </x:c>
      <x:c r="L104" s="21"/>
      <x:c r="M104" s="21"/>
      <x:c r="N104" s="21"/>
      <x:c r="O104" s="21"/>
      <x:c r="P104" s="21"/>
      <x:c r="Q104" s="43"/>
      <x:c r="R104" s="29" t="str">
        <x:f>IF(A104="","",IF(OR(B104="",C104="",D104="",J104=""),"Thiếu dữ liệu",IF(D104&lt;C104,"Sai thời gian",IF(AND(P104="Đã đóng",Q104=""),"Thiếu thời điểm đóng","Hợp lệ"))))</x:f>
      </x:c>
    </x:row>
    <x:row r="105">
      <x:c r="A105" s="21"/>
      <x:c r="B105" s="21"/>
      <x:c r="C105" s="43"/>
      <x:c r="D105" s="43"/>
      <x:c r="E105" s="39" t="str">
        <x:f>IF(A105="","",MAX(0,(D105-C105)*1440))</x:f>
      </x:c>
      <x:c r="F105" s="29" t="str">
        <x:f>IF(B105="","",IFERROR(INDEX('05_BAO_CAO_NGAY'!$D$6:$D$505,MATCH(B105,'05_BAO_CAO_NGAY'!$A$6:$A$505,0)),""))</x:f>
      </x:c>
      <x:c r="G105" s="29" t="str">
        <x:f>IF(B105="","",IFERROR(INDEX('05_BAO_CAO_NGAY'!$E$6:$E$505,MATCH(B105,'05_BAO_CAO_NGAY'!$A$6:$A$505,0)),""))</x:f>
      </x:c>
      <x:c r="H105" s="29" t="str">
        <x:f>IF(B105="","",IFERROR(INDEX('05_BAO_CAO_NGAY'!$J$6:$J$505,MATCH(B105,'05_BAO_CAO_NGAY'!$A$6:$A$505,0)),""))</x:f>
      </x:c>
      <x:c r="I105" s="29" t="str">
        <x:f>IF(B105="","",IFERROR(INDEX('05_BAO_CAO_NGAY'!$M$6:$M$505,MATCH(B105,'05_BAO_CAO_NGAY'!$A$6:$A$505,0)),""))</x:f>
      </x:c>
      <x:c r="J105" s="21"/>
      <x:c r="K105" s="29" t="str">
        <x:f>IF(J105="","",IFERROR(INDEX(DM_LY_DO_DUNG!$C$6:$C$105,MATCH(J105,DM_LY_DO_DUNG!$A$6:$A$105,0)),""))</x:f>
      </x:c>
      <x:c r="L105" s="21"/>
      <x:c r="M105" s="21"/>
      <x:c r="N105" s="21"/>
      <x:c r="O105" s="21"/>
      <x:c r="P105" s="21"/>
      <x:c r="Q105" s="43"/>
      <x:c r="R105" s="29" t="str">
        <x:f>IF(A105="","",IF(OR(B105="",C105="",D105="",J105=""),"Thiếu dữ liệu",IF(D105&lt;C105,"Sai thời gian",IF(AND(P105="Đã đóng",Q105=""),"Thiếu thời điểm đóng","Hợp lệ"))))</x:f>
      </x:c>
    </x:row>
    <x:row r="106">
      <x:c r="A106" s="21"/>
      <x:c r="B106" s="21"/>
      <x:c r="C106" s="43"/>
      <x:c r="D106" s="43"/>
      <x:c r="E106" s="39" t="str">
        <x:f>IF(A106="","",MAX(0,(D106-C106)*1440))</x:f>
      </x:c>
      <x:c r="F106" s="29" t="str">
        <x:f>IF(B106="","",IFERROR(INDEX('05_BAO_CAO_NGAY'!$D$6:$D$505,MATCH(B106,'05_BAO_CAO_NGAY'!$A$6:$A$505,0)),""))</x:f>
      </x:c>
      <x:c r="G106" s="29" t="str">
        <x:f>IF(B106="","",IFERROR(INDEX('05_BAO_CAO_NGAY'!$E$6:$E$505,MATCH(B106,'05_BAO_CAO_NGAY'!$A$6:$A$505,0)),""))</x:f>
      </x:c>
      <x:c r="H106" s="29" t="str">
        <x:f>IF(B106="","",IFERROR(INDEX('05_BAO_CAO_NGAY'!$J$6:$J$505,MATCH(B106,'05_BAO_CAO_NGAY'!$A$6:$A$505,0)),""))</x:f>
      </x:c>
      <x:c r="I106" s="29" t="str">
        <x:f>IF(B106="","",IFERROR(INDEX('05_BAO_CAO_NGAY'!$M$6:$M$505,MATCH(B106,'05_BAO_CAO_NGAY'!$A$6:$A$505,0)),""))</x:f>
      </x:c>
      <x:c r="J106" s="21"/>
      <x:c r="K106" s="29" t="str">
        <x:f>IF(J106="","",IFERROR(INDEX(DM_LY_DO_DUNG!$C$6:$C$105,MATCH(J106,DM_LY_DO_DUNG!$A$6:$A$105,0)),""))</x:f>
      </x:c>
      <x:c r="L106" s="21"/>
      <x:c r="M106" s="21"/>
      <x:c r="N106" s="21"/>
      <x:c r="O106" s="21"/>
      <x:c r="P106" s="21"/>
      <x:c r="Q106" s="43"/>
      <x:c r="R106" s="29" t="str">
        <x:f>IF(A106="","",IF(OR(B106="",C106="",D106="",J106=""),"Thiếu dữ liệu",IF(D106&lt;C106,"Sai thời gian",IF(AND(P106="Đã đóng",Q106=""),"Thiếu thời điểm đóng","Hợp lệ"))))</x:f>
      </x:c>
    </x:row>
    <x:row r="107">
      <x:c r="A107" s="21"/>
      <x:c r="B107" s="21"/>
      <x:c r="C107" s="43"/>
      <x:c r="D107" s="43"/>
      <x:c r="E107" s="39" t="str">
        <x:f>IF(A107="","",MAX(0,(D107-C107)*1440))</x:f>
      </x:c>
      <x:c r="F107" s="29" t="str">
        <x:f>IF(B107="","",IFERROR(INDEX('05_BAO_CAO_NGAY'!$D$6:$D$505,MATCH(B107,'05_BAO_CAO_NGAY'!$A$6:$A$505,0)),""))</x:f>
      </x:c>
      <x:c r="G107" s="29" t="str">
        <x:f>IF(B107="","",IFERROR(INDEX('05_BAO_CAO_NGAY'!$E$6:$E$505,MATCH(B107,'05_BAO_CAO_NGAY'!$A$6:$A$505,0)),""))</x:f>
      </x:c>
      <x:c r="H107" s="29" t="str">
        <x:f>IF(B107="","",IFERROR(INDEX('05_BAO_CAO_NGAY'!$J$6:$J$505,MATCH(B107,'05_BAO_CAO_NGAY'!$A$6:$A$505,0)),""))</x:f>
      </x:c>
      <x:c r="I107" s="29" t="str">
        <x:f>IF(B107="","",IFERROR(INDEX('05_BAO_CAO_NGAY'!$M$6:$M$505,MATCH(B107,'05_BAO_CAO_NGAY'!$A$6:$A$505,0)),""))</x:f>
      </x:c>
      <x:c r="J107" s="21"/>
      <x:c r="K107" s="29" t="str">
        <x:f>IF(J107="","",IFERROR(INDEX(DM_LY_DO_DUNG!$C$6:$C$105,MATCH(J107,DM_LY_DO_DUNG!$A$6:$A$105,0)),""))</x:f>
      </x:c>
      <x:c r="L107" s="21"/>
      <x:c r="M107" s="21"/>
      <x:c r="N107" s="21"/>
      <x:c r="O107" s="21"/>
      <x:c r="P107" s="21"/>
      <x:c r="Q107" s="43"/>
      <x:c r="R107" s="29" t="str">
        <x:f>IF(A107="","",IF(OR(B107="",C107="",D107="",J107=""),"Thiếu dữ liệu",IF(D107&lt;C107,"Sai thời gian",IF(AND(P107="Đã đóng",Q107=""),"Thiếu thời điểm đóng","Hợp lệ"))))</x:f>
      </x:c>
    </x:row>
    <x:row r="108">
      <x:c r="A108" s="21"/>
      <x:c r="B108" s="21"/>
      <x:c r="C108" s="43"/>
      <x:c r="D108" s="43"/>
      <x:c r="E108" s="39" t="str">
        <x:f>IF(A108="","",MAX(0,(D108-C108)*1440))</x:f>
      </x:c>
      <x:c r="F108" s="29" t="str">
        <x:f>IF(B108="","",IFERROR(INDEX('05_BAO_CAO_NGAY'!$D$6:$D$505,MATCH(B108,'05_BAO_CAO_NGAY'!$A$6:$A$505,0)),""))</x:f>
      </x:c>
      <x:c r="G108" s="29" t="str">
        <x:f>IF(B108="","",IFERROR(INDEX('05_BAO_CAO_NGAY'!$E$6:$E$505,MATCH(B108,'05_BAO_CAO_NGAY'!$A$6:$A$505,0)),""))</x:f>
      </x:c>
      <x:c r="H108" s="29" t="str">
        <x:f>IF(B108="","",IFERROR(INDEX('05_BAO_CAO_NGAY'!$J$6:$J$505,MATCH(B108,'05_BAO_CAO_NGAY'!$A$6:$A$505,0)),""))</x:f>
      </x:c>
      <x:c r="I108" s="29" t="str">
        <x:f>IF(B108="","",IFERROR(INDEX('05_BAO_CAO_NGAY'!$M$6:$M$505,MATCH(B108,'05_BAO_CAO_NGAY'!$A$6:$A$505,0)),""))</x:f>
      </x:c>
      <x:c r="J108" s="21"/>
      <x:c r="K108" s="29" t="str">
        <x:f>IF(J108="","",IFERROR(INDEX(DM_LY_DO_DUNG!$C$6:$C$105,MATCH(J108,DM_LY_DO_DUNG!$A$6:$A$105,0)),""))</x:f>
      </x:c>
      <x:c r="L108" s="21"/>
      <x:c r="M108" s="21"/>
      <x:c r="N108" s="21"/>
      <x:c r="O108" s="21"/>
      <x:c r="P108" s="21"/>
      <x:c r="Q108" s="43"/>
      <x:c r="R108" s="29" t="str">
        <x:f>IF(A108="","",IF(OR(B108="",C108="",D108="",J108=""),"Thiếu dữ liệu",IF(D108&lt;C108,"Sai thời gian",IF(AND(P108="Đã đóng",Q108=""),"Thiếu thời điểm đóng","Hợp lệ"))))</x:f>
      </x:c>
    </x:row>
    <x:row r="109">
      <x:c r="A109" s="21"/>
      <x:c r="B109" s="21"/>
      <x:c r="C109" s="43"/>
      <x:c r="D109" s="43"/>
      <x:c r="E109" s="39" t="str">
        <x:f>IF(A109="","",MAX(0,(D109-C109)*1440))</x:f>
      </x:c>
      <x:c r="F109" s="29" t="str">
        <x:f>IF(B109="","",IFERROR(INDEX('05_BAO_CAO_NGAY'!$D$6:$D$505,MATCH(B109,'05_BAO_CAO_NGAY'!$A$6:$A$505,0)),""))</x:f>
      </x:c>
      <x:c r="G109" s="29" t="str">
        <x:f>IF(B109="","",IFERROR(INDEX('05_BAO_CAO_NGAY'!$E$6:$E$505,MATCH(B109,'05_BAO_CAO_NGAY'!$A$6:$A$505,0)),""))</x:f>
      </x:c>
      <x:c r="H109" s="29" t="str">
        <x:f>IF(B109="","",IFERROR(INDEX('05_BAO_CAO_NGAY'!$J$6:$J$505,MATCH(B109,'05_BAO_CAO_NGAY'!$A$6:$A$505,0)),""))</x:f>
      </x:c>
      <x:c r="I109" s="29" t="str">
        <x:f>IF(B109="","",IFERROR(INDEX('05_BAO_CAO_NGAY'!$M$6:$M$505,MATCH(B109,'05_BAO_CAO_NGAY'!$A$6:$A$505,0)),""))</x:f>
      </x:c>
      <x:c r="J109" s="21"/>
      <x:c r="K109" s="29" t="str">
        <x:f>IF(J109="","",IFERROR(INDEX(DM_LY_DO_DUNG!$C$6:$C$105,MATCH(J109,DM_LY_DO_DUNG!$A$6:$A$105,0)),""))</x:f>
      </x:c>
      <x:c r="L109" s="21"/>
      <x:c r="M109" s="21"/>
      <x:c r="N109" s="21"/>
      <x:c r="O109" s="21"/>
      <x:c r="P109" s="21"/>
      <x:c r="Q109" s="43"/>
      <x:c r="R109" s="29" t="str">
        <x:f>IF(A109="","",IF(OR(B109="",C109="",D109="",J109=""),"Thiếu dữ liệu",IF(D109&lt;C109,"Sai thời gian",IF(AND(P109="Đã đóng",Q109=""),"Thiếu thời điểm đóng","Hợp lệ"))))</x:f>
      </x:c>
    </x:row>
    <x:row r="110">
      <x:c r="A110" s="21"/>
      <x:c r="B110" s="21"/>
      <x:c r="C110" s="43"/>
      <x:c r="D110" s="43"/>
      <x:c r="E110" s="39" t="str">
        <x:f>IF(A110="","",MAX(0,(D110-C110)*1440))</x:f>
      </x:c>
      <x:c r="F110" s="29" t="str">
        <x:f>IF(B110="","",IFERROR(INDEX('05_BAO_CAO_NGAY'!$D$6:$D$505,MATCH(B110,'05_BAO_CAO_NGAY'!$A$6:$A$505,0)),""))</x:f>
      </x:c>
      <x:c r="G110" s="29" t="str">
        <x:f>IF(B110="","",IFERROR(INDEX('05_BAO_CAO_NGAY'!$E$6:$E$505,MATCH(B110,'05_BAO_CAO_NGAY'!$A$6:$A$505,0)),""))</x:f>
      </x:c>
      <x:c r="H110" s="29" t="str">
        <x:f>IF(B110="","",IFERROR(INDEX('05_BAO_CAO_NGAY'!$J$6:$J$505,MATCH(B110,'05_BAO_CAO_NGAY'!$A$6:$A$505,0)),""))</x:f>
      </x:c>
      <x:c r="I110" s="29" t="str">
        <x:f>IF(B110="","",IFERROR(INDEX('05_BAO_CAO_NGAY'!$M$6:$M$505,MATCH(B110,'05_BAO_CAO_NGAY'!$A$6:$A$505,0)),""))</x:f>
      </x:c>
      <x:c r="J110" s="21"/>
      <x:c r="K110" s="29" t="str">
        <x:f>IF(J110="","",IFERROR(INDEX(DM_LY_DO_DUNG!$C$6:$C$105,MATCH(J110,DM_LY_DO_DUNG!$A$6:$A$105,0)),""))</x:f>
      </x:c>
      <x:c r="L110" s="21"/>
      <x:c r="M110" s="21"/>
      <x:c r="N110" s="21"/>
      <x:c r="O110" s="21"/>
      <x:c r="P110" s="21"/>
      <x:c r="Q110" s="43"/>
      <x:c r="R110" s="29" t="str">
        <x:f>IF(A110="","",IF(OR(B110="",C110="",D110="",J110=""),"Thiếu dữ liệu",IF(D110&lt;C110,"Sai thời gian",IF(AND(P110="Đã đóng",Q110=""),"Thiếu thời điểm đóng","Hợp lệ"))))</x:f>
      </x:c>
    </x:row>
    <x:row r="111">
      <x:c r="A111" s="21"/>
      <x:c r="B111" s="21"/>
      <x:c r="C111" s="43"/>
      <x:c r="D111" s="43"/>
      <x:c r="E111" s="39" t="str">
        <x:f>IF(A111="","",MAX(0,(D111-C111)*1440))</x:f>
      </x:c>
      <x:c r="F111" s="29" t="str">
        <x:f>IF(B111="","",IFERROR(INDEX('05_BAO_CAO_NGAY'!$D$6:$D$505,MATCH(B111,'05_BAO_CAO_NGAY'!$A$6:$A$505,0)),""))</x:f>
      </x:c>
      <x:c r="G111" s="29" t="str">
        <x:f>IF(B111="","",IFERROR(INDEX('05_BAO_CAO_NGAY'!$E$6:$E$505,MATCH(B111,'05_BAO_CAO_NGAY'!$A$6:$A$505,0)),""))</x:f>
      </x:c>
      <x:c r="H111" s="29" t="str">
        <x:f>IF(B111="","",IFERROR(INDEX('05_BAO_CAO_NGAY'!$J$6:$J$505,MATCH(B111,'05_BAO_CAO_NGAY'!$A$6:$A$505,0)),""))</x:f>
      </x:c>
      <x:c r="I111" s="29" t="str">
        <x:f>IF(B111="","",IFERROR(INDEX('05_BAO_CAO_NGAY'!$M$6:$M$505,MATCH(B111,'05_BAO_CAO_NGAY'!$A$6:$A$505,0)),""))</x:f>
      </x:c>
      <x:c r="J111" s="21"/>
      <x:c r="K111" s="29" t="str">
        <x:f>IF(J111="","",IFERROR(INDEX(DM_LY_DO_DUNG!$C$6:$C$105,MATCH(J111,DM_LY_DO_DUNG!$A$6:$A$105,0)),""))</x:f>
      </x:c>
      <x:c r="L111" s="21"/>
      <x:c r="M111" s="21"/>
      <x:c r="N111" s="21"/>
      <x:c r="O111" s="21"/>
      <x:c r="P111" s="21"/>
      <x:c r="Q111" s="43"/>
      <x:c r="R111" s="29" t="str">
        <x:f>IF(A111="","",IF(OR(B111="",C111="",D111="",J111=""),"Thiếu dữ liệu",IF(D111&lt;C111,"Sai thời gian",IF(AND(P111="Đã đóng",Q111=""),"Thiếu thời điểm đóng","Hợp lệ"))))</x:f>
      </x:c>
    </x:row>
    <x:row r="112">
      <x:c r="A112" s="21"/>
      <x:c r="B112" s="21"/>
      <x:c r="C112" s="43"/>
      <x:c r="D112" s="43"/>
      <x:c r="E112" s="39" t="str">
        <x:f>IF(A112="","",MAX(0,(D112-C112)*1440))</x:f>
      </x:c>
      <x:c r="F112" s="29" t="str">
        <x:f>IF(B112="","",IFERROR(INDEX('05_BAO_CAO_NGAY'!$D$6:$D$505,MATCH(B112,'05_BAO_CAO_NGAY'!$A$6:$A$505,0)),""))</x:f>
      </x:c>
      <x:c r="G112" s="29" t="str">
        <x:f>IF(B112="","",IFERROR(INDEX('05_BAO_CAO_NGAY'!$E$6:$E$505,MATCH(B112,'05_BAO_CAO_NGAY'!$A$6:$A$505,0)),""))</x:f>
      </x:c>
      <x:c r="H112" s="29" t="str">
        <x:f>IF(B112="","",IFERROR(INDEX('05_BAO_CAO_NGAY'!$J$6:$J$505,MATCH(B112,'05_BAO_CAO_NGAY'!$A$6:$A$505,0)),""))</x:f>
      </x:c>
      <x:c r="I112" s="29" t="str">
        <x:f>IF(B112="","",IFERROR(INDEX('05_BAO_CAO_NGAY'!$M$6:$M$505,MATCH(B112,'05_BAO_CAO_NGAY'!$A$6:$A$505,0)),""))</x:f>
      </x:c>
      <x:c r="J112" s="21"/>
      <x:c r="K112" s="29" t="str">
        <x:f>IF(J112="","",IFERROR(INDEX(DM_LY_DO_DUNG!$C$6:$C$105,MATCH(J112,DM_LY_DO_DUNG!$A$6:$A$105,0)),""))</x:f>
      </x:c>
      <x:c r="L112" s="21"/>
      <x:c r="M112" s="21"/>
      <x:c r="N112" s="21"/>
      <x:c r="O112" s="21"/>
      <x:c r="P112" s="21"/>
      <x:c r="Q112" s="43"/>
      <x:c r="R112" s="29" t="str">
        <x:f>IF(A112="","",IF(OR(B112="",C112="",D112="",J112=""),"Thiếu dữ liệu",IF(D112&lt;C112,"Sai thời gian",IF(AND(P112="Đã đóng",Q112=""),"Thiếu thời điểm đóng","Hợp lệ"))))</x:f>
      </x:c>
    </x:row>
    <x:row r="113">
      <x:c r="A113" s="21"/>
      <x:c r="B113" s="21"/>
      <x:c r="C113" s="43"/>
      <x:c r="D113" s="43"/>
      <x:c r="E113" s="39" t="str">
        <x:f>IF(A113="","",MAX(0,(D113-C113)*1440))</x:f>
      </x:c>
      <x:c r="F113" s="29" t="str">
        <x:f>IF(B113="","",IFERROR(INDEX('05_BAO_CAO_NGAY'!$D$6:$D$505,MATCH(B113,'05_BAO_CAO_NGAY'!$A$6:$A$505,0)),""))</x:f>
      </x:c>
      <x:c r="G113" s="29" t="str">
        <x:f>IF(B113="","",IFERROR(INDEX('05_BAO_CAO_NGAY'!$E$6:$E$505,MATCH(B113,'05_BAO_CAO_NGAY'!$A$6:$A$505,0)),""))</x:f>
      </x:c>
      <x:c r="H113" s="29" t="str">
        <x:f>IF(B113="","",IFERROR(INDEX('05_BAO_CAO_NGAY'!$J$6:$J$505,MATCH(B113,'05_BAO_CAO_NGAY'!$A$6:$A$505,0)),""))</x:f>
      </x:c>
      <x:c r="I113" s="29" t="str">
        <x:f>IF(B113="","",IFERROR(INDEX('05_BAO_CAO_NGAY'!$M$6:$M$505,MATCH(B113,'05_BAO_CAO_NGAY'!$A$6:$A$505,0)),""))</x:f>
      </x:c>
      <x:c r="J113" s="21"/>
      <x:c r="K113" s="29" t="str">
        <x:f>IF(J113="","",IFERROR(INDEX(DM_LY_DO_DUNG!$C$6:$C$105,MATCH(J113,DM_LY_DO_DUNG!$A$6:$A$105,0)),""))</x:f>
      </x:c>
      <x:c r="L113" s="21"/>
      <x:c r="M113" s="21"/>
      <x:c r="N113" s="21"/>
      <x:c r="O113" s="21"/>
      <x:c r="P113" s="21"/>
      <x:c r="Q113" s="43"/>
      <x:c r="R113" s="29" t="str">
        <x:f>IF(A113="","",IF(OR(B113="",C113="",D113="",J113=""),"Thiếu dữ liệu",IF(D113&lt;C113,"Sai thời gian",IF(AND(P113="Đã đóng",Q113=""),"Thiếu thời điểm đóng","Hợp lệ"))))</x:f>
      </x:c>
    </x:row>
    <x:row r="114">
      <x:c r="A114" s="21"/>
      <x:c r="B114" s="21"/>
      <x:c r="C114" s="43"/>
      <x:c r="D114" s="43"/>
      <x:c r="E114" s="39" t="str">
        <x:f>IF(A114="","",MAX(0,(D114-C114)*1440))</x:f>
      </x:c>
      <x:c r="F114" s="29" t="str">
        <x:f>IF(B114="","",IFERROR(INDEX('05_BAO_CAO_NGAY'!$D$6:$D$505,MATCH(B114,'05_BAO_CAO_NGAY'!$A$6:$A$505,0)),""))</x:f>
      </x:c>
      <x:c r="G114" s="29" t="str">
        <x:f>IF(B114="","",IFERROR(INDEX('05_BAO_CAO_NGAY'!$E$6:$E$505,MATCH(B114,'05_BAO_CAO_NGAY'!$A$6:$A$505,0)),""))</x:f>
      </x:c>
      <x:c r="H114" s="29" t="str">
        <x:f>IF(B114="","",IFERROR(INDEX('05_BAO_CAO_NGAY'!$J$6:$J$505,MATCH(B114,'05_BAO_CAO_NGAY'!$A$6:$A$505,0)),""))</x:f>
      </x:c>
      <x:c r="I114" s="29" t="str">
        <x:f>IF(B114="","",IFERROR(INDEX('05_BAO_CAO_NGAY'!$M$6:$M$505,MATCH(B114,'05_BAO_CAO_NGAY'!$A$6:$A$505,0)),""))</x:f>
      </x:c>
      <x:c r="J114" s="21"/>
      <x:c r="K114" s="29" t="str">
        <x:f>IF(J114="","",IFERROR(INDEX(DM_LY_DO_DUNG!$C$6:$C$105,MATCH(J114,DM_LY_DO_DUNG!$A$6:$A$105,0)),""))</x:f>
      </x:c>
      <x:c r="L114" s="21"/>
      <x:c r="M114" s="21"/>
      <x:c r="N114" s="21"/>
      <x:c r="O114" s="21"/>
      <x:c r="P114" s="21"/>
      <x:c r="Q114" s="43"/>
      <x:c r="R114" s="29" t="str">
        <x:f>IF(A114="","",IF(OR(B114="",C114="",D114="",J114=""),"Thiếu dữ liệu",IF(D114&lt;C114,"Sai thời gian",IF(AND(P114="Đã đóng",Q114=""),"Thiếu thời điểm đóng","Hợp lệ"))))</x:f>
      </x:c>
    </x:row>
    <x:row r="115">
      <x:c r="A115" s="21"/>
      <x:c r="B115" s="21"/>
      <x:c r="C115" s="43"/>
      <x:c r="D115" s="43"/>
      <x:c r="E115" s="39" t="str">
        <x:f>IF(A115="","",MAX(0,(D115-C115)*1440))</x:f>
      </x:c>
      <x:c r="F115" s="29" t="str">
        <x:f>IF(B115="","",IFERROR(INDEX('05_BAO_CAO_NGAY'!$D$6:$D$505,MATCH(B115,'05_BAO_CAO_NGAY'!$A$6:$A$505,0)),""))</x:f>
      </x:c>
      <x:c r="G115" s="29" t="str">
        <x:f>IF(B115="","",IFERROR(INDEX('05_BAO_CAO_NGAY'!$E$6:$E$505,MATCH(B115,'05_BAO_CAO_NGAY'!$A$6:$A$505,0)),""))</x:f>
      </x:c>
      <x:c r="H115" s="29" t="str">
        <x:f>IF(B115="","",IFERROR(INDEX('05_BAO_CAO_NGAY'!$J$6:$J$505,MATCH(B115,'05_BAO_CAO_NGAY'!$A$6:$A$505,0)),""))</x:f>
      </x:c>
      <x:c r="I115" s="29" t="str">
        <x:f>IF(B115="","",IFERROR(INDEX('05_BAO_CAO_NGAY'!$M$6:$M$505,MATCH(B115,'05_BAO_CAO_NGAY'!$A$6:$A$505,0)),""))</x:f>
      </x:c>
      <x:c r="J115" s="21"/>
      <x:c r="K115" s="29" t="str">
        <x:f>IF(J115="","",IFERROR(INDEX(DM_LY_DO_DUNG!$C$6:$C$105,MATCH(J115,DM_LY_DO_DUNG!$A$6:$A$105,0)),""))</x:f>
      </x:c>
      <x:c r="L115" s="21"/>
      <x:c r="M115" s="21"/>
      <x:c r="N115" s="21"/>
      <x:c r="O115" s="21"/>
      <x:c r="P115" s="21"/>
      <x:c r="Q115" s="43"/>
      <x:c r="R115" s="29" t="str">
        <x:f>IF(A115="","",IF(OR(B115="",C115="",D115="",J115=""),"Thiếu dữ liệu",IF(D115&lt;C115,"Sai thời gian",IF(AND(P115="Đã đóng",Q115=""),"Thiếu thời điểm đóng","Hợp lệ"))))</x:f>
      </x:c>
    </x:row>
    <x:row r="116">
      <x:c r="A116" s="21"/>
      <x:c r="B116" s="21"/>
      <x:c r="C116" s="43"/>
      <x:c r="D116" s="43"/>
      <x:c r="E116" s="39" t="str">
        <x:f>IF(A116="","",MAX(0,(D116-C116)*1440))</x:f>
      </x:c>
      <x:c r="F116" s="29" t="str">
        <x:f>IF(B116="","",IFERROR(INDEX('05_BAO_CAO_NGAY'!$D$6:$D$505,MATCH(B116,'05_BAO_CAO_NGAY'!$A$6:$A$505,0)),""))</x:f>
      </x:c>
      <x:c r="G116" s="29" t="str">
        <x:f>IF(B116="","",IFERROR(INDEX('05_BAO_CAO_NGAY'!$E$6:$E$505,MATCH(B116,'05_BAO_CAO_NGAY'!$A$6:$A$505,0)),""))</x:f>
      </x:c>
      <x:c r="H116" s="29" t="str">
        <x:f>IF(B116="","",IFERROR(INDEX('05_BAO_CAO_NGAY'!$J$6:$J$505,MATCH(B116,'05_BAO_CAO_NGAY'!$A$6:$A$505,0)),""))</x:f>
      </x:c>
      <x:c r="I116" s="29" t="str">
        <x:f>IF(B116="","",IFERROR(INDEX('05_BAO_CAO_NGAY'!$M$6:$M$505,MATCH(B116,'05_BAO_CAO_NGAY'!$A$6:$A$505,0)),""))</x:f>
      </x:c>
      <x:c r="J116" s="21"/>
      <x:c r="K116" s="29" t="str">
        <x:f>IF(J116="","",IFERROR(INDEX(DM_LY_DO_DUNG!$C$6:$C$105,MATCH(J116,DM_LY_DO_DUNG!$A$6:$A$105,0)),""))</x:f>
      </x:c>
      <x:c r="L116" s="21"/>
      <x:c r="M116" s="21"/>
      <x:c r="N116" s="21"/>
      <x:c r="O116" s="21"/>
      <x:c r="P116" s="21"/>
      <x:c r="Q116" s="43"/>
      <x:c r="R116" s="29" t="str">
        <x:f>IF(A116="","",IF(OR(B116="",C116="",D116="",J116=""),"Thiếu dữ liệu",IF(D116&lt;C116,"Sai thời gian",IF(AND(P116="Đã đóng",Q116=""),"Thiếu thời điểm đóng","Hợp lệ"))))</x:f>
      </x:c>
    </x:row>
    <x:row r="117">
      <x:c r="A117" s="21"/>
      <x:c r="B117" s="21"/>
      <x:c r="C117" s="43"/>
      <x:c r="D117" s="43"/>
      <x:c r="E117" s="39" t="str">
        <x:f>IF(A117="","",MAX(0,(D117-C117)*1440))</x:f>
      </x:c>
      <x:c r="F117" s="29" t="str">
        <x:f>IF(B117="","",IFERROR(INDEX('05_BAO_CAO_NGAY'!$D$6:$D$505,MATCH(B117,'05_BAO_CAO_NGAY'!$A$6:$A$505,0)),""))</x:f>
      </x:c>
      <x:c r="G117" s="29" t="str">
        <x:f>IF(B117="","",IFERROR(INDEX('05_BAO_CAO_NGAY'!$E$6:$E$505,MATCH(B117,'05_BAO_CAO_NGAY'!$A$6:$A$505,0)),""))</x:f>
      </x:c>
      <x:c r="H117" s="29" t="str">
        <x:f>IF(B117="","",IFERROR(INDEX('05_BAO_CAO_NGAY'!$J$6:$J$505,MATCH(B117,'05_BAO_CAO_NGAY'!$A$6:$A$505,0)),""))</x:f>
      </x:c>
      <x:c r="I117" s="29" t="str">
        <x:f>IF(B117="","",IFERROR(INDEX('05_BAO_CAO_NGAY'!$M$6:$M$505,MATCH(B117,'05_BAO_CAO_NGAY'!$A$6:$A$505,0)),""))</x:f>
      </x:c>
      <x:c r="J117" s="21"/>
      <x:c r="K117" s="29" t="str">
        <x:f>IF(J117="","",IFERROR(INDEX(DM_LY_DO_DUNG!$C$6:$C$105,MATCH(J117,DM_LY_DO_DUNG!$A$6:$A$105,0)),""))</x:f>
      </x:c>
      <x:c r="L117" s="21"/>
      <x:c r="M117" s="21"/>
      <x:c r="N117" s="21"/>
      <x:c r="O117" s="21"/>
      <x:c r="P117" s="21"/>
      <x:c r="Q117" s="43"/>
      <x:c r="R117" s="29" t="str">
        <x:f>IF(A117="","",IF(OR(B117="",C117="",D117="",J117=""),"Thiếu dữ liệu",IF(D117&lt;C117,"Sai thời gian",IF(AND(P117="Đã đóng",Q117=""),"Thiếu thời điểm đóng","Hợp lệ"))))</x:f>
      </x:c>
    </x:row>
    <x:row r="118">
      <x:c r="A118" s="21"/>
      <x:c r="B118" s="21"/>
      <x:c r="C118" s="43"/>
      <x:c r="D118" s="43"/>
      <x:c r="E118" s="39" t="str">
        <x:f>IF(A118="","",MAX(0,(D118-C118)*1440))</x:f>
      </x:c>
      <x:c r="F118" s="29" t="str">
        <x:f>IF(B118="","",IFERROR(INDEX('05_BAO_CAO_NGAY'!$D$6:$D$505,MATCH(B118,'05_BAO_CAO_NGAY'!$A$6:$A$505,0)),""))</x:f>
      </x:c>
      <x:c r="G118" s="29" t="str">
        <x:f>IF(B118="","",IFERROR(INDEX('05_BAO_CAO_NGAY'!$E$6:$E$505,MATCH(B118,'05_BAO_CAO_NGAY'!$A$6:$A$505,0)),""))</x:f>
      </x:c>
      <x:c r="H118" s="29" t="str">
        <x:f>IF(B118="","",IFERROR(INDEX('05_BAO_CAO_NGAY'!$J$6:$J$505,MATCH(B118,'05_BAO_CAO_NGAY'!$A$6:$A$505,0)),""))</x:f>
      </x:c>
      <x:c r="I118" s="29" t="str">
        <x:f>IF(B118="","",IFERROR(INDEX('05_BAO_CAO_NGAY'!$M$6:$M$505,MATCH(B118,'05_BAO_CAO_NGAY'!$A$6:$A$505,0)),""))</x:f>
      </x:c>
      <x:c r="J118" s="21"/>
      <x:c r="K118" s="29" t="str">
        <x:f>IF(J118="","",IFERROR(INDEX(DM_LY_DO_DUNG!$C$6:$C$105,MATCH(J118,DM_LY_DO_DUNG!$A$6:$A$105,0)),""))</x:f>
      </x:c>
      <x:c r="L118" s="21"/>
      <x:c r="M118" s="21"/>
      <x:c r="N118" s="21"/>
      <x:c r="O118" s="21"/>
      <x:c r="P118" s="21"/>
      <x:c r="Q118" s="43"/>
      <x:c r="R118" s="29" t="str">
        <x:f>IF(A118="","",IF(OR(B118="",C118="",D118="",J118=""),"Thiếu dữ liệu",IF(D118&lt;C118,"Sai thời gian",IF(AND(P118="Đã đóng",Q118=""),"Thiếu thời điểm đóng","Hợp lệ"))))</x:f>
      </x:c>
    </x:row>
    <x:row r="119">
      <x:c r="A119" s="21"/>
      <x:c r="B119" s="21"/>
      <x:c r="C119" s="43"/>
      <x:c r="D119" s="43"/>
      <x:c r="E119" s="39" t="str">
        <x:f>IF(A119="","",MAX(0,(D119-C119)*1440))</x:f>
      </x:c>
      <x:c r="F119" s="29" t="str">
        <x:f>IF(B119="","",IFERROR(INDEX('05_BAO_CAO_NGAY'!$D$6:$D$505,MATCH(B119,'05_BAO_CAO_NGAY'!$A$6:$A$505,0)),""))</x:f>
      </x:c>
      <x:c r="G119" s="29" t="str">
        <x:f>IF(B119="","",IFERROR(INDEX('05_BAO_CAO_NGAY'!$E$6:$E$505,MATCH(B119,'05_BAO_CAO_NGAY'!$A$6:$A$505,0)),""))</x:f>
      </x:c>
      <x:c r="H119" s="29" t="str">
        <x:f>IF(B119="","",IFERROR(INDEX('05_BAO_CAO_NGAY'!$J$6:$J$505,MATCH(B119,'05_BAO_CAO_NGAY'!$A$6:$A$505,0)),""))</x:f>
      </x:c>
      <x:c r="I119" s="29" t="str">
        <x:f>IF(B119="","",IFERROR(INDEX('05_BAO_CAO_NGAY'!$M$6:$M$505,MATCH(B119,'05_BAO_CAO_NGAY'!$A$6:$A$505,0)),""))</x:f>
      </x:c>
      <x:c r="J119" s="21"/>
      <x:c r="K119" s="29" t="str">
        <x:f>IF(J119="","",IFERROR(INDEX(DM_LY_DO_DUNG!$C$6:$C$105,MATCH(J119,DM_LY_DO_DUNG!$A$6:$A$105,0)),""))</x:f>
      </x:c>
      <x:c r="L119" s="21"/>
      <x:c r="M119" s="21"/>
      <x:c r="N119" s="21"/>
      <x:c r="O119" s="21"/>
      <x:c r="P119" s="21"/>
      <x:c r="Q119" s="43"/>
      <x:c r="R119" s="29" t="str">
        <x:f>IF(A119="","",IF(OR(B119="",C119="",D119="",J119=""),"Thiếu dữ liệu",IF(D119&lt;C119,"Sai thời gian",IF(AND(P119="Đã đóng",Q119=""),"Thiếu thời điểm đóng","Hợp lệ"))))</x:f>
      </x:c>
    </x:row>
    <x:row r="120">
      <x:c r="A120" s="21"/>
      <x:c r="B120" s="21"/>
      <x:c r="C120" s="43"/>
      <x:c r="D120" s="43"/>
      <x:c r="E120" s="39" t="str">
        <x:f>IF(A120="","",MAX(0,(D120-C120)*1440))</x:f>
      </x:c>
      <x:c r="F120" s="29" t="str">
        <x:f>IF(B120="","",IFERROR(INDEX('05_BAO_CAO_NGAY'!$D$6:$D$505,MATCH(B120,'05_BAO_CAO_NGAY'!$A$6:$A$505,0)),""))</x:f>
      </x:c>
      <x:c r="G120" s="29" t="str">
        <x:f>IF(B120="","",IFERROR(INDEX('05_BAO_CAO_NGAY'!$E$6:$E$505,MATCH(B120,'05_BAO_CAO_NGAY'!$A$6:$A$505,0)),""))</x:f>
      </x:c>
      <x:c r="H120" s="29" t="str">
        <x:f>IF(B120="","",IFERROR(INDEX('05_BAO_CAO_NGAY'!$J$6:$J$505,MATCH(B120,'05_BAO_CAO_NGAY'!$A$6:$A$505,0)),""))</x:f>
      </x:c>
      <x:c r="I120" s="29" t="str">
        <x:f>IF(B120="","",IFERROR(INDEX('05_BAO_CAO_NGAY'!$M$6:$M$505,MATCH(B120,'05_BAO_CAO_NGAY'!$A$6:$A$505,0)),""))</x:f>
      </x:c>
      <x:c r="J120" s="21"/>
      <x:c r="K120" s="29" t="str">
        <x:f>IF(J120="","",IFERROR(INDEX(DM_LY_DO_DUNG!$C$6:$C$105,MATCH(J120,DM_LY_DO_DUNG!$A$6:$A$105,0)),""))</x:f>
      </x:c>
      <x:c r="L120" s="21"/>
      <x:c r="M120" s="21"/>
      <x:c r="N120" s="21"/>
      <x:c r="O120" s="21"/>
      <x:c r="P120" s="21"/>
      <x:c r="Q120" s="43"/>
      <x:c r="R120" s="29" t="str">
        <x:f>IF(A120="","",IF(OR(B120="",C120="",D120="",J120=""),"Thiếu dữ liệu",IF(D120&lt;C120,"Sai thời gian",IF(AND(P120="Đã đóng",Q120=""),"Thiếu thời điểm đóng","Hợp lệ"))))</x:f>
      </x:c>
    </x:row>
    <x:row r="121">
      <x:c r="A121" s="21"/>
      <x:c r="B121" s="21"/>
      <x:c r="C121" s="43"/>
      <x:c r="D121" s="43"/>
      <x:c r="E121" s="39" t="str">
        <x:f>IF(A121="","",MAX(0,(D121-C121)*1440))</x:f>
      </x:c>
      <x:c r="F121" s="29" t="str">
        <x:f>IF(B121="","",IFERROR(INDEX('05_BAO_CAO_NGAY'!$D$6:$D$505,MATCH(B121,'05_BAO_CAO_NGAY'!$A$6:$A$505,0)),""))</x:f>
      </x:c>
      <x:c r="G121" s="29" t="str">
        <x:f>IF(B121="","",IFERROR(INDEX('05_BAO_CAO_NGAY'!$E$6:$E$505,MATCH(B121,'05_BAO_CAO_NGAY'!$A$6:$A$505,0)),""))</x:f>
      </x:c>
      <x:c r="H121" s="29" t="str">
        <x:f>IF(B121="","",IFERROR(INDEX('05_BAO_CAO_NGAY'!$J$6:$J$505,MATCH(B121,'05_BAO_CAO_NGAY'!$A$6:$A$505,0)),""))</x:f>
      </x:c>
      <x:c r="I121" s="29" t="str">
        <x:f>IF(B121="","",IFERROR(INDEX('05_BAO_CAO_NGAY'!$M$6:$M$505,MATCH(B121,'05_BAO_CAO_NGAY'!$A$6:$A$505,0)),""))</x:f>
      </x:c>
      <x:c r="J121" s="21"/>
      <x:c r="K121" s="29" t="str">
        <x:f>IF(J121="","",IFERROR(INDEX(DM_LY_DO_DUNG!$C$6:$C$105,MATCH(J121,DM_LY_DO_DUNG!$A$6:$A$105,0)),""))</x:f>
      </x:c>
      <x:c r="L121" s="21"/>
      <x:c r="M121" s="21"/>
      <x:c r="N121" s="21"/>
      <x:c r="O121" s="21"/>
      <x:c r="P121" s="21"/>
      <x:c r="Q121" s="43"/>
      <x:c r="R121" s="29" t="str">
        <x:f>IF(A121="","",IF(OR(B121="",C121="",D121="",J121=""),"Thiếu dữ liệu",IF(D121&lt;C121,"Sai thời gian",IF(AND(P121="Đã đóng",Q121=""),"Thiếu thời điểm đóng","Hợp lệ"))))</x:f>
      </x:c>
    </x:row>
    <x:row r="122">
      <x:c r="A122" s="21"/>
      <x:c r="B122" s="21"/>
      <x:c r="C122" s="43"/>
      <x:c r="D122" s="43"/>
      <x:c r="E122" s="39" t="str">
        <x:f>IF(A122="","",MAX(0,(D122-C122)*1440))</x:f>
      </x:c>
      <x:c r="F122" s="29" t="str">
        <x:f>IF(B122="","",IFERROR(INDEX('05_BAO_CAO_NGAY'!$D$6:$D$505,MATCH(B122,'05_BAO_CAO_NGAY'!$A$6:$A$505,0)),""))</x:f>
      </x:c>
      <x:c r="G122" s="29" t="str">
        <x:f>IF(B122="","",IFERROR(INDEX('05_BAO_CAO_NGAY'!$E$6:$E$505,MATCH(B122,'05_BAO_CAO_NGAY'!$A$6:$A$505,0)),""))</x:f>
      </x:c>
      <x:c r="H122" s="29" t="str">
        <x:f>IF(B122="","",IFERROR(INDEX('05_BAO_CAO_NGAY'!$J$6:$J$505,MATCH(B122,'05_BAO_CAO_NGAY'!$A$6:$A$505,0)),""))</x:f>
      </x:c>
      <x:c r="I122" s="29" t="str">
        <x:f>IF(B122="","",IFERROR(INDEX('05_BAO_CAO_NGAY'!$M$6:$M$505,MATCH(B122,'05_BAO_CAO_NGAY'!$A$6:$A$505,0)),""))</x:f>
      </x:c>
      <x:c r="J122" s="21"/>
      <x:c r="K122" s="29" t="str">
        <x:f>IF(J122="","",IFERROR(INDEX(DM_LY_DO_DUNG!$C$6:$C$105,MATCH(J122,DM_LY_DO_DUNG!$A$6:$A$105,0)),""))</x:f>
      </x:c>
      <x:c r="L122" s="21"/>
      <x:c r="M122" s="21"/>
      <x:c r="N122" s="21"/>
      <x:c r="O122" s="21"/>
      <x:c r="P122" s="21"/>
      <x:c r="Q122" s="43"/>
      <x:c r="R122" s="29" t="str">
        <x:f>IF(A122="","",IF(OR(B122="",C122="",D122="",J122=""),"Thiếu dữ liệu",IF(D122&lt;C122,"Sai thời gian",IF(AND(P122="Đã đóng",Q122=""),"Thiếu thời điểm đóng","Hợp lệ"))))</x:f>
      </x:c>
    </x:row>
    <x:row r="123">
      <x:c r="A123" s="21"/>
      <x:c r="B123" s="21"/>
      <x:c r="C123" s="43"/>
      <x:c r="D123" s="43"/>
      <x:c r="E123" s="39" t="str">
        <x:f>IF(A123="","",MAX(0,(D123-C123)*1440))</x:f>
      </x:c>
      <x:c r="F123" s="29" t="str">
        <x:f>IF(B123="","",IFERROR(INDEX('05_BAO_CAO_NGAY'!$D$6:$D$505,MATCH(B123,'05_BAO_CAO_NGAY'!$A$6:$A$505,0)),""))</x:f>
      </x:c>
      <x:c r="G123" s="29" t="str">
        <x:f>IF(B123="","",IFERROR(INDEX('05_BAO_CAO_NGAY'!$E$6:$E$505,MATCH(B123,'05_BAO_CAO_NGAY'!$A$6:$A$505,0)),""))</x:f>
      </x:c>
      <x:c r="H123" s="29" t="str">
        <x:f>IF(B123="","",IFERROR(INDEX('05_BAO_CAO_NGAY'!$J$6:$J$505,MATCH(B123,'05_BAO_CAO_NGAY'!$A$6:$A$505,0)),""))</x:f>
      </x:c>
      <x:c r="I123" s="29" t="str">
        <x:f>IF(B123="","",IFERROR(INDEX('05_BAO_CAO_NGAY'!$M$6:$M$505,MATCH(B123,'05_BAO_CAO_NGAY'!$A$6:$A$505,0)),""))</x:f>
      </x:c>
      <x:c r="J123" s="21"/>
      <x:c r="K123" s="29" t="str">
        <x:f>IF(J123="","",IFERROR(INDEX(DM_LY_DO_DUNG!$C$6:$C$105,MATCH(J123,DM_LY_DO_DUNG!$A$6:$A$105,0)),""))</x:f>
      </x:c>
      <x:c r="L123" s="21"/>
      <x:c r="M123" s="21"/>
      <x:c r="N123" s="21"/>
      <x:c r="O123" s="21"/>
      <x:c r="P123" s="21"/>
      <x:c r="Q123" s="43"/>
      <x:c r="R123" s="29" t="str">
        <x:f>IF(A123="","",IF(OR(B123="",C123="",D123="",J123=""),"Thiếu dữ liệu",IF(D123&lt;C123,"Sai thời gian",IF(AND(P123="Đã đóng",Q123=""),"Thiếu thời điểm đóng","Hợp lệ"))))</x:f>
      </x:c>
    </x:row>
    <x:row r="124">
      <x:c r="A124" s="21"/>
      <x:c r="B124" s="21"/>
      <x:c r="C124" s="43"/>
      <x:c r="D124" s="43"/>
      <x:c r="E124" s="39" t="str">
        <x:f>IF(A124="","",MAX(0,(D124-C124)*1440))</x:f>
      </x:c>
      <x:c r="F124" s="29" t="str">
        <x:f>IF(B124="","",IFERROR(INDEX('05_BAO_CAO_NGAY'!$D$6:$D$505,MATCH(B124,'05_BAO_CAO_NGAY'!$A$6:$A$505,0)),""))</x:f>
      </x:c>
      <x:c r="G124" s="29" t="str">
        <x:f>IF(B124="","",IFERROR(INDEX('05_BAO_CAO_NGAY'!$E$6:$E$505,MATCH(B124,'05_BAO_CAO_NGAY'!$A$6:$A$505,0)),""))</x:f>
      </x:c>
      <x:c r="H124" s="29" t="str">
        <x:f>IF(B124="","",IFERROR(INDEX('05_BAO_CAO_NGAY'!$J$6:$J$505,MATCH(B124,'05_BAO_CAO_NGAY'!$A$6:$A$505,0)),""))</x:f>
      </x:c>
      <x:c r="I124" s="29" t="str">
        <x:f>IF(B124="","",IFERROR(INDEX('05_BAO_CAO_NGAY'!$M$6:$M$505,MATCH(B124,'05_BAO_CAO_NGAY'!$A$6:$A$505,0)),""))</x:f>
      </x:c>
      <x:c r="J124" s="21"/>
      <x:c r="K124" s="29" t="str">
        <x:f>IF(J124="","",IFERROR(INDEX(DM_LY_DO_DUNG!$C$6:$C$105,MATCH(J124,DM_LY_DO_DUNG!$A$6:$A$105,0)),""))</x:f>
      </x:c>
      <x:c r="L124" s="21"/>
      <x:c r="M124" s="21"/>
      <x:c r="N124" s="21"/>
      <x:c r="O124" s="21"/>
      <x:c r="P124" s="21"/>
      <x:c r="Q124" s="43"/>
      <x:c r="R124" s="29" t="str">
        <x:f>IF(A124="","",IF(OR(B124="",C124="",D124="",J124=""),"Thiếu dữ liệu",IF(D124&lt;C124,"Sai thời gian",IF(AND(P124="Đã đóng",Q124=""),"Thiếu thời điểm đóng","Hợp lệ"))))</x:f>
      </x:c>
    </x:row>
    <x:row r="125">
      <x:c r="A125" s="21"/>
      <x:c r="B125" s="21"/>
      <x:c r="C125" s="43"/>
      <x:c r="D125" s="43"/>
      <x:c r="E125" s="39" t="str">
        <x:f>IF(A125="","",MAX(0,(D125-C125)*1440))</x:f>
      </x:c>
      <x:c r="F125" s="29" t="str">
        <x:f>IF(B125="","",IFERROR(INDEX('05_BAO_CAO_NGAY'!$D$6:$D$505,MATCH(B125,'05_BAO_CAO_NGAY'!$A$6:$A$505,0)),""))</x:f>
      </x:c>
      <x:c r="G125" s="29" t="str">
        <x:f>IF(B125="","",IFERROR(INDEX('05_BAO_CAO_NGAY'!$E$6:$E$505,MATCH(B125,'05_BAO_CAO_NGAY'!$A$6:$A$505,0)),""))</x:f>
      </x:c>
      <x:c r="H125" s="29" t="str">
        <x:f>IF(B125="","",IFERROR(INDEX('05_BAO_CAO_NGAY'!$J$6:$J$505,MATCH(B125,'05_BAO_CAO_NGAY'!$A$6:$A$505,0)),""))</x:f>
      </x:c>
      <x:c r="I125" s="29" t="str">
        <x:f>IF(B125="","",IFERROR(INDEX('05_BAO_CAO_NGAY'!$M$6:$M$505,MATCH(B125,'05_BAO_CAO_NGAY'!$A$6:$A$505,0)),""))</x:f>
      </x:c>
      <x:c r="J125" s="21"/>
      <x:c r="K125" s="29" t="str">
        <x:f>IF(J125="","",IFERROR(INDEX(DM_LY_DO_DUNG!$C$6:$C$105,MATCH(J125,DM_LY_DO_DUNG!$A$6:$A$105,0)),""))</x:f>
      </x:c>
      <x:c r="L125" s="21"/>
      <x:c r="M125" s="21"/>
      <x:c r="N125" s="21"/>
      <x:c r="O125" s="21"/>
      <x:c r="P125" s="21"/>
      <x:c r="Q125" s="43"/>
      <x:c r="R125" s="29" t="str">
        <x:f>IF(A125="","",IF(OR(B125="",C125="",D125="",J125=""),"Thiếu dữ liệu",IF(D125&lt;C125,"Sai thời gian",IF(AND(P125="Đã đóng",Q125=""),"Thiếu thời điểm đóng","Hợp lệ"))))</x:f>
      </x:c>
    </x:row>
    <x:row r="126">
      <x:c r="A126" s="21"/>
      <x:c r="B126" s="21"/>
      <x:c r="C126" s="43"/>
      <x:c r="D126" s="43"/>
      <x:c r="E126" s="39" t="str">
        <x:f>IF(A126="","",MAX(0,(D126-C126)*1440))</x:f>
      </x:c>
      <x:c r="F126" s="29" t="str">
        <x:f>IF(B126="","",IFERROR(INDEX('05_BAO_CAO_NGAY'!$D$6:$D$505,MATCH(B126,'05_BAO_CAO_NGAY'!$A$6:$A$505,0)),""))</x:f>
      </x:c>
      <x:c r="G126" s="29" t="str">
        <x:f>IF(B126="","",IFERROR(INDEX('05_BAO_CAO_NGAY'!$E$6:$E$505,MATCH(B126,'05_BAO_CAO_NGAY'!$A$6:$A$505,0)),""))</x:f>
      </x:c>
      <x:c r="H126" s="29" t="str">
        <x:f>IF(B126="","",IFERROR(INDEX('05_BAO_CAO_NGAY'!$J$6:$J$505,MATCH(B126,'05_BAO_CAO_NGAY'!$A$6:$A$505,0)),""))</x:f>
      </x:c>
      <x:c r="I126" s="29" t="str">
        <x:f>IF(B126="","",IFERROR(INDEX('05_BAO_CAO_NGAY'!$M$6:$M$505,MATCH(B126,'05_BAO_CAO_NGAY'!$A$6:$A$505,0)),""))</x:f>
      </x:c>
      <x:c r="J126" s="21"/>
      <x:c r="K126" s="29" t="str">
        <x:f>IF(J126="","",IFERROR(INDEX(DM_LY_DO_DUNG!$C$6:$C$105,MATCH(J126,DM_LY_DO_DUNG!$A$6:$A$105,0)),""))</x:f>
      </x:c>
      <x:c r="L126" s="21"/>
      <x:c r="M126" s="21"/>
      <x:c r="N126" s="21"/>
      <x:c r="O126" s="21"/>
      <x:c r="P126" s="21"/>
      <x:c r="Q126" s="43"/>
      <x:c r="R126" s="29" t="str">
        <x:f>IF(A126="","",IF(OR(B126="",C126="",D126="",J126=""),"Thiếu dữ liệu",IF(D126&lt;C126,"Sai thời gian",IF(AND(P126="Đã đóng",Q126=""),"Thiếu thời điểm đóng","Hợp lệ"))))</x:f>
      </x:c>
    </x:row>
    <x:row r="127">
      <x:c r="A127" s="21"/>
      <x:c r="B127" s="21"/>
      <x:c r="C127" s="43"/>
      <x:c r="D127" s="43"/>
      <x:c r="E127" s="39" t="str">
        <x:f>IF(A127="","",MAX(0,(D127-C127)*1440))</x:f>
      </x:c>
      <x:c r="F127" s="29" t="str">
        <x:f>IF(B127="","",IFERROR(INDEX('05_BAO_CAO_NGAY'!$D$6:$D$505,MATCH(B127,'05_BAO_CAO_NGAY'!$A$6:$A$505,0)),""))</x:f>
      </x:c>
      <x:c r="G127" s="29" t="str">
        <x:f>IF(B127="","",IFERROR(INDEX('05_BAO_CAO_NGAY'!$E$6:$E$505,MATCH(B127,'05_BAO_CAO_NGAY'!$A$6:$A$505,0)),""))</x:f>
      </x:c>
      <x:c r="H127" s="29" t="str">
        <x:f>IF(B127="","",IFERROR(INDEX('05_BAO_CAO_NGAY'!$J$6:$J$505,MATCH(B127,'05_BAO_CAO_NGAY'!$A$6:$A$505,0)),""))</x:f>
      </x:c>
      <x:c r="I127" s="29" t="str">
        <x:f>IF(B127="","",IFERROR(INDEX('05_BAO_CAO_NGAY'!$M$6:$M$505,MATCH(B127,'05_BAO_CAO_NGAY'!$A$6:$A$505,0)),""))</x:f>
      </x:c>
      <x:c r="J127" s="21"/>
      <x:c r="K127" s="29" t="str">
        <x:f>IF(J127="","",IFERROR(INDEX(DM_LY_DO_DUNG!$C$6:$C$105,MATCH(J127,DM_LY_DO_DUNG!$A$6:$A$105,0)),""))</x:f>
      </x:c>
      <x:c r="L127" s="21"/>
      <x:c r="M127" s="21"/>
      <x:c r="N127" s="21"/>
      <x:c r="O127" s="21"/>
      <x:c r="P127" s="21"/>
      <x:c r="Q127" s="43"/>
      <x:c r="R127" s="29" t="str">
        <x:f>IF(A127="","",IF(OR(B127="",C127="",D127="",J127=""),"Thiếu dữ liệu",IF(D127&lt;C127,"Sai thời gian",IF(AND(P127="Đã đóng",Q127=""),"Thiếu thời điểm đóng","Hợp lệ"))))</x:f>
      </x:c>
    </x:row>
    <x:row r="128">
      <x:c r="A128" s="21"/>
      <x:c r="B128" s="21"/>
      <x:c r="C128" s="43"/>
      <x:c r="D128" s="43"/>
      <x:c r="E128" s="39" t="str">
        <x:f>IF(A128="","",MAX(0,(D128-C128)*1440))</x:f>
      </x:c>
      <x:c r="F128" s="29" t="str">
        <x:f>IF(B128="","",IFERROR(INDEX('05_BAO_CAO_NGAY'!$D$6:$D$505,MATCH(B128,'05_BAO_CAO_NGAY'!$A$6:$A$505,0)),""))</x:f>
      </x:c>
      <x:c r="G128" s="29" t="str">
        <x:f>IF(B128="","",IFERROR(INDEX('05_BAO_CAO_NGAY'!$E$6:$E$505,MATCH(B128,'05_BAO_CAO_NGAY'!$A$6:$A$505,0)),""))</x:f>
      </x:c>
      <x:c r="H128" s="29" t="str">
        <x:f>IF(B128="","",IFERROR(INDEX('05_BAO_CAO_NGAY'!$J$6:$J$505,MATCH(B128,'05_BAO_CAO_NGAY'!$A$6:$A$505,0)),""))</x:f>
      </x:c>
      <x:c r="I128" s="29" t="str">
        <x:f>IF(B128="","",IFERROR(INDEX('05_BAO_CAO_NGAY'!$M$6:$M$505,MATCH(B128,'05_BAO_CAO_NGAY'!$A$6:$A$505,0)),""))</x:f>
      </x:c>
      <x:c r="J128" s="21"/>
      <x:c r="K128" s="29" t="str">
        <x:f>IF(J128="","",IFERROR(INDEX(DM_LY_DO_DUNG!$C$6:$C$105,MATCH(J128,DM_LY_DO_DUNG!$A$6:$A$105,0)),""))</x:f>
      </x:c>
      <x:c r="L128" s="21"/>
      <x:c r="M128" s="21"/>
      <x:c r="N128" s="21"/>
      <x:c r="O128" s="21"/>
      <x:c r="P128" s="21"/>
      <x:c r="Q128" s="43"/>
      <x:c r="R128" s="29" t="str">
        <x:f>IF(A128="","",IF(OR(B128="",C128="",D128="",J128=""),"Thiếu dữ liệu",IF(D128&lt;C128,"Sai thời gian",IF(AND(P128="Đã đóng",Q128=""),"Thiếu thời điểm đóng","Hợp lệ"))))</x:f>
      </x:c>
    </x:row>
    <x:row r="129">
      <x:c r="A129" s="21"/>
      <x:c r="B129" s="21"/>
      <x:c r="C129" s="43"/>
      <x:c r="D129" s="43"/>
      <x:c r="E129" s="39" t="str">
        <x:f>IF(A129="","",MAX(0,(D129-C129)*1440))</x:f>
      </x:c>
      <x:c r="F129" s="29" t="str">
        <x:f>IF(B129="","",IFERROR(INDEX('05_BAO_CAO_NGAY'!$D$6:$D$505,MATCH(B129,'05_BAO_CAO_NGAY'!$A$6:$A$505,0)),""))</x:f>
      </x:c>
      <x:c r="G129" s="29" t="str">
        <x:f>IF(B129="","",IFERROR(INDEX('05_BAO_CAO_NGAY'!$E$6:$E$505,MATCH(B129,'05_BAO_CAO_NGAY'!$A$6:$A$505,0)),""))</x:f>
      </x:c>
      <x:c r="H129" s="29" t="str">
        <x:f>IF(B129="","",IFERROR(INDEX('05_BAO_CAO_NGAY'!$J$6:$J$505,MATCH(B129,'05_BAO_CAO_NGAY'!$A$6:$A$505,0)),""))</x:f>
      </x:c>
      <x:c r="I129" s="29" t="str">
        <x:f>IF(B129="","",IFERROR(INDEX('05_BAO_CAO_NGAY'!$M$6:$M$505,MATCH(B129,'05_BAO_CAO_NGAY'!$A$6:$A$505,0)),""))</x:f>
      </x:c>
      <x:c r="J129" s="21"/>
      <x:c r="K129" s="29" t="str">
        <x:f>IF(J129="","",IFERROR(INDEX(DM_LY_DO_DUNG!$C$6:$C$105,MATCH(J129,DM_LY_DO_DUNG!$A$6:$A$105,0)),""))</x:f>
      </x:c>
      <x:c r="L129" s="21"/>
      <x:c r="M129" s="21"/>
      <x:c r="N129" s="21"/>
      <x:c r="O129" s="21"/>
      <x:c r="P129" s="21"/>
      <x:c r="Q129" s="43"/>
      <x:c r="R129" s="29" t="str">
        <x:f>IF(A129="","",IF(OR(B129="",C129="",D129="",J129=""),"Thiếu dữ liệu",IF(D129&lt;C129,"Sai thời gian",IF(AND(P129="Đã đóng",Q129=""),"Thiếu thời điểm đóng","Hợp lệ"))))</x:f>
      </x:c>
    </x:row>
    <x:row r="130">
      <x:c r="A130" s="21"/>
      <x:c r="B130" s="21"/>
      <x:c r="C130" s="43"/>
      <x:c r="D130" s="43"/>
      <x:c r="E130" s="39" t="str">
        <x:f>IF(A130="","",MAX(0,(D130-C130)*1440))</x:f>
      </x:c>
      <x:c r="F130" s="29" t="str">
        <x:f>IF(B130="","",IFERROR(INDEX('05_BAO_CAO_NGAY'!$D$6:$D$505,MATCH(B130,'05_BAO_CAO_NGAY'!$A$6:$A$505,0)),""))</x:f>
      </x:c>
      <x:c r="G130" s="29" t="str">
        <x:f>IF(B130="","",IFERROR(INDEX('05_BAO_CAO_NGAY'!$E$6:$E$505,MATCH(B130,'05_BAO_CAO_NGAY'!$A$6:$A$505,0)),""))</x:f>
      </x:c>
      <x:c r="H130" s="29" t="str">
        <x:f>IF(B130="","",IFERROR(INDEX('05_BAO_CAO_NGAY'!$J$6:$J$505,MATCH(B130,'05_BAO_CAO_NGAY'!$A$6:$A$505,0)),""))</x:f>
      </x:c>
      <x:c r="I130" s="29" t="str">
        <x:f>IF(B130="","",IFERROR(INDEX('05_BAO_CAO_NGAY'!$M$6:$M$505,MATCH(B130,'05_BAO_CAO_NGAY'!$A$6:$A$505,0)),""))</x:f>
      </x:c>
      <x:c r="J130" s="21"/>
      <x:c r="K130" s="29" t="str">
        <x:f>IF(J130="","",IFERROR(INDEX(DM_LY_DO_DUNG!$C$6:$C$105,MATCH(J130,DM_LY_DO_DUNG!$A$6:$A$105,0)),""))</x:f>
      </x:c>
      <x:c r="L130" s="21"/>
      <x:c r="M130" s="21"/>
      <x:c r="N130" s="21"/>
      <x:c r="O130" s="21"/>
      <x:c r="P130" s="21"/>
      <x:c r="Q130" s="43"/>
      <x:c r="R130" s="29" t="str">
        <x:f>IF(A130="","",IF(OR(B130="",C130="",D130="",J130=""),"Thiếu dữ liệu",IF(D130&lt;C130,"Sai thời gian",IF(AND(P130="Đã đóng",Q130=""),"Thiếu thời điểm đóng","Hợp lệ"))))</x:f>
      </x:c>
    </x:row>
    <x:row r="131">
      <x:c r="A131" s="21"/>
      <x:c r="B131" s="21"/>
      <x:c r="C131" s="43"/>
      <x:c r="D131" s="43"/>
      <x:c r="E131" s="39" t="str">
        <x:f>IF(A131="","",MAX(0,(D131-C131)*1440))</x:f>
      </x:c>
      <x:c r="F131" s="29" t="str">
        <x:f>IF(B131="","",IFERROR(INDEX('05_BAO_CAO_NGAY'!$D$6:$D$505,MATCH(B131,'05_BAO_CAO_NGAY'!$A$6:$A$505,0)),""))</x:f>
      </x:c>
      <x:c r="G131" s="29" t="str">
        <x:f>IF(B131="","",IFERROR(INDEX('05_BAO_CAO_NGAY'!$E$6:$E$505,MATCH(B131,'05_BAO_CAO_NGAY'!$A$6:$A$505,0)),""))</x:f>
      </x:c>
      <x:c r="H131" s="29" t="str">
        <x:f>IF(B131="","",IFERROR(INDEX('05_BAO_CAO_NGAY'!$J$6:$J$505,MATCH(B131,'05_BAO_CAO_NGAY'!$A$6:$A$505,0)),""))</x:f>
      </x:c>
      <x:c r="I131" s="29" t="str">
        <x:f>IF(B131="","",IFERROR(INDEX('05_BAO_CAO_NGAY'!$M$6:$M$505,MATCH(B131,'05_BAO_CAO_NGAY'!$A$6:$A$505,0)),""))</x:f>
      </x:c>
      <x:c r="J131" s="21"/>
      <x:c r="K131" s="29" t="str">
        <x:f>IF(J131="","",IFERROR(INDEX(DM_LY_DO_DUNG!$C$6:$C$105,MATCH(J131,DM_LY_DO_DUNG!$A$6:$A$105,0)),""))</x:f>
      </x:c>
      <x:c r="L131" s="21"/>
      <x:c r="M131" s="21"/>
      <x:c r="N131" s="21"/>
      <x:c r="O131" s="21"/>
      <x:c r="P131" s="21"/>
      <x:c r="Q131" s="43"/>
      <x:c r="R131" s="29" t="str">
        <x:f>IF(A131="","",IF(OR(B131="",C131="",D131="",J131=""),"Thiếu dữ liệu",IF(D131&lt;C131,"Sai thời gian",IF(AND(P131="Đã đóng",Q131=""),"Thiếu thời điểm đóng","Hợp lệ"))))</x:f>
      </x:c>
    </x:row>
    <x:row r="132">
      <x:c r="A132" s="21"/>
      <x:c r="B132" s="21"/>
      <x:c r="C132" s="43"/>
      <x:c r="D132" s="43"/>
      <x:c r="E132" s="39" t="str">
        <x:f>IF(A132="","",MAX(0,(D132-C132)*1440))</x:f>
      </x:c>
      <x:c r="F132" s="29" t="str">
        <x:f>IF(B132="","",IFERROR(INDEX('05_BAO_CAO_NGAY'!$D$6:$D$505,MATCH(B132,'05_BAO_CAO_NGAY'!$A$6:$A$505,0)),""))</x:f>
      </x:c>
      <x:c r="G132" s="29" t="str">
        <x:f>IF(B132="","",IFERROR(INDEX('05_BAO_CAO_NGAY'!$E$6:$E$505,MATCH(B132,'05_BAO_CAO_NGAY'!$A$6:$A$505,0)),""))</x:f>
      </x:c>
      <x:c r="H132" s="29" t="str">
        <x:f>IF(B132="","",IFERROR(INDEX('05_BAO_CAO_NGAY'!$J$6:$J$505,MATCH(B132,'05_BAO_CAO_NGAY'!$A$6:$A$505,0)),""))</x:f>
      </x:c>
      <x:c r="I132" s="29" t="str">
        <x:f>IF(B132="","",IFERROR(INDEX('05_BAO_CAO_NGAY'!$M$6:$M$505,MATCH(B132,'05_BAO_CAO_NGAY'!$A$6:$A$505,0)),""))</x:f>
      </x:c>
      <x:c r="J132" s="21"/>
      <x:c r="K132" s="29" t="str">
        <x:f>IF(J132="","",IFERROR(INDEX(DM_LY_DO_DUNG!$C$6:$C$105,MATCH(J132,DM_LY_DO_DUNG!$A$6:$A$105,0)),""))</x:f>
      </x:c>
      <x:c r="L132" s="21"/>
      <x:c r="M132" s="21"/>
      <x:c r="N132" s="21"/>
      <x:c r="O132" s="21"/>
      <x:c r="P132" s="21"/>
      <x:c r="Q132" s="43"/>
      <x:c r="R132" s="29" t="str">
        <x:f>IF(A132="","",IF(OR(B132="",C132="",D132="",J132=""),"Thiếu dữ liệu",IF(D132&lt;C132,"Sai thời gian",IF(AND(P132="Đã đóng",Q132=""),"Thiếu thời điểm đóng","Hợp lệ"))))</x:f>
      </x:c>
    </x:row>
    <x:row r="133">
      <x:c r="A133" s="21"/>
      <x:c r="B133" s="21"/>
      <x:c r="C133" s="43"/>
      <x:c r="D133" s="43"/>
      <x:c r="E133" s="39" t="str">
        <x:f>IF(A133="","",MAX(0,(D133-C133)*1440))</x:f>
      </x:c>
      <x:c r="F133" s="29" t="str">
        <x:f>IF(B133="","",IFERROR(INDEX('05_BAO_CAO_NGAY'!$D$6:$D$505,MATCH(B133,'05_BAO_CAO_NGAY'!$A$6:$A$505,0)),""))</x:f>
      </x:c>
      <x:c r="G133" s="29" t="str">
        <x:f>IF(B133="","",IFERROR(INDEX('05_BAO_CAO_NGAY'!$E$6:$E$505,MATCH(B133,'05_BAO_CAO_NGAY'!$A$6:$A$505,0)),""))</x:f>
      </x:c>
      <x:c r="H133" s="29" t="str">
        <x:f>IF(B133="","",IFERROR(INDEX('05_BAO_CAO_NGAY'!$J$6:$J$505,MATCH(B133,'05_BAO_CAO_NGAY'!$A$6:$A$505,0)),""))</x:f>
      </x:c>
      <x:c r="I133" s="29" t="str">
        <x:f>IF(B133="","",IFERROR(INDEX('05_BAO_CAO_NGAY'!$M$6:$M$505,MATCH(B133,'05_BAO_CAO_NGAY'!$A$6:$A$505,0)),""))</x:f>
      </x:c>
      <x:c r="J133" s="21"/>
      <x:c r="K133" s="29" t="str">
        <x:f>IF(J133="","",IFERROR(INDEX(DM_LY_DO_DUNG!$C$6:$C$105,MATCH(J133,DM_LY_DO_DUNG!$A$6:$A$105,0)),""))</x:f>
      </x:c>
      <x:c r="L133" s="21"/>
      <x:c r="M133" s="21"/>
      <x:c r="N133" s="21"/>
      <x:c r="O133" s="21"/>
      <x:c r="P133" s="21"/>
      <x:c r="Q133" s="43"/>
      <x:c r="R133" s="29" t="str">
        <x:f>IF(A133="","",IF(OR(B133="",C133="",D133="",J133=""),"Thiếu dữ liệu",IF(D133&lt;C133,"Sai thời gian",IF(AND(P133="Đã đóng",Q133=""),"Thiếu thời điểm đóng","Hợp lệ"))))</x:f>
      </x:c>
    </x:row>
    <x:row r="134">
      <x:c r="A134" s="21"/>
      <x:c r="B134" s="21"/>
      <x:c r="C134" s="43"/>
      <x:c r="D134" s="43"/>
      <x:c r="E134" s="39" t="str">
        <x:f>IF(A134="","",MAX(0,(D134-C134)*1440))</x:f>
      </x:c>
      <x:c r="F134" s="29" t="str">
        <x:f>IF(B134="","",IFERROR(INDEX('05_BAO_CAO_NGAY'!$D$6:$D$505,MATCH(B134,'05_BAO_CAO_NGAY'!$A$6:$A$505,0)),""))</x:f>
      </x:c>
      <x:c r="G134" s="29" t="str">
        <x:f>IF(B134="","",IFERROR(INDEX('05_BAO_CAO_NGAY'!$E$6:$E$505,MATCH(B134,'05_BAO_CAO_NGAY'!$A$6:$A$505,0)),""))</x:f>
      </x:c>
      <x:c r="H134" s="29" t="str">
        <x:f>IF(B134="","",IFERROR(INDEX('05_BAO_CAO_NGAY'!$J$6:$J$505,MATCH(B134,'05_BAO_CAO_NGAY'!$A$6:$A$505,0)),""))</x:f>
      </x:c>
      <x:c r="I134" s="29" t="str">
        <x:f>IF(B134="","",IFERROR(INDEX('05_BAO_CAO_NGAY'!$M$6:$M$505,MATCH(B134,'05_BAO_CAO_NGAY'!$A$6:$A$505,0)),""))</x:f>
      </x:c>
      <x:c r="J134" s="21"/>
      <x:c r="K134" s="29" t="str">
        <x:f>IF(J134="","",IFERROR(INDEX(DM_LY_DO_DUNG!$C$6:$C$105,MATCH(J134,DM_LY_DO_DUNG!$A$6:$A$105,0)),""))</x:f>
      </x:c>
      <x:c r="L134" s="21"/>
      <x:c r="M134" s="21"/>
      <x:c r="N134" s="21"/>
      <x:c r="O134" s="21"/>
      <x:c r="P134" s="21"/>
      <x:c r="Q134" s="43"/>
      <x:c r="R134" s="29" t="str">
        <x:f>IF(A134="","",IF(OR(B134="",C134="",D134="",J134=""),"Thiếu dữ liệu",IF(D134&lt;C134,"Sai thời gian",IF(AND(P134="Đã đóng",Q134=""),"Thiếu thời điểm đóng","Hợp lệ"))))</x:f>
      </x:c>
    </x:row>
    <x:row r="135">
      <x:c r="A135" s="21"/>
      <x:c r="B135" s="21"/>
      <x:c r="C135" s="43"/>
      <x:c r="D135" s="43"/>
      <x:c r="E135" s="39" t="str">
        <x:f>IF(A135="","",MAX(0,(D135-C135)*1440))</x:f>
      </x:c>
      <x:c r="F135" s="29" t="str">
        <x:f>IF(B135="","",IFERROR(INDEX('05_BAO_CAO_NGAY'!$D$6:$D$505,MATCH(B135,'05_BAO_CAO_NGAY'!$A$6:$A$505,0)),""))</x:f>
      </x:c>
      <x:c r="G135" s="29" t="str">
        <x:f>IF(B135="","",IFERROR(INDEX('05_BAO_CAO_NGAY'!$E$6:$E$505,MATCH(B135,'05_BAO_CAO_NGAY'!$A$6:$A$505,0)),""))</x:f>
      </x:c>
      <x:c r="H135" s="29" t="str">
        <x:f>IF(B135="","",IFERROR(INDEX('05_BAO_CAO_NGAY'!$J$6:$J$505,MATCH(B135,'05_BAO_CAO_NGAY'!$A$6:$A$505,0)),""))</x:f>
      </x:c>
      <x:c r="I135" s="29" t="str">
        <x:f>IF(B135="","",IFERROR(INDEX('05_BAO_CAO_NGAY'!$M$6:$M$505,MATCH(B135,'05_BAO_CAO_NGAY'!$A$6:$A$505,0)),""))</x:f>
      </x:c>
      <x:c r="J135" s="21"/>
      <x:c r="K135" s="29" t="str">
        <x:f>IF(J135="","",IFERROR(INDEX(DM_LY_DO_DUNG!$C$6:$C$105,MATCH(J135,DM_LY_DO_DUNG!$A$6:$A$105,0)),""))</x:f>
      </x:c>
      <x:c r="L135" s="21"/>
      <x:c r="M135" s="21"/>
      <x:c r="N135" s="21"/>
      <x:c r="O135" s="21"/>
      <x:c r="P135" s="21"/>
      <x:c r="Q135" s="43"/>
      <x:c r="R135" s="29" t="str">
        <x:f>IF(A135="","",IF(OR(B135="",C135="",D135="",J135=""),"Thiếu dữ liệu",IF(D135&lt;C135,"Sai thời gian",IF(AND(P135="Đã đóng",Q135=""),"Thiếu thời điểm đóng","Hợp lệ"))))</x:f>
      </x:c>
    </x:row>
    <x:row r="136">
      <x:c r="A136" s="21"/>
      <x:c r="B136" s="21"/>
      <x:c r="C136" s="43"/>
      <x:c r="D136" s="43"/>
      <x:c r="E136" s="39" t="str">
        <x:f>IF(A136="","",MAX(0,(D136-C136)*1440))</x:f>
      </x:c>
      <x:c r="F136" s="29" t="str">
        <x:f>IF(B136="","",IFERROR(INDEX('05_BAO_CAO_NGAY'!$D$6:$D$505,MATCH(B136,'05_BAO_CAO_NGAY'!$A$6:$A$505,0)),""))</x:f>
      </x:c>
      <x:c r="G136" s="29" t="str">
        <x:f>IF(B136="","",IFERROR(INDEX('05_BAO_CAO_NGAY'!$E$6:$E$505,MATCH(B136,'05_BAO_CAO_NGAY'!$A$6:$A$505,0)),""))</x:f>
      </x:c>
      <x:c r="H136" s="29" t="str">
        <x:f>IF(B136="","",IFERROR(INDEX('05_BAO_CAO_NGAY'!$J$6:$J$505,MATCH(B136,'05_BAO_CAO_NGAY'!$A$6:$A$505,0)),""))</x:f>
      </x:c>
      <x:c r="I136" s="29" t="str">
        <x:f>IF(B136="","",IFERROR(INDEX('05_BAO_CAO_NGAY'!$M$6:$M$505,MATCH(B136,'05_BAO_CAO_NGAY'!$A$6:$A$505,0)),""))</x:f>
      </x:c>
      <x:c r="J136" s="21"/>
      <x:c r="K136" s="29" t="str">
        <x:f>IF(J136="","",IFERROR(INDEX(DM_LY_DO_DUNG!$C$6:$C$105,MATCH(J136,DM_LY_DO_DUNG!$A$6:$A$105,0)),""))</x:f>
      </x:c>
      <x:c r="L136" s="21"/>
      <x:c r="M136" s="21"/>
      <x:c r="N136" s="21"/>
      <x:c r="O136" s="21"/>
      <x:c r="P136" s="21"/>
      <x:c r="Q136" s="43"/>
      <x:c r="R136" s="29" t="str">
        <x:f>IF(A136="","",IF(OR(B136="",C136="",D136="",J136=""),"Thiếu dữ liệu",IF(D136&lt;C136,"Sai thời gian",IF(AND(P136="Đã đóng",Q136=""),"Thiếu thời điểm đóng","Hợp lệ"))))</x:f>
      </x:c>
    </x:row>
    <x:row r="137">
      <x:c r="A137" s="21"/>
      <x:c r="B137" s="21"/>
      <x:c r="C137" s="43"/>
      <x:c r="D137" s="43"/>
      <x:c r="E137" s="39" t="str">
        <x:f>IF(A137="","",MAX(0,(D137-C137)*1440))</x:f>
      </x:c>
      <x:c r="F137" s="29" t="str">
        <x:f>IF(B137="","",IFERROR(INDEX('05_BAO_CAO_NGAY'!$D$6:$D$505,MATCH(B137,'05_BAO_CAO_NGAY'!$A$6:$A$505,0)),""))</x:f>
      </x:c>
      <x:c r="G137" s="29" t="str">
        <x:f>IF(B137="","",IFERROR(INDEX('05_BAO_CAO_NGAY'!$E$6:$E$505,MATCH(B137,'05_BAO_CAO_NGAY'!$A$6:$A$505,0)),""))</x:f>
      </x:c>
      <x:c r="H137" s="29" t="str">
        <x:f>IF(B137="","",IFERROR(INDEX('05_BAO_CAO_NGAY'!$J$6:$J$505,MATCH(B137,'05_BAO_CAO_NGAY'!$A$6:$A$505,0)),""))</x:f>
      </x:c>
      <x:c r="I137" s="29" t="str">
        <x:f>IF(B137="","",IFERROR(INDEX('05_BAO_CAO_NGAY'!$M$6:$M$505,MATCH(B137,'05_BAO_CAO_NGAY'!$A$6:$A$505,0)),""))</x:f>
      </x:c>
      <x:c r="J137" s="21"/>
      <x:c r="K137" s="29" t="str">
        <x:f>IF(J137="","",IFERROR(INDEX(DM_LY_DO_DUNG!$C$6:$C$105,MATCH(J137,DM_LY_DO_DUNG!$A$6:$A$105,0)),""))</x:f>
      </x:c>
      <x:c r="L137" s="21"/>
      <x:c r="M137" s="21"/>
      <x:c r="N137" s="21"/>
      <x:c r="O137" s="21"/>
      <x:c r="P137" s="21"/>
      <x:c r="Q137" s="43"/>
      <x:c r="R137" s="29" t="str">
        <x:f>IF(A137="","",IF(OR(B137="",C137="",D137="",J137=""),"Thiếu dữ liệu",IF(D137&lt;C137,"Sai thời gian",IF(AND(P137="Đã đóng",Q137=""),"Thiếu thời điểm đóng","Hợp lệ"))))</x:f>
      </x:c>
    </x:row>
    <x:row r="138">
      <x:c r="A138" s="21"/>
      <x:c r="B138" s="21"/>
      <x:c r="C138" s="43"/>
      <x:c r="D138" s="43"/>
      <x:c r="E138" s="39" t="str">
        <x:f>IF(A138="","",MAX(0,(D138-C138)*1440))</x:f>
      </x:c>
      <x:c r="F138" s="29" t="str">
        <x:f>IF(B138="","",IFERROR(INDEX('05_BAO_CAO_NGAY'!$D$6:$D$505,MATCH(B138,'05_BAO_CAO_NGAY'!$A$6:$A$505,0)),""))</x:f>
      </x:c>
      <x:c r="G138" s="29" t="str">
        <x:f>IF(B138="","",IFERROR(INDEX('05_BAO_CAO_NGAY'!$E$6:$E$505,MATCH(B138,'05_BAO_CAO_NGAY'!$A$6:$A$505,0)),""))</x:f>
      </x:c>
      <x:c r="H138" s="29" t="str">
        <x:f>IF(B138="","",IFERROR(INDEX('05_BAO_CAO_NGAY'!$J$6:$J$505,MATCH(B138,'05_BAO_CAO_NGAY'!$A$6:$A$505,0)),""))</x:f>
      </x:c>
      <x:c r="I138" s="29" t="str">
        <x:f>IF(B138="","",IFERROR(INDEX('05_BAO_CAO_NGAY'!$M$6:$M$505,MATCH(B138,'05_BAO_CAO_NGAY'!$A$6:$A$505,0)),""))</x:f>
      </x:c>
      <x:c r="J138" s="21"/>
      <x:c r="K138" s="29" t="str">
        <x:f>IF(J138="","",IFERROR(INDEX(DM_LY_DO_DUNG!$C$6:$C$105,MATCH(J138,DM_LY_DO_DUNG!$A$6:$A$105,0)),""))</x:f>
      </x:c>
      <x:c r="L138" s="21"/>
      <x:c r="M138" s="21"/>
      <x:c r="N138" s="21"/>
      <x:c r="O138" s="21"/>
      <x:c r="P138" s="21"/>
      <x:c r="Q138" s="43"/>
      <x:c r="R138" s="29" t="str">
        <x:f>IF(A138="","",IF(OR(B138="",C138="",D138="",J138=""),"Thiếu dữ liệu",IF(D138&lt;C138,"Sai thời gian",IF(AND(P138="Đã đóng",Q138=""),"Thiếu thời điểm đóng","Hợp lệ"))))</x:f>
      </x:c>
    </x:row>
    <x:row r="139">
      <x:c r="A139" s="21"/>
      <x:c r="B139" s="21"/>
      <x:c r="C139" s="43"/>
      <x:c r="D139" s="43"/>
      <x:c r="E139" s="39" t="str">
        <x:f>IF(A139="","",MAX(0,(D139-C139)*1440))</x:f>
      </x:c>
      <x:c r="F139" s="29" t="str">
        <x:f>IF(B139="","",IFERROR(INDEX('05_BAO_CAO_NGAY'!$D$6:$D$505,MATCH(B139,'05_BAO_CAO_NGAY'!$A$6:$A$505,0)),""))</x:f>
      </x:c>
      <x:c r="G139" s="29" t="str">
        <x:f>IF(B139="","",IFERROR(INDEX('05_BAO_CAO_NGAY'!$E$6:$E$505,MATCH(B139,'05_BAO_CAO_NGAY'!$A$6:$A$505,0)),""))</x:f>
      </x:c>
      <x:c r="H139" s="29" t="str">
        <x:f>IF(B139="","",IFERROR(INDEX('05_BAO_CAO_NGAY'!$J$6:$J$505,MATCH(B139,'05_BAO_CAO_NGAY'!$A$6:$A$505,0)),""))</x:f>
      </x:c>
      <x:c r="I139" s="29" t="str">
        <x:f>IF(B139="","",IFERROR(INDEX('05_BAO_CAO_NGAY'!$M$6:$M$505,MATCH(B139,'05_BAO_CAO_NGAY'!$A$6:$A$505,0)),""))</x:f>
      </x:c>
      <x:c r="J139" s="21"/>
      <x:c r="K139" s="29" t="str">
        <x:f>IF(J139="","",IFERROR(INDEX(DM_LY_DO_DUNG!$C$6:$C$105,MATCH(J139,DM_LY_DO_DUNG!$A$6:$A$105,0)),""))</x:f>
      </x:c>
      <x:c r="L139" s="21"/>
      <x:c r="M139" s="21"/>
      <x:c r="N139" s="21"/>
      <x:c r="O139" s="21"/>
      <x:c r="P139" s="21"/>
      <x:c r="Q139" s="43"/>
      <x:c r="R139" s="29" t="str">
        <x:f>IF(A139="","",IF(OR(B139="",C139="",D139="",J139=""),"Thiếu dữ liệu",IF(D139&lt;C139,"Sai thời gian",IF(AND(P139="Đã đóng",Q139=""),"Thiếu thời điểm đóng","Hợp lệ"))))</x:f>
      </x:c>
    </x:row>
    <x:row r="140">
      <x:c r="A140" s="21"/>
      <x:c r="B140" s="21"/>
      <x:c r="C140" s="43"/>
      <x:c r="D140" s="43"/>
      <x:c r="E140" s="39" t="str">
        <x:f>IF(A140="","",MAX(0,(D140-C140)*1440))</x:f>
      </x:c>
      <x:c r="F140" s="29" t="str">
        <x:f>IF(B140="","",IFERROR(INDEX('05_BAO_CAO_NGAY'!$D$6:$D$505,MATCH(B140,'05_BAO_CAO_NGAY'!$A$6:$A$505,0)),""))</x:f>
      </x:c>
      <x:c r="G140" s="29" t="str">
        <x:f>IF(B140="","",IFERROR(INDEX('05_BAO_CAO_NGAY'!$E$6:$E$505,MATCH(B140,'05_BAO_CAO_NGAY'!$A$6:$A$505,0)),""))</x:f>
      </x:c>
      <x:c r="H140" s="29" t="str">
        <x:f>IF(B140="","",IFERROR(INDEX('05_BAO_CAO_NGAY'!$J$6:$J$505,MATCH(B140,'05_BAO_CAO_NGAY'!$A$6:$A$505,0)),""))</x:f>
      </x:c>
      <x:c r="I140" s="29" t="str">
        <x:f>IF(B140="","",IFERROR(INDEX('05_BAO_CAO_NGAY'!$M$6:$M$505,MATCH(B140,'05_BAO_CAO_NGAY'!$A$6:$A$505,0)),""))</x:f>
      </x:c>
      <x:c r="J140" s="21"/>
      <x:c r="K140" s="29" t="str">
        <x:f>IF(J140="","",IFERROR(INDEX(DM_LY_DO_DUNG!$C$6:$C$105,MATCH(J140,DM_LY_DO_DUNG!$A$6:$A$105,0)),""))</x:f>
      </x:c>
      <x:c r="L140" s="21"/>
      <x:c r="M140" s="21"/>
      <x:c r="N140" s="21"/>
      <x:c r="O140" s="21"/>
      <x:c r="P140" s="21"/>
      <x:c r="Q140" s="43"/>
      <x:c r="R140" s="29" t="str">
        <x:f>IF(A140="","",IF(OR(B140="",C140="",D140="",J140=""),"Thiếu dữ liệu",IF(D140&lt;C140,"Sai thời gian",IF(AND(P140="Đã đóng",Q140=""),"Thiếu thời điểm đóng","Hợp lệ"))))</x:f>
      </x:c>
    </x:row>
    <x:row r="141">
      <x:c r="A141" s="21"/>
      <x:c r="B141" s="21"/>
      <x:c r="C141" s="43"/>
      <x:c r="D141" s="43"/>
      <x:c r="E141" s="39" t="str">
        <x:f>IF(A141="","",MAX(0,(D141-C141)*1440))</x:f>
      </x:c>
      <x:c r="F141" s="29" t="str">
        <x:f>IF(B141="","",IFERROR(INDEX('05_BAO_CAO_NGAY'!$D$6:$D$505,MATCH(B141,'05_BAO_CAO_NGAY'!$A$6:$A$505,0)),""))</x:f>
      </x:c>
      <x:c r="G141" s="29" t="str">
        <x:f>IF(B141="","",IFERROR(INDEX('05_BAO_CAO_NGAY'!$E$6:$E$505,MATCH(B141,'05_BAO_CAO_NGAY'!$A$6:$A$505,0)),""))</x:f>
      </x:c>
      <x:c r="H141" s="29" t="str">
        <x:f>IF(B141="","",IFERROR(INDEX('05_BAO_CAO_NGAY'!$J$6:$J$505,MATCH(B141,'05_BAO_CAO_NGAY'!$A$6:$A$505,0)),""))</x:f>
      </x:c>
      <x:c r="I141" s="29" t="str">
        <x:f>IF(B141="","",IFERROR(INDEX('05_BAO_CAO_NGAY'!$M$6:$M$505,MATCH(B141,'05_BAO_CAO_NGAY'!$A$6:$A$505,0)),""))</x:f>
      </x:c>
      <x:c r="J141" s="21"/>
      <x:c r="K141" s="29" t="str">
        <x:f>IF(J141="","",IFERROR(INDEX(DM_LY_DO_DUNG!$C$6:$C$105,MATCH(J141,DM_LY_DO_DUNG!$A$6:$A$105,0)),""))</x:f>
      </x:c>
      <x:c r="L141" s="21"/>
      <x:c r="M141" s="21"/>
      <x:c r="N141" s="21"/>
      <x:c r="O141" s="21"/>
      <x:c r="P141" s="21"/>
      <x:c r="Q141" s="43"/>
      <x:c r="R141" s="29" t="str">
        <x:f>IF(A141="","",IF(OR(B141="",C141="",D141="",J141=""),"Thiếu dữ liệu",IF(D141&lt;C141,"Sai thời gian",IF(AND(P141="Đã đóng",Q141=""),"Thiếu thời điểm đóng","Hợp lệ"))))</x:f>
      </x:c>
    </x:row>
    <x:row r="142">
      <x:c r="A142" s="21"/>
      <x:c r="B142" s="21"/>
      <x:c r="C142" s="43"/>
      <x:c r="D142" s="43"/>
      <x:c r="E142" s="39" t="str">
        <x:f>IF(A142="","",MAX(0,(D142-C142)*1440))</x:f>
      </x:c>
      <x:c r="F142" s="29" t="str">
        <x:f>IF(B142="","",IFERROR(INDEX('05_BAO_CAO_NGAY'!$D$6:$D$505,MATCH(B142,'05_BAO_CAO_NGAY'!$A$6:$A$505,0)),""))</x:f>
      </x:c>
      <x:c r="G142" s="29" t="str">
        <x:f>IF(B142="","",IFERROR(INDEX('05_BAO_CAO_NGAY'!$E$6:$E$505,MATCH(B142,'05_BAO_CAO_NGAY'!$A$6:$A$505,0)),""))</x:f>
      </x:c>
      <x:c r="H142" s="29" t="str">
        <x:f>IF(B142="","",IFERROR(INDEX('05_BAO_CAO_NGAY'!$J$6:$J$505,MATCH(B142,'05_BAO_CAO_NGAY'!$A$6:$A$505,0)),""))</x:f>
      </x:c>
      <x:c r="I142" s="29" t="str">
        <x:f>IF(B142="","",IFERROR(INDEX('05_BAO_CAO_NGAY'!$M$6:$M$505,MATCH(B142,'05_BAO_CAO_NGAY'!$A$6:$A$505,0)),""))</x:f>
      </x:c>
      <x:c r="J142" s="21"/>
      <x:c r="K142" s="29" t="str">
        <x:f>IF(J142="","",IFERROR(INDEX(DM_LY_DO_DUNG!$C$6:$C$105,MATCH(J142,DM_LY_DO_DUNG!$A$6:$A$105,0)),""))</x:f>
      </x:c>
      <x:c r="L142" s="21"/>
      <x:c r="M142" s="21"/>
      <x:c r="N142" s="21"/>
      <x:c r="O142" s="21"/>
      <x:c r="P142" s="21"/>
      <x:c r="Q142" s="43"/>
      <x:c r="R142" s="29" t="str">
        <x:f>IF(A142="","",IF(OR(B142="",C142="",D142="",J142=""),"Thiếu dữ liệu",IF(D142&lt;C142,"Sai thời gian",IF(AND(P142="Đã đóng",Q142=""),"Thiếu thời điểm đóng","Hợp lệ"))))</x:f>
      </x:c>
    </x:row>
    <x:row r="143">
      <x:c r="A143" s="21"/>
      <x:c r="B143" s="21"/>
      <x:c r="C143" s="43"/>
      <x:c r="D143" s="43"/>
      <x:c r="E143" s="39" t="str">
        <x:f>IF(A143="","",MAX(0,(D143-C143)*1440))</x:f>
      </x:c>
      <x:c r="F143" s="29" t="str">
        <x:f>IF(B143="","",IFERROR(INDEX('05_BAO_CAO_NGAY'!$D$6:$D$505,MATCH(B143,'05_BAO_CAO_NGAY'!$A$6:$A$505,0)),""))</x:f>
      </x:c>
      <x:c r="G143" s="29" t="str">
        <x:f>IF(B143="","",IFERROR(INDEX('05_BAO_CAO_NGAY'!$E$6:$E$505,MATCH(B143,'05_BAO_CAO_NGAY'!$A$6:$A$505,0)),""))</x:f>
      </x:c>
      <x:c r="H143" s="29" t="str">
        <x:f>IF(B143="","",IFERROR(INDEX('05_BAO_CAO_NGAY'!$J$6:$J$505,MATCH(B143,'05_BAO_CAO_NGAY'!$A$6:$A$505,0)),""))</x:f>
      </x:c>
      <x:c r="I143" s="29" t="str">
        <x:f>IF(B143="","",IFERROR(INDEX('05_BAO_CAO_NGAY'!$M$6:$M$505,MATCH(B143,'05_BAO_CAO_NGAY'!$A$6:$A$505,0)),""))</x:f>
      </x:c>
      <x:c r="J143" s="21"/>
      <x:c r="K143" s="29" t="str">
        <x:f>IF(J143="","",IFERROR(INDEX(DM_LY_DO_DUNG!$C$6:$C$105,MATCH(J143,DM_LY_DO_DUNG!$A$6:$A$105,0)),""))</x:f>
      </x:c>
      <x:c r="L143" s="21"/>
      <x:c r="M143" s="21"/>
      <x:c r="N143" s="21"/>
      <x:c r="O143" s="21"/>
      <x:c r="P143" s="21"/>
      <x:c r="Q143" s="43"/>
      <x:c r="R143" s="29" t="str">
        <x:f>IF(A143="","",IF(OR(B143="",C143="",D143="",J143=""),"Thiếu dữ liệu",IF(D143&lt;C143,"Sai thời gian",IF(AND(P143="Đã đóng",Q143=""),"Thiếu thời điểm đóng","Hợp lệ"))))</x:f>
      </x:c>
    </x:row>
    <x:row r="144">
      <x:c r="A144" s="21"/>
      <x:c r="B144" s="21"/>
      <x:c r="C144" s="43"/>
      <x:c r="D144" s="43"/>
      <x:c r="E144" s="39" t="str">
        <x:f>IF(A144="","",MAX(0,(D144-C144)*1440))</x:f>
      </x:c>
      <x:c r="F144" s="29" t="str">
        <x:f>IF(B144="","",IFERROR(INDEX('05_BAO_CAO_NGAY'!$D$6:$D$505,MATCH(B144,'05_BAO_CAO_NGAY'!$A$6:$A$505,0)),""))</x:f>
      </x:c>
      <x:c r="G144" s="29" t="str">
        <x:f>IF(B144="","",IFERROR(INDEX('05_BAO_CAO_NGAY'!$E$6:$E$505,MATCH(B144,'05_BAO_CAO_NGAY'!$A$6:$A$505,0)),""))</x:f>
      </x:c>
      <x:c r="H144" s="29" t="str">
        <x:f>IF(B144="","",IFERROR(INDEX('05_BAO_CAO_NGAY'!$J$6:$J$505,MATCH(B144,'05_BAO_CAO_NGAY'!$A$6:$A$505,0)),""))</x:f>
      </x:c>
      <x:c r="I144" s="29" t="str">
        <x:f>IF(B144="","",IFERROR(INDEX('05_BAO_CAO_NGAY'!$M$6:$M$505,MATCH(B144,'05_BAO_CAO_NGAY'!$A$6:$A$505,0)),""))</x:f>
      </x:c>
      <x:c r="J144" s="21"/>
      <x:c r="K144" s="29" t="str">
        <x:f>IF(J144="","",IFERROR(INDEX(DM_LY_DO_DUNG!$C$6:$C$105,MATCH(J144,DM_LY_DO_DUNG!$A$6:$A$105,0)),""))</x:f>
      </x:c>
      <x:c r="L144" s="21"/>
      <x:c r="M144" s="21"/>
      <x:c r="N144" s="21"/>
      <x:c r="O144" s="21"/>
      <x:c r="P144" s="21"/>
      <x:c r="Q144" s="43"/>
      <x:c r="R144" s="29" t="str">
        <x:f>IF(A144="","",IF(OR(B144="",C144="",D144="",J144=""),"Thiếu dữ liệu",IF(D144&lt;C144,"Sai thời gian",IF(AND(P144="Đã đóng",Q144=""),"Thiếu thời điểm đóng","Hợp lệ"))))</x:f>
      </x:c>
    </x:row>
    <x:row r="145">
      <x:c r="A145" s="21"/>
      <x:c r="B145" s="21"/>
      <x:c r="C145" s="43"/>
      <x:c r="D145" s="43"/>
      <x:c r="E145" s="39" t="str">
        <x:f>IF(A145="","",MAX(0,(D145-C145)*1440))</x:f>
      </x:c>
      <x:c r="F145" s="29" t="str">
        <x:f>IF(B145="","",IFERROR(INDEX('05_BAO_CAO_NGAY'!$D$6:$D$505,MATCH(B145,'05_BAO_CAO_NGAY'!$A$6:$A$505,0)),""))</x:f>
      </x:c>
      <x:c r="G145" s="29" t="str">
        <x:f>IF(B145="","",IFERROR(INDEX('05_BAO_CAO_NGAY'!$E$6:$E$505,MATCH(B145,'05_BAO_CAO_NGAY'!$A$6:$A$505,0)),""))</x:f>
      </x:c>
      <x:c r="H145" s="29" t="str">
        <x:f>IF(B145="","",IFERROR(INDEX('05_BAO_CAO_NGAY'!$J$6:$J$505,MATCH(B145,'05_BAO_CAO_NGAY'!$A$6:$A$505,0)),""))</x:f>
      </x:c>
      <x:c r="I145" s="29" t="str">
        <x:f>IF(B145="","",IFERROR(INDEX('05_BAO_CAO_NGAY'!$M$6:$M$505,MATCH(B145,'05_BAO_CAO_NGAY'!$A$6:$A$505,0)),""))</x:f>
      </x:c>
      <x:c r="J145" s="21"/>
      <x:c r="K145" s="29" t="str">
        <x:f>IF(J145="","",IFERROR(INDEX(DM_LY_DO_DUNG!$C$6:$C$105,MATCH(J145,DM_LY_DO_DUNG!$A$6:$A$105,0)),""))</x:f>
      </x:c>
      <x:c r="L145" s="21"/>
      <x:c r="M145" s="21"/>
      <x:c r="N145" s="21"/>
      <x:c r="O145" s="21"/>
      <x:c r="P145" s="21"/>
      <x:c r="Q145" s="43"/>
      <x:c r="R145" s="29" t="str">
        <x:f>IF(A145="","",IF(OR(B145="",C145="",D145="",J145=""),"Thiếu dữ liệu",IF(D145&lt;C145,"Sai thời gian",IF(AND(P145="Đã đóng",Q145=""),"Thiếu thời điểm đóng","Hợp lệ"))))</x:f>
      </x:c>
    </x:row>
    <x:row r="146">
      <x:c r="A146" s="21"/>
      <x:c r="B146" s="21"/>
      <x:c r="C146" s="43"/>
      <x:c r="D146" s="43"/>
      <x:c r="E146" s="39" t="str">
        <x:f>IF(A146="","",MAX(0,(D146-C146)*1440))</x:f>
      </x:c>
      <x:c r="F146" s="29" t="str">
        <x:f>IF(B146="","",IFERROR(INDEX('05_BAO_CAO_NGAY'!$D$6:$D$505,MATCH(B146,'05_BAO_CAO_NGAY'!$A$6:$A$505,0)),""))</x:f>
      </x:c>
      <x:c r="G146" s="29" t="str">
        <x:f>IF(B146="","",IFERROR(INDEX('05_BAO_CAO_NGAY'!$E$6:$E$505,MATCH(B146,'05_BAO_CAO_NGAY'!$A$6:$A$505,0)),""))</x:f>
      </x:c>
      <x:c r="H146" s="29" t="str">
        <x:f>IF(B146="","",IFERROR(INDEX('05_BAO_CAO_NGAY'!$J$6:$J$505,MATCH(B146,'05_BAO_CAO_NGAY'!$A$6:$A$505,0)),""))</x:f>
      </x:c>
      <x:c r="I146" s="29" t="str">
        <x:f>IF(B146="","",IFERROR(INDEX('05_BAO_CAO_NGAY'!$M$6:$M$505,MATCH(B146,'05_BAO_CAO_NGAY'!$A$6:$A$505,0)),""))</x:f>
      </x:c>
      <x:c r="J146" s="21"/>
      <x:c r="K146" s="29" t="str">
        <x:f>IF(J146="","",IFERROR(INDEX(DM_LY_DO_DUNG!$C$6:$C$105,MATCH(J146,DM_LY_DO_DUNG!$A$6:$A$105,0)),""))</x:f>
      </x:c>
      <x:c r="L146" s="21"/>
      <x:c r="M146" s="21"/>
      <x:c r="N146" s="21"/>
      <x:c r="O146" s="21"/>
      <x:c r="P146" s="21"/>
      <x:c r="Q146" s="43"/>
      <x:c r="R146" s="29" t="str">
        <x:f>IF(A146="","",IF(OR(B146="",C146="",D146="",J146=""),"Thiếu dữ liệu",IF(D146&lt;C146,"Sai thời gian",IF(AND(P146="Đã đóng",Q146=""),"Thiếu thời điểm đóng","Hợp lệ"))))</x:f>
      </x:c>
    </x:row>
    <x:row r="147">
      <x:c r="A147" s="21"/>
      <x:c r="B147" s="21"/>
      <x:c r="C147" s="43"/>
      <x:c r="D147" s="43"/>
      <x:c r="E147" s="39" t="str">
        <x:f>IF(A147="","",MAX(0,(D147-C147)*1440))</x:f>
      </x:c>
      <x:c r="F147" s="29" t="str">
        <x:f>IF(B147="","",IFERROR(INDEX('05_BAO_CAO_NGAY'!$D$6:$D$505,MATCH(B147,'05_BAO_CAO_NGAY'!$A$6:$A$505,0)),""))</x:f>
      </x:c>
      <x:c r="G147" s="29" t="str">
        <x:f>IF(B147="","",IFERROR(INDEX('05_BAO_CAO_NGAY'!$E$6:$E$505,MATCH(B147,'05_BAO_CAO_NGAY'!$A$6:$A$505,0)),""))</x:f>
      </x:c>
      <x:c r="H147" s="29" t="str">
        <x:f>IF(B147="","",IFERROR(INDEX('05_BAO_CAO_NGAY'!$J$6:$J$505,MATCH(B147,'05_BAO_CAO_NGAY'!$A$6:$A$505,0)),""))</x:f>
      </x:c>
      <x:c r="I147" s="29" t="str">
        <x:f>IF(B147="","",IFERROR(INDEX('05_BAO_CAO_NGAY'!$M$6:$M$505,MATCH(B147,'05_BAO_CAO_NGAY'!$A$6:$A$505,0)),""))</x:f>
      </x:c>
      <x:c r="J147" s="21"/>
      <x:c r="K147" s="29" t="str">
        <x:f>IF(J147="","",IFERROR(INDEX(DM_LY_DO_DUNG!$C$6:$C$105,MATCH(J147,DM_LY_DO_DUNG!$A$6:$A$105,0)),""))</x:f>
      </x:c>
      <x:c r="L147" s="21"/>
      <x:c r="M147" s="21"/>
      <x:c r="N147" s="21"/>
      <x:c r="O147" s="21"/>
      <x:c r="P147" s="21"/>
      <x:c r="Q147" s="43"/>
      <x:c r="R147" s="29" t="str">
        <x:f>IF(A147="","",IF(OR(B147="",C147="",D147="",J147=""),"Thiếu dữ liệu",IF(D147&lt;C147,"Sai thời gian",IF(AND(P147="Đã đóng",Q147=""),"Thiếu thời điểm đóng","Hợp lệ"))))</x:f>
      </x:c>
    </x:row>
    <x:row r="148">
      <x:c r="A148" s="21"/>
      <x:c r="B148" s="21"/>
      <x:c r="C148" s="43"/>
      <x:c r="D148" s="43"/>
      <x:c r="E148" s="39" t="str">
        <x:f>IF(A148="","",MAX(0,(D148-C148)*1440))</x:f>
      </x:c>
      <x:c r="F148" s="29" t="str">
        <x:f>IF(B148="","",IFERROR(INDEX('05_BAO_CAO_NGAY'!$D$6:$D$505,MATCH(B148,'05_BAO_CAO_NGAY'!$A$6:$A$505,0)),""))</x:f>
      </x:c>
      <x:c r="G148" s="29" t="str">
        <x:f>IF(B148="","",IFERROR(INDEX('05_BAO_CAO_NGAY'!$E$6:$E$505,MATCH(B148,'05_BAO_CAO_NGAY'!$A$6:$A$505,0)),""))</x:f>
      </x:c>
      <x:c r="H148" s="29" t="str">
        <x:f>IF(B148="","",IFERROR(INDEX('05_BAO_CAO_NGAY'!$J$6:$J$505,MATCH(B148,'05_BAO_CAO_NGAY'!$A$6:$A$505,0)),""))</x:f>
      </x:c>
      <x:c r="I148" s="29" t="str">
        <x:f>IF(B148="","",IFERROR(INDEX('05_BAO_CAO_NGAY'!$M$6:$M$505,MATCH(B148,'05_BAO_CAO_NGAY'!$A$6:$A$505,0)),""))</x:f>
      </x:c>
      <x:c r="J148" s="21"/>
      <x:c r="K148" s="29" t="str">
        <x:f>IF(J148="","",IFERROR(INDEX(DM_LY_DO_DUNG!$C$6:$C$105,MATCH(J148,DM_LY_DO_DUNG!$A$6:$A$105,0)),""))</x:f>
      </x:c>
      <x:c r="L148" s="21"/>
      <x:c r="M148" s="21"/>
      <x:c r="N148" s="21"/>
      <x:c r="O148" s="21"/>
      <x:c r="P148" s="21"/>
      <x:c r="Q148" s="43"/>
      <x:c r="R148" s="29" t="str">
        <x:f>IF(A148="","",IF(OR(B148="",C148="",D148="",J148=""),"Thiếu dữ liệu",IF(D148&lt;C148,"Sai thời gian",IF(AND(P148="Đã đóng",Q148=""),"Thiếu thời điểm đóng","Hợp lệ"))))</x:f>
      </x:c>
    </x:row>
    <x:row r="149">
      <x:c r="A149" s="21"/>
      <x:c r="B149" s="21"/>
      <x:c r="C149" s="43"/>
      <x:c r="D149" s="43"/>
      <x:c r="E149" s="39" t="str">
        <x:f>IF(A149="","",MAX(0,(D149-C149)*1440))</x:f>
      </x:c>
      <x:c r="F149" s="29" t="str">
        <x:f>IF(B149="","",IFERROR(INDEX('05_BAO_CAO_NGAY'!$D$6:$D$505,MATCH(B149,'05_BAO_CAO_NGAY'!$A$6:$A$505,0)),""))</x:f>
      </x:c>
      <x:c r="G149" s="29" t="str">
        <x:f>IF(B149="","",IFERROR(INDEX('05_BAO_CAO_NGAY'!$E$6:$E$505,MATCH(B149,'05_BAO_CAO_NGAY'!$A$6:$A$505,0)),""))</x:f>
      </x:c>
      <x:c r="H149" s="29" t="str">
        <x:f>IF(B149="","",IFERROR(INDEX('05_BAO_CAO_NGAY'!$J$6:$J$505,MATCH(B149,'05_BAO_CAO_NGAY'!$A$6:$A$505,0)),""))</x:f>
      </x:c>
      <x:c r="I149" s="29" t="str">
        <x:f>IF(B149="","",IFERROR(INDEX('05_BAO_CAO_NGAY'!$M$6:$M$505,MATCH(B149,'05_BAO_CAO_NGAY'!$A$6:$A$505,0)),""))</x:f>
      </x:c>
      <x:c r="J149" s="21"/>
      <x:c r="K149" s="29" t="str">
        <x:f>IF(J149="","",IFERROR(INDEX(DM_LY_DO_DUNG!$C$6:$C$105,MATCH(J149,DM_LY_DO_DUNG!$A$6:$A$105,0)),""))</x:f>
      </x:c>
      <x:c r="L149" s="21"/>
      <x:c r="M149" s="21"/>
      <x:c r="N149" s="21"/>
      <x:c r="O149" s="21"/>
      <x:c r="P149" s="21"/>
      <x:c r="Q149" s="43"/>
      <x:c r="R149" s="29" t="str">
        <x:f>IF(A149="","",IF(OR(B149="",C149="",D149="",J149=""),"Thiếu dữ liệu",IF(D149&lt;C149,"Sai thời gian",IF(AND(P149="Đã đóng",Q149=""),"Thiếu thời điểm đóng","Hợp lệ"))))</x:f>
      </x:c>
    </x:row>
    <x:row r="150">
      <x:c r="A150" s="21"/>
      <x:c r="B150" s="21"/>
      <x:c r="C150" s="43"/>
      <x:c r="D150" s="43"/>
      <x:c r="E150" s="39" t="str">
        <x:f>IF(A150="","",MAX(0,(D150-C150)*1440))</x:f>
      </x:c>
      <x:c r="F150" s="29" t="str">
        <x:f>IF(B150="","",IFERROR(INDEX('05_BAO_CAO_NGAY'!$D$6:$D$505,MATCH(B150,'05_BAO_CAO_NGAY'!$A$6:$A$505,0)),""))</x:f>
      </x:c>
      <x:c r="G150" s="29" t="str">
        <x:f>IF(B150="","",IFERROR(INDEX('05_BAO_CAO_NGAY'!$E$6:$E$505,MATCH(B150,'05_BAO_CAO_NGAY'!$A$6:$A$505,0)),""))</x:f>
      </x:c>
      <x:c r="H150" s="29" t="str">
        <x:f>IF(B150="","",IFERROR(INDEX('05_BAO_CAO_NGAY'!$J$6:$J$505,MATCH(B150,'05_BAO_CAO_NGAY'!$A$6:$A$505,0)),""))</x:f>
      </x:c>
      <x:c r="I150" s="29" t="str">
        <x:f>IF(B150="","",IFERROR(INDEX('05_BAO_CAO_NGAY'!$M$6:$M$505,MATCH(B150,'05_BAO_CAO_NGAY'!$A$6:$A$505,0)),""))</x:f>
      </x:c>
      <x:c r="J150" s="21"/>
      <x:c r="K150" s="29" t="str">
        <x:f>IF(J150="","",IFERROR(INDEX(DM_LY_DO_DUNG!$C$6:$C$105,MATCH(J150,DM_LY_DO_DUNG!$A$6:$A$105,0)),""))</x:f>
      </x:c>
      <x:c r="L150" s="21"/>
      <x:c r="M150" s="21"/>
      <x:c r="N150" s="21"/>
      <x:c r="O150" s="21"/>
      <x:c r="P150" s="21"/>
      <x:c r="Q150" s="43"/>
      <x:c r="R150" s="29" t="str">
        <x:f>IF(A150="","",IF(OR(B150="",C150="",D150="",J150=""),"Thiếu dữ liệu",IF(D150&lt;C150,"Sai thời gian",IF(AND(P150="Đã đóng",Q150=""),"Thiếu thời điểm đóng","Hợp lệ"))))</x:f>
      </x:c>
    </x:row>
    <x:row r="151">
      <x:c r="A151" s="21"/>
      <x:c r="B151" s="21"/>
      <x:c r="C151" s="43"/>
      <x:c r="D151" s="43"/>
      <x:c r="E151" s="39" t="str">
        <x:f>IF(A151="","",MAX(0,(D151-C151)*1440))</x:f>
      </x:c>
      <x:c r="F151" s="29" t="str">
        <x:f>IF(B151="","",IFERROR(INDEX('05_BAO_CAO_NGAY'!$D$6:$D$505,MATCH(B151,'05_BAO_CAO_NGAY'!$A$6:$A$505,0)),""))</x:f>
      </x:c>
      <x:c r="G151" s="29" t="str">
        <x:f>IF(B151="","",IFERROR(INDEX('05_BAO_CAO_NGAY'!$E$6:$E$505,MATCH(B151,'05_BAO_CAO_NGAY'!$A$6:$A$505,0)),""))</x:f>
      </x:c>
      <x:c r="H151" s="29" t="str">
        <x:f>IF(B151="","",IFERROR(INDEX('05_BAO_CAO_NGAY'!$J$6:$J$505,MATCH(B151,'05_BAO_CAO_NGAY'!$A$6:$A$505,0)),""))</x:f>
      </x:c>
      <x:c r="I151" s="29" t="str">
        <x:f>IF(B151="","",IFERROR(INDEX('05_BAO_CAO_NGAY'!$M$6:$M$505,MATCH(B151,'05_BAO_CAO_NGAY'!$A$6:$A$505,0)),""))</x:f>
      </x:c>
      <x:c r="J151" s="21"/>
      <x:c r="K151" s="29" t="str">
        <x:f>IF(J151="","",IFERROR(INDEX(DM_LY_DO_DUNG!$C$6:$C$105,MATCH(J151,DM_LY_DO_DUNG!$A$6:$A$105,0)),""))</x:f>
      </x:c>
      <x:c r="L151" s="21"/>
      <x:c r="M151" s="21"/>
      <x:c r="N151" s="21"/>
      <x:c r="O151" s="21"/>
      <x:c r="P151" s="21"/>
      <x:c r="Q151" s="43"/>
      <x:c r="R151" s="29" t="str">
        <x:f>IF(A151="","",IF(OR(B151="",C151="",D151="",J151=""),"Thiếu dữ liệu",IF(D151&lt;C151,"Sai thời gian",IF(AND(P151="Đã đóng",Q151=""),"Thiếu thời điểm đóng","Hợp lệ"))))</x:f>
      </x:c>
    </x:row>
    <x:row r="152">
      <x:c r="A152" s="21"/>
      <x:c r="B152" s="21"/>
      <x:c r="C152" s="43"/>
      <x:c r="D152" s="43"/>
      <x:c r="E152" s="39" t="str">
        <x:f>IF(A152="","",MAX(0,(D152-C152)*1440))</x:f>
      </x:c>
      <x:c r="F152" s="29" t="str">
        <x:f>IF(B152="","",IFERROR(INDEX('05_BAO_CAO_NGAY'!$D$6:$D$505,MATCH(B152,'05_BAO_CAO_NGAY'!$A$6:$A$505,0)),""))</x:f>
      </x:c>
      <x:c r="G152" s="29" t="str">
        <x:f>IF(B152="","",IFERROR(INDEX('05_BAO_CAO_NGAY'!$E$6:$E$505,MATCH(B152,'05_BAO_CAO_NGAY'!$A$6:$A$505,0)),""))</x:f>
      </x:c>
      <x:c r="H152" s="29" t="str">
        <x:f>IF(B152="","",IFERROR(INDEX('05_BAO_CAO_NGAY'!$J$6:$J$505,MATCH(B152,'05_BAO_CAO_NGAY'!$A$6:$A$505,0)),""))</x:f>
      </x:c>
      <x:c r="I152" s="29" t="str">
        <x:f>IF(B152="","",IFERROR(INDEX('05_BAO_CAO_NGAY'!$M$6:$M$505,MATCH(B152,'05_BAO_CAO_NGAY'!$A$6:$A$505,0)),""))</x:f>
      </x:c>
      <x:c r="J152" s="21"/>
      <x:c r="K152" s="29" t="str">
        <x:f>IF(J152="","",IFERROR(INDEX(DM_LY_DO_DUNG!$C$6:$C$105,MATCH(J152,DM_LY_DO_DUNG!$A$6:$A$105,0)),""))</x:f>
      </x:c>
      <x:c r="L152" s="21"/>
      <x:c r="M152" s="21"/>
      <x:c r="N152" s="21"/>
      <x:c r="O152" s="21"/>
      <x:c r="P152" s="21"/>
      <x:c r="Q152" s="43"/>
      <x:c r="R152" s="29" t="str">
        <x:f>IF(A152="","",IF(OR(B152="",C152="",D152="",J152=""),"Thiếu dữ liệu",IF(D152&lt;C152,"Sai thời gian",IF(AND(P152="Đã đóng",Q152=""),"Thiếu thời điểm đóng","Hợp lệ"))))</x:f>
      </x:c>
    </x:row>
    <x:row r="153">
      <x:c r="A153" s="21"/>
      <x:c r="B153" s="21"/>
      <x:c r="C153" s="43"/>
      <x:c r="D153" s="43"/>
      <x:c r="E153" s="39" t="str">
        <x:f>IF(A153="","",MAX(0,(D153-C153)*1440))</x:f>
      </x:c>
      <x:c r="F153" s="29" t="str">
        <x:f>IF(B153="","",IFERROR(INDEX('05_BAO_CAO_NGAY'!$D$6:$D$505,MATCH(B153,'05_BAO_CAO_NGAY'!$A$6:$A$505,0)),""))</x:f>
      </x:c>
      <x:c r="G153" s="29" t="str">
        <x:f>IF(B153="","",IFERROR(INDEX('05_BAO_CAO_NGAY'!$E$6:$E$505,MATCH(B153,'05_BAO_CAO_NGAY'!$A$6:$A$505,0)),""))</x:f>
      </x:c>
      <x:c r="H153" s="29" t="str">
        <x:f>IF(B153="","",IFERROR(INDEX('05_BAO_CAO_NGAY'!$J$6:$J$505,MATCH(B153,'05_BAO_CAO_NGAY'!$A$6:$A$505,0)),""))</x:f>
      </x:c>
      <x:c r="I153" s="29" t="str">
        <x:f>IF(B153="","",IFERROR(INDEX('05_BAO_CAO_NGAY'!$M$6:$M$505,MATCH(B153,'05_BAO_CAO_NGAY'!$A$6:$A$505,0)),""))</x:f>
      </x:c>
      <x:c r="J153" s="21"/>
      <x:c r="K153" s="29" t="str">
        <x:f>IF(J153="","",IFERROR(INDEX(DM_LY_DO_DUNG!$C$6:$C$105,MATCH(J153,DM_LY_DO_DUNG!$A$6:$A$105,0)),""))</x:f>
      </x:c>
      <x:c r="L153" s="21"/>
      <x:c r="M153" s="21"/>
      <x:c r="N153" s="21"/>
      <x:c r="O153" s="21"/>
      <x:c r="P153" s="21"/>
      <x:c r="Q153" s="43"/>
      <x:c r="R153" s="29" t="str">
        <x:f>IF(A153="","",IF(OR(B153="",C153="",D153="",J153=""),"Thiếu dữ liệu",IF(D153&lt;C153,"Sai thời gian",IF(AND(P153="Đã đóng",Q153=""),"Thiếu thời điểm đóng","Hợp lệ"))))</x:f>
      </x:c>
    </x:row>
    <x:row r="154">
      <x:c r="A154" s="21"/>
      <x:c r="B154" s="21"/>
      <x:c r="C154" s="43"/>
      <x:c r="D154" s="43"/>
      <x:c r="E154" s="39" t="str">
        <x:f>IF(A154="","",MAX(0,(D154-C154)*1440))</x:f>
      </x:c>
      <x:c r="F154" s="29" t="str">
        <x:f>IF(B154="","",IFERROR(INDEX('05_BAO_CAO_NGAY'!$D$6:$D$505,MATCH(B154,'05_BAO_CAO_NGAY'!$A$6:$A$505,0)),""))</x:f>
      </x:c>
      <x:c r="G154" s="29" t="str">
        <x:f>IF(B154="","",IFERROR(INDEX('05_BAO_CAO_NGAY'!$E$6:$E$505,MATCH(B154,'05_BAO_CAO_NGAY'!$A$6:$A$505,0)),""))</x:f>
      </x:c>
      <x:c r="H154" s="29" t="str">
        <x:f>IF(B154="","",IFERROR(INDEX('05_BAO_CAO_NGAY'!$J$6:$J$505,MATCH(B154,'05_BAO_CAO_NGAY'!$A$6:$A$505,0)),""))</x:f>
      </x:c>
      <x:c r="I154" s="29" t="str">
        <x:f>IF(B154="","",IFERROR(INDEX('05_BAO_CAO_NGAY'!$M$6:$M$505,MATCH(B154,'05_BAO_CAO_NGAY'!$A$6:$A$505,0)),""))</x:f>
      </x:c>
      <x:c r="J154" s="21"/>
      <x:c r="K154" s="29" t="str">
        <x:f>IF(J154="","",IFERROR(INDEX(DM_LY_DO_DUNG!$C$6:$C$105,MATCH(J154,DM_LY_DO_DUNG!$A$6:$A$105,0)),""))</x:f>
      </x:c>
      <x:c r="L154" s="21"/>
      <x:c r="M154" s="21"/>
      <x:c r="N154" s="21"/>
      <x:c r="O154" s="21"/>
      <x:c r="P154" s="21"/>
      <x:c r="Q154" s="43"/>
      <x:c r="R154" s="29" t="str">
        <x:f>IF(A154="","",IF(OR(B154="",C154="",D154="",J154=""),"Thiếu dữ liệu",IF(D154&lt;C154,"Sai thời gian",IF(AND(P154="Đã đóng",Q154=""),"Thiếu thời điểm đóng","Hợp lệ"))))</x:f>
      </x:c>
    </x:row>
    <x:row r="155">
      <x:c r="A155" s="21"/>
      <x:c r="B155" s="21"/>
      <x:c r="C155" s="43"/>
      <x:c r="D155" s="43"/>
      <x:c r="E155" s="39" t="str">
        <x:f>IF(A155="","",MAX(0,(D155-C155)*1440))</x:f>
      </x:c>
      <x:c r="F155" s="29" t="str">
        <x:f>IF(B155="","",IFERROR(INDEX('05_BAO_CAO_NGAY'!$D$6:$D$505,MATCH(B155,'05_BAO_CAO_NGAY'!$A$6:$A$505,0)),""))</x:f>
      </x:c>
      <x:c r="G155" s="29" t="str">
        <x:f>IF(B155="","",IFERROR(INDEX('05_BAO_CAO_NGAY'!$E$6:$E$505,MATCH(B155,'05_BAO_CAO_NGAY'!$A$6:$A$505,0)),""))</x:f>
      </x:c>
      <x:c r="H155" s="29" t="str">
        <x:f>IF(B155="","",IFERROR(INDEX('05_BAO_CAO_NGAY'!$J$6:$J$505,MATCH(B155,'05_BAO_CAO_NGAY'!$A$6:$A$505,0)),""))</x:f>
      </x:c>
      <x:c r="I155" s="29" t="str">
        <x:f>IF(B155="","",IFERROR(INDEX('05_BAO_CAO_NGAY'!$M$6:$M$505,MATCH(B155,'05_BAO_CAO_NGAY'!$A$6:$A$505,0)),""))</x:f>
      </x:c>
      <x:c r="J155" s="21"/>
      <x:c r="K155" s="29" t="str">
        <x:f>IF(J155="","",IFERROR(INDEX(DM_LY_DO_DUNG!$C$6:$C$105,MATCH(J155,DM_LY_DO_DUNG!$A$6:$A$105,0)),""))</x:f>
      </x:c>
      <x:c r="L155" s="21"/>
      <x:c r="M155" s="21"/>
      <x:c r="N155" s="21"/>
      <x:c r="O155" s="21"/>
      <x:c r="P155" s="21"/>
      <x:c r="Q155" s="43"/>
      <x:c r="R155" s="29" t="str">
        <x:f>IF(A155="","",IF(OR(B155="",C155="",D155="",J155=""),"Thiếu dữ liệu",IF(D155&lt;C155,"Sai thời gian",IF(AND(P155="Đã đóng",Q155=""),"Thiếu thời điểm đóng","Hợp lệ"))))</x:f>
      </x:c>
    </x:row>
    <x:row r="156">
      <x:c r="A156" s="21"/>
      <x:c r="B156" s="21"/>
      <x:c r="C156" s="43"/>
      <x:c r="D156" s="43"/>
      <x:c r="E156" s="39" t="str">
        <x:f>IF(A156="","",MAX(0,(D156-C156)*1440))</x:f>
      </x:c>
      <x:c r="F156" s="29" t="str">
        <x:f>IF(B156="","",IFERROR(INDEX('05_BAO_CAO_NGAY'!$D$6:$D$505,MATCH(B156,'05_BAO_CAO_NGAY'!$A$6:$A$505,0)),""))</x:f>
      </x:c>
      <x:c r="G156" s="29" t="str">
        <x:f>IF(B156="","",IFERROR(INDEX('05_BAO_CAO_NGAY'!$E$6:$E$505,MATCH(B156,'05_BAO_CAO_NGAY'!$A$6:$A$505,0)),""))</x:f>
      </x:c>
      <x:c r="H156" s="29" t="str">
        <x:f>IF(B156="","",IFERROR(INDEX('05_BAO_CAO_NGAY'!$J$6:$J$505,MATCH(B156,'05_BAO_CAO_NGAY'!$A$6:$A$505,0)),""))</x:f>
      </x:c>
      <x:c r="I156" s="29" t="str">
        <x:f>IF(B156="","",IFERROR(INDEX('05_BAO_CAO_NGAY'!$M$6:$M$505,MATCH(B156,'05_BAO_CAO_NGAY'!$A$6:$A$505,0)),""))</x:f>
      </x:c>
      <x:c r="J156" s="21"/>
      <x:c r="K156" s="29" t="str">
        <x:f>IF(J156="","",IFERROR(INDEX(DM_LY_DO_DUNG!$C$6:$C$105,MATCH(J156,DM_LY_DO_DUNG!$A$6:$A$105,0)),""))</x:f>
      </x:c>
      <x:c r="L156" s="21"/>
      <x:c r="M156" s="21"/>
      <x:c r="N156" s="21"/>
      <x:c r="O156" s="21"/>
      <x:c r="P156" s="21"/>
      <x:c r="Q156" s="43"/>
      <x:c r="R156" s="29" t="str">
        <x:f>IF(A156="","",IF(OR(B156="",C156="",D156="",J156=""),"Thiếu dữ liệu",IF(D156&lt;C156,"Sai thời gian",IF(AND(P156="Đã đóng",Q156=""),"Thiếu thời điểm đóng","Hợp lệ"))))</x:f>
      </x:c>
    </x:row>
    <x:row r="157">
      <x:c r="A157" s="21"/>
      <x:c r="B157" s="21"/>
      <x:c r="C157" s="43"/>
      <x:c r="D157" s="43"/>
      <x:c r="E157" s="39" t="str">
        <x:f>IF(A157="","",MAX(0,(D157-C157)*1440))</x:f>
      </x:c>
      <x:c r="F157" s="29" t="str">
        <x:f>IF(B157="","",IFERROR(INDEX('05_BAO_CAO_NGAY'!$D$6:$D$505,MATCH(B157,'05_BAO_CAO_NGAY'!$A$6:$A$505,0)),""))</x:f>
      </x:c>
      <x:c r="G157" s="29" t="str">
        <x:f>IF(B157="","",IFERROR(INDEX('05_BAO_CAO_NGAY'!$E$6:$E$505,MATCH(B157,'05_BAO_CAO_NGAY'!$A$6:$A$505,0)),""))</x:f>
      </x:c>
      <x:c r="H157" s="29" t="str">
        <x:f>IF(B157="","",IFERROR(INDEX('05_BAO_CAO_NGAY'!$J$6:$J$505,MATCH(B157,'05_BAO_CAO_NGAY'!$A$6:$A$505,0)),""))</x:f>
      </x:c>
      <x:c r="I157" s="29" t="str">
        <x:f>IF(B157="","",IFERROR(INDEX('05_BAO_CAO_NGAY'!$M$6:$M$505,MATCH(B157,'05_BAO_CAO_NGAY'!$A$6:$A$505,0)),""))</x:f>
      </x:c>
      <x:c r="J157" s="21"/>
      <x:c r="K157" s="29" t="str">
        <x:f>IF(J157="","",IFERROR(INDEX(DM_LY_DO_DUNG!$C$6:$C$105,MATCH(J157,DM_LY_DO_DUNG!$A$6:$A$105,0)),""))</x:f>
      </x:c>
      <x:c r="L157" s="21"/>
      <x:c r="M157" s="21"/>
      <x:c r="N157" s="21"/>
      <x:c r="O157" s="21"/>
      <x:c r="P157" s="21"/>
      <x:c r="Q157" s="43"/>
      <x:c r="R157" s="29" t="str">
        <x:f>IF(A157="","",IF(OR(B157="",C157="",D157="",J157=""),"Thiếu dữ liệu",IF(D157&lt;C157,"Sai thời gian",IF(AND(P157="Đã đóng",Q157=""),"Thiếu thời điểm đóng","Hợp lệ"))))</x:f>
      </x:c>
    </x:row>
    <x:row r="158">
      <x:c r="A158" s="21"/>
      <x:c r="B158" s="21"/>
      <x:c r="C158" s="43"/>
      <x:c r="D158" s="43"/>
      <x:c r="E158" s="39" t="str">
        <x:f>IF(A158="","",MAX(0,(D158-C158)*1440))</x:f>
      </x:c>
      <x:c r="F158" s="29" t="str">
        <x:f>IF(B158="","",IFERROR(INDEX('05_BAO_CAO_NGAY'!$D$6:$D$505,MATCH(B158,'05_BAO_CAO_NGAY'!$A$6:$A$505,0)),""))</x:f>
      </x:c>
      <x:c r="G158" s="29" t="str">
        <x:f>IF(B158="","",IFERROR(INDEX('05_BAO_CAO_NGAY'!$E$6:$E$505,MATCH(B158,'05_BAO_CAO_NGAY'!$A$6:$A$505,0)),""))</x:f>
      </x:c>
      <x:c r="H158" s="29" t="str">
        <x:f>IF(B158="","",IFERROR(INDEX('05_BAO_CAO_NGAY'!$J$6:$J$505,MATCH(B158,'05_BAO_CAO_NGAY'!$A$6:$A$505,0)),""))</x:f>
      </x:c>
      <x:c r="I158" s="29" t="str">
        <x:f>IF(B158="","",IFERROR(INDEX('05_BAO_CAO_NGAY'!$M$6:$M$505,MATCH(B158,'05_BAO_CAO_NGAY'!$A$6:$A$505,0)),""))</x:f>
      </x:c>
      <x:c r="J158" s="21"/>
      <x:c r="K158" s="29" t="str">
        <x:f>IF(J158="","",IFERROR(INDEX(DM_LY_DO_DUNG!$C$6:$C$105,MATCH(J158,DM_LY_DO_DUNG!$A$6:$A$105,0)),""))</x:f>
      </x:c>
      <x:c r="L158" s="21"/>
      <x:c r="M158" s="21"/>
      <x:c r="N158" s="21"/>
      <x:c r="O158" s="21"/>
      <x:c r="P158" s="21"/>
      <x:c r="Q158" s="43"/>
      <x:c r="R158" s="29" t="str">
        <x:f>IF(A158="","",IF(OR(B158="",C158="",D158="",J158=""),"Thiếu dữ liệu",IF(D158&lt;C158,"Sai thời gian",IF(AND(P158="Đã đóng",Q158=""),"Thiếu thời điểm đóng","Hợp lệ"))))</x:f>
      </x:c>
    </x:row>
    <x:row r="159">
      <x:c r="A159" s="21"/>
      <x:c r="B159" s="21"/>
      <x:c r="C159" s="43"/>
      <x:c r="D159" s="43"/>
      <x:c r="E159" s="39" t="str">
        <x:f>IF(A159="","",MAX(0,(D159-C159)*1440))</x:f>
      </x:c>
      <x:c r="F159" s="29" t="str">
        <x:f>IF(B159="","",IFERROR(INDEX('05_BAO_CAO_NGAY'!$D$6:$D$505,MATCH(B159,'05_BAO_CAO_NGAY'!$A$6:$A$505,0)),""))</x:f>
      </x:c>
      <x:c r="G159" s="29" t="str">
        <x:f>IF(B159="","",IFERROR(INDEX('05_BAO_CAO_NGAY'!$E$6:$E$505,MATCH(B159,'05_BAO_CAO_NGAY'!$A$6:$A$505,0)),""))</x:f>
      </x:c>
      <x:c r="H159" s="29" t="str">
        <x:f>IF(B159="","",IFERROR(INDEX('05_BAO_CAO_NGAY'!$J$6:$J$505,MATCH(B159,'05_BAO_CAO_NGAY'!$A$6:$A$505,0)),""))</x:f>
      </x:c>
      <x:c r="I159" s="29" t="str">
        <x:f>IF(B159="","",IFERROR(INDEX('05_BAO_CAO_NGAY'!$M$6:$M$505,MATCH(B159,'05_BAO_CAO_NGAY'!$A$6:$A$505,0)),""))</x:f>
      </x:c>
      <x:c r="J159" s="21"/>
      <x:c r="K159" s="29" t="str">
        <x:f>IF(J159="","",IFERROR(INDEX(DM_LY_DO_DUNG!$C$6:$C$105,MATCH(J159,DM_LY_DO_DUNG!$A$6:$A$105,0)),""))</x:f>
      </x:c>
      <x:c r="L159" s="21"/>
      <x:c r="M159" s="21"/>
      <x:c r="N159" s="21"/>
      <x:c r="O159" s="21"/>
      <x:c r="P159" s="21"/>
      <x:c r="Q159" s="43"/>
      <x:c r="R159" s="29" t="str">
        <x:f>IF(A159="","",IF(OR(B159="",C159="",D159="",J159=""),"Thiếu dữ liệu",IF(D159&lt;C159,"Sai thời gian",IF(AND(P159="Đã đóng",Q159=""),"Thiếu thời điểm đóng","Hợp lệ"))))</x:f>
      </x:c>
    </x:row>
    <x:row r="160">
      <x:c r="A160" s="21"/>
      <x:c r="B160" s="21"/>
      <x:c r="C160" s="43"/>
      <x:c r="D160" s="43"/>
      <x:c r="E160" s="39" t="str">
        <x:f>IF(A160="","",MAX(0,(D160-C160)*1440))</x:f>
      </x:c>
      <x:c r="F160" s="29" t="str">
        <x:f>IF(B160="","",IFERROR(INDEX('05_BAO_CAO_NGAY'!$D$6:$D$505,MATCH(B160,'05_BAO_CAO_NGAY'!$A$6:$A$505,0)),""))</x:f>
      </x:c>
      <x:c r="G160" s="29" t="str">
        <x:f>IF(B160="","",IFERROR(INDEX('05_BAO_CAO_NGAY'!$E$6:$E$505,MATCH(B160,'05_BAO_CAO_NGAY'!$A$6:$A$505,0)),""))</x:f>
      </x:c>
      <x:c r="H160" s="29" t="str">
        <x:f>IF(B160="","",IFERROR(INDEX('05_BAO_CAO_NGAY'!$J$6:$J$505,MATCH(B160,'05_BAO_CAO_NGAY'!$A$6:$A$505,0)),""))</x:f>
      </x:c>
      <x:c r="I160" s="29" t="str">
        <x:f>IF(B160="","",IFERROR(INDEX('05_BAO_CAO_NGAY'!$M$6:$M$505,MATCH(B160,'05_BAO_CAO_NGAY'!$A$6:$A$505,0)),""))</x:f>
      </x:c>
      <x:c r="J160" s="21"/>
      <x:c r="K160" s="29" t="str">
        <x:f>IF(J160="","",IFERROR(INDEX(DM_LY_DO_DUNG!$C$6:$C$105,MATCH(J160,DM_LY_DO_DUNG!$A$6:$A$105,0)),""))</x:f>
      </x:c>
      <x:c r="L160" s="21"/>
      <x:c r="M160" s="21"/>
      <x:c r="N160" s="21"/>
      <x:c r="O160" s="21"/>
      <x:c r="P160" s="21"/>
      <x:c r="Q160" s="43"/>
      <x:c r="R160" s="29" t="str">
        <x:f>IF(A160="","",IF(OR(B160="",C160="",D160="",J160=""),"Thiếu dữ liệu",IF(D160&lt;C160,"Sai thời gian",IF(AND(P160="Đã đóng",Q160=""),"Thiếu thời điểm đóng","Hợp lệ"))))</x:f>
      </x:c>
    </x:row>
    <x:row r="161">
      <x:c r="A161" s="21"/>
      <x:c r="B161" s="21"/>
      <x:c r="C161" s="43"/>
      <x:c r="D161" s="43"/>
      <x:c r="E161" s="39" t="str">
        <x:f>IF(A161="","",MAX(0,(D161-C161)*1440))</x:f>
      </x:c>
      <x:c r="F161" s="29" t="str">
        <x:f>IF(B161="","",IFERROR(INDEX('05_BAO_CAO_NGAY'!$D$6:$D$505,MATCH(B161,'05_BAO_CAO_NGAY'!$A$6:$A$505,0)),""))</x:f>
      </x:c>
      <x:c r="G161" s="29" t="str">
        <x:f>IF(B161="","",IFERROR(INDEX('05_BAO_CAO_NGAY'!$E$6:$E$505,MATCH(B161,'05_BAO_CAO_NGAY'!$A$6:$A$505,0)),""))</x:f>
      </x:c>
      <x:c r="H161" s="29" t="str">
        <x:f>IF(B161="","",IFERROR(INDEX('05_BAO_CAO_NGAY'!$J$6:$J$505,MATCH(B161,'05_BAO_CAO_NGAY'!$A$6:$A$505,0)),""))</x:f>
      </x:c>
      <x:c r="I161" s="29" t="str">
        <x:f>IF(B161="","",IFERROR(INDEX('05_BAO_CAO_NGAY'!$M$6:$M$505,MATCH(B161,'05_BAO_CAO_NGAY'!$A$6:$A$505,0)),""))</x:f>
      </x:c>
      <x:c r="J161" s="21"/>
      <x:c r="K161" s="29" t="str">
        <x:f>IF(J161="","",IFERROR(INDEX(DM_LY_DO_DUNG!$C$6:$C$105,MATCH(J161,DM_LY_DO_DUNG!$A$6:$A$105,0)),""))</x:f>
      </x:c>
      <x:c r="L161" s="21"/>
      <x:c r="M161" s="21"/>
      <x:c r="N161" s="21"/>
      <x:c r="O161" s="21"/>
      <x:c r="P161" s="21"/>
      <x:c r="Q161" s="43"/>
      <x:c r="R161" s="29" t="str">
        <x:f>IF(A161="","",IF(OR(B161="",C161="",D161="",J161=""),"Thiếu dữ liệu",IF(D161&lt;C161,"Sai thời gian",IF(AND(P161="Đã đóng",Q161=""),"Thiếu thời điểm đóng","Hợp lệ"))))</x:f>
      </x:c>
    </x:row>
    <x:row r="162">
      <x:c r="A162" s="21"/>
      <x:c r="B162" s="21"/>
      <x:c r="C162" s="43"/>
      <x:c r="D162" s="43"/>
      <x:c r="E162" s="39" t="str">
        <x:f>IF(A162="","",MAX(0,(D162-C162)*1440))</x:f>
      </x:c>
      <x:c r="F162" s="29" t="str">
        <x:f>IF(B162="","",IFERROR(INDEX('05_BAO_CAO_NGAY'!$D$6:$D$505,MATCH(B162,'05_BAO_CAO_NGAY'!$A$6:$A$505,0)),""))</x:f>
      </x:c>
      <x:c r="G162" s="29" t="str">
        <x:f>IF(B162="","",IFERROR(INDEX('05_BAO_CAO_NGAY'!$E$6:$E$505,MATCH(B162,'05_BAO_CAO_NGAY'!$A$6:$A$505,0)),""))</x:f>
      </x:c>
      <x:c r="H162" s="29" t="str">
        <x:f>IF(B162="","",IFERROR(INDEX('05_BAO_CAO_NGAY'!$J$6:$J$505,MATCH(B162,'05_BAO_CAO_NGAY'!$A$6:$A$505,0)),""))</x:f>
      </x:c>
      <x:c r="I162" s="29" t="str">
        <x:f>IF(B162="","",IFERROR(INDEX('05_BAO_CAO_NGAY'!$M$6:$M$505,MATCH(B162,'05_BAO_CAO_NGAY'!$A$6:$A$505,0)),""))</x:f>
      </x:c>
      <x:c r="J162" s="21"/>
      <x:c r="K162" s="29" t="str">
        <x:f>IF(J162="","",IFERROR(INDEX(DM_LY_DO_DUNG!$C$6:$C$105,MATCH(J162,DM_LY_DO_DUNG!$A$6:$A$105,0)),""))</x:f>
      </x:c>
      <x:c r="L162" s="21"/>
      <x:c r="M162" s="21"/>
      <x:c r="N162" s="21"/>
      <x:c r="O162" s="21"/>
      <x:c r="P162" s="21"/>
      <x:c r="Q162" s="43"/>
      <x:c r="R162" s="29" t="str">
        <x:f>IF(A162="","",IF(OR(B162="",C162="",D162="",J162=""),"Thiếu dữ liệu",IF(D162&lt;C162,"Sai thời gian",IF(AND(P162="Đã đóng",Q162=""),"Thiếu thời điểm đóng","Hợp lệ"))))</x:f>
      </x:c>
    </x:row>
    <x:row r="163">
      <x:c r="A163" s="21"/>
      <x:c r="B163" s="21"/>
      <x:c r="C163" s="43"/>
      <x:c r="D163" s="43"/>
      <x:c r="E163" s="39" t="str">
        <x:f>IF(A163="","",MAX(0,(D163-C163)*1440))</x:f>
      </x:c>
      <x:c r="F163" s="29" t="str">
        <x:f>IF(B163="","",IFERROR(INDEX('05_BAO_CAO_NGAY'!$D$6:$D$505,MATCH(B163,'05_BAO_CAO_NGAY'!$A$6:$A$505,0)),""))</x:f>
      </x:c>
      <x:c r="G163" s="29" t="str">
        <x:f>IF(B163="","",IFERROR(INDEX('05_BAO_CAO_NGAY'!$E$6:$E$505,MATCH(B163,'05_BAO_CAO_NGAY'!$A$6:$A$505,0)),""))</x:f>
      </x:c>
      <x:c r="H163" s="29" t="str">
        <x:f>IF(B163="","",IFERROR(INDEX('05_BAO_CAO_NGAY'!$J$6:$J$505,MATCH(B163,'05_BAO_CAO_NGAY'!$A$6:$A$505,0)),""))</x:f>
      </x:c>
      <x:c r="I163" s="29" t="str">
        <x:f>IF(B163="","",IFERROR(INDEX('05_BAO_CAO_NGAY'!$M$6:$M$505,MATCH(B163,'05_BAO_CAO_NGAY'!$A$6:$A$505,0)),""))</x:f>
      </x:c>
      <x:c r="J163" s="21"/>
      <x:c r="K163" s="29" t="str">
        <x:f>IF(J163="","",IFERROR(INDEX(DM_LY_DO_DUNG!$C$6:$C$105,MATCH(J163,DM_LY_DO_DUNG!$A$6:$A$105,0)),""))</x:f>
      </x:c>
      <x:c r="L163" s="21"/>
      <x:c r="M163" s="21"/>
      <x:c r="N163" s="21"/>
      <x:c r="O163" s="21"/>
      <x:c r="P163" s="21"/>
      <x:c r="Q163" s="43"/>
      <x:c r="R163" s="29" t="str">
        <x:f>IF(A163="","",IF(OR(B163="",C163="",D163="",J163=""),"Thiếu dữ liệu",IF(D163&lt;C163,"Sai thời gian",IF(AND(P163="Đã đóng",Q163=""),"Thiếu thời điểm đóng","Hợp lệ"))))</x:f>
      </x:c>
    </x:row>
    <x:row r="164">
      <x:c r="A164" s="21"/>
      <x:c r="B164" s="21"/>
      <x:c r="C164" s="43"/>
      <x:c r="D164" s="43"/>
      <x:c r="E164" s="39" t="str">
        <x:f>IF(A164="","",MAX(0,(D164-C164)*1440))</x:f>
      </x:c>
      <x:c r="F164" s="29" t="str">
        <x:f>IF(B164="","",IFERROR(INDEX('05_BAO_CAO_NGAY'!$D$6:$D$505,MATCH(B164,'05_BAO_CAO_NGAY'!$A$6:$A$505,0)),""))</x:f>
      </x:c>
      <x:c r="G164" s="29" t="str">
        <x:f>IF(B164="","",IFERROR(INDEX('05_BAO_CAO_NGAY'!$E$6:$E$505,MATCH(B164,'05_BAO_CAO_NGAY'!$A$6:$A$505,0)),""))</x:f>
      </x:c>
      <x:c r="H164" s="29" t="str">
        <x:f>IF(B164="","",IFERROR(INDEX('05_BAO_CAO_NGAY'!$J$6:$J$505,MATCH(B164,'05_BAO_CAO_NGAY'!$A$6:$A$505,0)),""))</x:f>
      </x:c>
      <x:c r="I164" s="29" t="str">
        <x:f>IF(B164="","",IFERROR(INDEX('05_BAO_CAO_NGAY'!$M$6:$M$505,MATCH(B164,'05_BAO_CAO_NGAY'!$A$6:$A$505,0)),""))</x:f>
      </x:c>
      <x:c r="J164" s="21"/>
      <x:c r="K164" s="29" t="str">
        <x:f>IF(J164="","",IFERROR(INDEX(DM_LY_DO_DUNG!$C$6:$C$105,MATCH(J164,DM_LY_DO_DUNG!$A$6:$A$105,0)),""))</x:f>
      </x:c>
      <x:c r="L164" s="21"/>
      <x:c r="M164" s="21"/>
      <x:c r="N164" s="21"/>
      <x:c r="O164" s="21"/>
      <x:c r="P164" s="21"/>
      <x:c r="Q164" s="43"/>
      <x:c r="R164" s="29" t="str">
        <x:f>IF(A164="","",IF(OR(B164="",C164="",D164="",J164=""),"Thiếu dữ liệu",IF(D164&lt;C164,"Sai thời gian",IF(AND(P164="Đã đóng",Q164=""),"Thiếu thời điểm đóng","Hợp lệ"))))</x:f>
      </x:c>
    </x:row>
    <x:row r="165">
      <x:c r="A165" s="21"/>
      <x:c r="B165" s="21"/>
      <x:c r="C165" s="43"/>
      <x:c r="D165" s="43"/>
      <x:c r="E165" s="39" t="str">
        <x:f>IF(A165="","",MAX(0,(D165-C165)*1440))</x:f>
      </x:c>
      <x:c r="F165" s="29" t="str">
        <x:f>IF(B165="","",IFERROR(INDEX('05_BAO_CAO_NGAY'!$D$6:$D$505,MATCH(B165,'05_BAO_CAO_NGAY'!$A$6:$A$505,0)),""))</x:f>
      </x:c>
      <x:c r="G165" s="29" t="str">
        <x:f>IF(B165="","",IFERROR(INDEX('05_BAO_CAO_NGAY'!$E$6:$E$505,MATCH(B165,'05_BAO_CAO_NGAY'!$A$6:$A$505,0)),""))</x:f>
      </x:c>
      <x:c r="H165" s="29" t="str">
        <x:f>IF(B165="","",IFERROR(INDEX('05_BAO_CAO_NGAY'!$J$6:$J$505,MATCH(B165,'05_BAO_CAO_NGAY'!$A$6:$A$505,0)),""))</x:f>
      </x:c>
      <x:c r="I165" s="29" t="str">
        <x:f>IF(B165="","",IFERROR(INDEX('05_BAO_CAO_NGAY'!$M$6:$M$505,MATCH(B165,'05_BAO_CAO_NGAY'!$A$6:$A$505,0)),""))</x:f>
      </x:c>
      <x:c r="J165" s="21"/>
      <x:c r="K165" s="29" t="str">
        <x:f>IF(J165="","",IFERROR(INDEX(DM_LY_DO_DUNG!$C$6:$C$105,MATCH(J165,DM_LY_DO_DUNG!$A$6:$A$105,0)),""))</x:f>
      </x:c>
      <x:c r="L165" s="21"/>
      <x:c r="M165" s="21"/>
      <x:c r="N165" s="21"/>
      <x:c r="O165" s="21"/>
      <x:c r="P165" s="21"/>
      <x:c r="Q165" s="43"/>
      <x:c r="R165" s="29" t="str">
        <x:f>IF(A165="","",IF(OR(B165="",C165="",D165="",J165=""),"Thiếu dữ liệu",IF(D165&lt;C165,"Sai thời gian",IF(AND(P165="Đã đóng",Q165=""),"Thiếu thời điểm đóng","Hợp lệ"))))</x:f>
      </x:c>
    </x:row>
    <x:row r="166">
      <x:c r="A166" s="21"/>
      <x:c r="B166" s="21"/>
      <x:c r="C166" s="43"/>
      <x:c r="D166" s="43"/>
      <x:c r="E166" s="39" t="str">
        <x:f>IF(A166="","",MAX(0,(D166-C166)*1440))</x:f>
      </x:c>
      <x:c r="F166" s="29" t="str">
        <x:f>IF(B166="","",IFERROR(INDEX('05_BAO_CAO_NGAY'!$D$6:$D$505,MATCH(B166,'05_BAO_CAO_NGAY'!$A$6:$A$505,0)),""))</x:f>
      </x:c>
      <x:c r="G166" s="29" t="str">
        <x:f>IF(B166="","",IFERROR(INDEX('05_BAO_CAO_NGAY'!$E$6:$E$505,MATCH(B166,'05_BAO_CAO_NGAY'!$A$6:$A$505,0)),""))</x:f>
      </x:c>
      <x:c r="H166" s="29" t="str">
        <x:f>IF(B166="","",IFERROR(INDEX('05_BAO_CAO_NGAY'!$J$6:$J$505,MATCH(B166,'05_BAO_CAO_NGAY'!$A$6:$A$505,0)),""))</x:f>
      </x:c>
      <x:c r="I166" s="29" t="str">
        <x:f>IF(B166="","",IFERROR(INDEX('05_BAO_CAO_NGAY'!$M$6:$M$505,MATCH(B166,'05_BAO_CAO_NGAY'!$A$6:$A$505,0)),""))</x:f>
      </x:c>
      <x:c r="J166" s="21"/>
      <x:c r="K166" s="29" t="str">
        <x:f>IF(J166="","",IFERROR(INDEX(DM_LY_DO_DUNG!$C$6:$C$105,MATCH(J166,DM_LY_DO_DUNG!$A$6:$A$105,0)),""))</x:f>
      </x:c>
      <x:c r="L166" s="21"/>
      <x:c r="M166" s="21"/>
      <x:c r="N166" s="21"/>
      <x:c r="O166" s="21"/>
      <x:c r="P166" s="21"/>
      <x:c r="Q166" s="43"/>
      <x:c r="R166" s="29" t="str">
        <x:f>IF(A166="","",IF(OR(B166="",C166="",D166="",J166=""),"Thiếu dữ liệu",IF(D166&lt;C166,"Sai thời gian",IF(AND(P166="Đã đóng",Q166=""),"Thiếu thời điểm đóng","Hợp lệ"))))</x:f>
      </x:c>
    </x:row>
    <x:row r="167">
      <x:c r="A167" s="21"/>
      <x:c r="B167" s="21"/>
      <x:c r="C167" s="43"/>
      <x:c r="D167" s="43"/>
      <x:c r="E167" s="39" t="str">
        <x:f>IF(A167="","",MAX(0,(D167-C167)*1440))</x:f>
      </x:c>
      <x:c r="F167" s="29" t="str">
        <x:f>IF(B167="","",IFERROR(INDEX('05_BAO_CAO_NGAY'!$D$6:$D$505,MATCH(B167,'05_BAO_CAO_NGAY'!$A$6:$A$505,0)),""))</x:f>
      </x:c>
      <x:c r="G167" s="29" t="str">
        <x:f>IF(B167="","",IFERROR(INDEX('05_BAO_CAO_NGAY'!$E$6:$E$505,MATCH(B167,'05_BAO_CAO_NGAY'!$A$6:$A$505,0)),""))</x:f>
      </x:c>
      <x:c r="H167" s="29" t="str">
        <x:f>IF(B167="","",IFERROR(INDEX('05_BAO_CAO_NGAY'!$J$6:$J$505,MATCH(B167,'05_BAO_CAO_NGAY'!$A$6:$A$505,0)),""))</x:f>
      </x:c>
      <x:c r="I167" s="29" t="str">
        <x:f>IF(B167="","",IFERROR(INDEX('05_BAO_CAO_NGAY'!$M$6:$M$505,MATCH(B167,'05_BAO_CAO_NGAY'!$A$6:$A$505,0)),""))</x:f>
      </x:c>
      <x:c r="J167" s="21"/>
      <x:c r="K167" s="29" t="str">
        <x:f>IF(J167="","",IFERROR(INDEX(DM_LY_DO_DUNG!$C$6:$C$105,MATCH(J167,DM_LY_DO_DUNG!$A$6:$A$105,0)),""))</x:f>
      </x:c>
      <x:c r="L167" s="21"/>
      <x:c r="M167" s="21"/>
      <x:c r="N167" s="21"/>
      <x:c r="O167" s="21"/>
      <x:c r="P167" s="21"/>
      <x:c r="Q167" s="43"/>
      <x:c r="R167" s="29" t="str">
        <x:f>IF(A167="","",IF(OR(B167="",C167="",D167="",J167=""),"Thiếu dữ liệu",IF(D167&lt;C167,"Sai thời gian",IF(AND(P167="Đã đóng",Q167=""),"Thiếu thời điểm đóng","Hợp lệ"))))</x:f>
      </x:c>
    </x:row>
    <x:row r="168">
      <x:c r="A168" s="21"/>
      <x:c r="B168" s="21"/>
      <x:c r="C168" s="43"/>
      <x:c r="D168" s="43"/>
      <x:c r="E168" s="39" t="str">
        <x:f>IF(A168="","",MAX(0,(D168-C168)*1440))</x:f>
      </x:c>
      <x:c r="F168" s="29" t="str">
        <x:f>IF(B168="","",IFERROR(INDEX('05_BAO_CAO_NGAY'!$D$6:$D$505,MATCH(B168,'05_BAO_CAO_NGAY'!$A$6:$A$505,0)),""))</x:f>
      </x:c>
      <x:c r="G168" s="29" t="str">
        <x:f>IF(B168="","",IFERROR(INDEX('05_BAO_CAO_NGAY'!$E$6:$E$505,MATCH(B168,'05_BAO_CAO_NGAY'!$A$6:$A$505,0)),""))</x:f>
      </x:c>
      <x:c r="H168" s="29" t="str">
        <x:f>IF(B168="","",IFERROR(INDEX('05_BAO_CAO_NGAY'!$J$6:$J$505,MATCH(B168,'05_BAO_CAO_NGAY'!$A$6:$A$505,0)),""))</x:f>
      </x:c>
      <x:c r="I168" s="29" t="str">
        <x:f>IF(B168="","",IFERROR(INDEX('05_BAO_CAO_NGAY'!$M$6:$M$505,MATCH(B168,'05_BAO_CAO_NGAY'!$A$6:$A$505,0)),""))</x:f>
      </x:c>
      <x:c r="J168" s="21"/>
      <x:c r="K168" s="29" t="str">
        <x:f>IF(J168="","",IFERROR(INDEX(DM_LY_DO_DUNG!$C$6:$C$105,MATCH(J168,DM_LY_DO_DUNG!$A$6:$A$105,0)),""))</x:f>
      </x:c>
      <x:c r="L168" s="21"/>
      <x:c r="M168" s="21"/>
      <x:c r="N168" s="21"/>
      <x:c r="O168" s="21"/>
      <x:c r="P168" s="21"/>
      <x:c r="Q168" s="43"/>
      <x:c r="R168" s="29" t="str">
        <x:f>IF(A168="","",IF(OR(B168="",C168="",D168="",J168=""),"Thiếu dữ liệu",IF(D168&lt;C168,"Sai thời gian",IF(AND(P168="Đã đóng",Q168=""),"Thiếu thời điểm đóng","Hợp lệ"))))</x:f>
      </x:c>
    </x:row>
    <x:row r="169">
      <x:c r="A169" s="21"/>
      <x:c r="B169" s="21"/>
      <x:c r="C169" s="43"/>
      <x:c r="D169" s="43"/>
      <x:c r="E169" s="39" t="str">
        <x:f>IF(A169="","",MAX(0,(D169-C169)*1440))</x:f>
      </x:c>
      <x:c r="F169" s="29" t="str">
        <x:f>IF(B169="","",IFERROR(INDEX('05_BAO_CAO_NGAY'!$D$6:$D$505,MATCH(B169,'05_BAO_CAO_NGAY'!$A$6:$A$505,0)),""))</x:f>
      </x:c>
      <x:c r="G169" s="29" t="str">
        <x:f>IF(B169="","",IFERROR(INDEX('05_BAO_CAO_NGAY'!$E$6:$E$505,MATCH(B169,'05_BAO_CAO_NGAY'!$A$6:$A$505,0)),""))</x:f>
      </x:c>
      <x:c r="H169" s="29" t="str">
        <x:f>IF(B169="","",IFERROR(INDEX('05_BAO_CAO_NGAY'!$J$6:$J$505,MATCH(B169,'05_BAO_CAO_NGAY'!$A$6:$A$505,0)),""))</x:f>
      </x:c>
      <x:c r="I169" s="29" t="str">
        <x:f>IF(B169="","",IFERROR(INDEX('05_BAO_CAO_NGAY'!$M$6:$M$505,MATCH(B169,'05_BAO_CAO_NGAY'!$A$6:$A$505,0)),""))</x:f>
      </x:c>
      <x:c r="J169" s="21"/>
      <x:c r="K169" s="29" t="str">
        <x:f>IF(J169="","",IFERROR(INDEX(DM_LY_DO_DUNG!$C$6:$C$105,MATCH(J169,DM_LY_DO_DUNG!$A$6:$A$105,0)),""))</x:f>
      </x:c>
      <x:c r="L169" s="21"/>
      <x:c r="M169" s="21"/>
      <x:c r="N169" s="21"/>
      <x:c r="O169" s="21"/>
      <x:c r="P169" s="21"/>
      <x:c r="Q169" s="43"/>
      <x:c r="R169" s="29" t="str">
        <x:f>IF(A169="","",IF(OR(B169="",C169="",D169="",J169=""),"Thiếu dữ liệu",IF(D169&lt;C169,"Sai thời gian",IF(AND(P169="Đã đóng",Q169=""),"Thiếu thời điểm đóng","Hợp lệ"))))</x:f>
      </x:c>
    </x:row>
    <x:row r="170">
      <x:c r="A170" s="21"/>
      <x:c r="B170" s="21"/>
      <x:c r="C170" s="43"/>
      <x:c r="D170" s="43"/>
      <x:c r="E170" s="39" t="str">
        <x:f>IF(A170="","",MAX(0,(D170-C170)*1440))</x:f>
      </x:c>
      <x:c r="F170" s="29" t="str">
        <x:f>IF(B170="","",IFERROR(INDEX('05_BAO_CAO_NGAY'!$D$6:$D$505,MATCH(B170,'05_BAO_CAO_NGAY'!$A$6:$A$505,0)),""))</x:f>
      </x:c>
      <x:c r="G170" s="29" t="str">
        <x:f>IF(B170="","",IFERROR(INDEX('05_BAO_CAO_NGAY'!$E$6:$E$505,MATCH(B170,'05_BAO_CAO_NGAY'!$A$6:$A$505,0)),""))</x:f>
      </x:c>
      <x:c r="H170" s="29" t="str">
        <x:f>IF(B170="","",IFERROR(INDEX('05_BAO_CAO_NGAY'!$J$6:$J$505,MATCH(B170,'05_BAO_CAO_NGAY'!$A$6:$A$505,0)),""))</x:f>
      </x:c>
      <x:c r="I170" s="29" t="str">
        <x:f>IF(B170="","",IFERROR(INDEX('05_BAO_CAO_NGAY'!$M$6:$M$505,MATCH(B170,'05_BAO_CAO_NGAY'!$A$6:$A$505,0)),""))</x:f>
      </x:c>
      <x:c r="J170" s="21"/>
      <x:c r="K170" s="29" t="str">
        <x:f>IF(J170="","",IFERROR(INDEX(DM_LY_DO_DUNG!$C$6:$C$105,MATCH(J170,DM_LY_DO_DUNG!$A$6:$A$105,0)),""))</x:f>
      </x:c>
      <x:c r="L170" s="21"/>
      <x:c r="M170" s="21"/>
      <x:c r="N170" s="21"/>
      <x:c r="O170" s="21"/>
      <x:c r="P170" s="21"/>
      <x:c r="Q170" s="43"/>
      <x:c r="R170" s="29" t="str">
        <x:f>IF(A170="","",IF(OR(B170="",C170="",D170="",J170=""),"Thiếu dữ liệu",IF(D170&lt;C170,"Sai thời gian",IF(AND(P170="Đã đóng",Q170=""),"Thiếu thời điểm đóng","Hợp lệ"))))</x:f>
      </x:c>
    </x:row>
    <x:row r="171">
      <x:c r="A171" s="21"/>
      <x:c r="B171" s="21"/>
      <x:c r="C171" s="43"/>
      <x:c r="D171" s="43"/>
      <x:c r="E171" s="39" t="str">
        <x:f>IF(A171="","",MAX(0,(D171-C171)*1440))</x:f>
      </x:c>
      <x:c r="F171" s="29" t="str">
        <x:f>IF(B171="","",IFERROR(INDEX('05_BAO_CAO_NGAY'!$D$6:$D$505,MATCH(B171,'05_BAO_CAO_NGAY'!$A$6:$A$505,0)),""))</x:f>
      </x:c>
      <x:c r="G171" s="29" t="str">
        <x:f>IF(B171="","",IFERROR(INDEX('05_BAO_CAO_NGAY'!$E$6:$E$505,MATCH(B171,'05_BAO_CAO_NGAY'!$A$6:$A$505,0)),""))</x:f>
      </x:c>
      <x:c r="H171" s="29" t="str">
        <x:f>IF(B171="","",IFERROR(INDEX('05_BAO_CAO_NGAY'!$J$6:$J$505,MATCH(B171,'05_BAO_CAO_NGAY'!$A$6:$A$505,0)),""))</x:f>
      </x:c>
      <x:c r="I171" s="29" t="str">
        <x:f>IF(B171="","",IFERROR(INDEX('05_BAO_CAO_NGAY'!$M$6:$M$505,MATCH(B171,'05_BAO_CAO_NGAY'!$A$6:$A$505,0)),""))</x:f>
      </x:c>
      <x:c r="J171" s="21"/>
      <x:c r="K171" s="29" t="str">
        <x:f>IF(J171="","",IFERROR(INDEX(DM_LY_DO_DUNG!$C$6:$C$105,MATCH(J171,DM_LY_DO_DUNG!$A$6:$A$105,0)),""))</x:f>
      </x:c>
      <x:c r="L171" s="21"/>
      <x:c r="M171" s="21"/>
      <x:c r="N171" s="21"/>
      <x:c r="O171" s="21"/>
      <x:c r="P171" s="21"/>
      <x:c r="Q171" s="43"/>
      <x:c r="R171" s="29" t="str">
        <x:f>IF(A171="","",IF(OR(B171="",C171="",D171="",J171=""),"Thiếu dữ liệu",IF(D171&lt;C171,"Sai thời gian",IF(AND(P171="Đã đóng",Q171=""),"Thiếu thời điểm đóng","Hợp lệ"))))</x:f>
      </x:c>
    </x:row>
    <x:row r="172">
      <x:c r="A172" s="21"/>
      <x:c r="B172" s="21"/>
      <x:c r="C172" s="43"/>
      <x:c r="D172" s="43"/>
      <x:c r="E172" s="39" t="str">
        <x:f>IF(A172="","",MAX(0,(D172-C172)*1440))</x:f>
      </x:c>
      <x:c r="F172" s="29" t="str">
        <x:f>IF(B172="","",IFERROR(INDEX('05_BAO_CAO_NGAY'!$D$6:$D$505,MATCH(B172,'05_BAO_CAO_NGAY'!$A$6:$A$505,0)),""))</x:f>
      </x:c>
      <x:c r="G172" s="29" t="str">
        <x:f>IF(B172="","",IFERROR(INDEX('05_BAO_CAO_NGAY'!$E$6:$E$505,MATCH(B172,'05_BAO_CAO_NGAY'!$A$6:$A$505,0)),""))</x:f>
      </x:c>
      <x:c r="H172" s="29" t="str">
        <x:f>IF(B172="","",IFERROR(INDEX('05_BAO_CAO_NGAY'!$J$6:$J$505,MATCH(B172,'05_BAO_CAO_NGAY'!$A$6:$A$505,0)),""))</x:f>
      </x:c>
      <x:c r="I172" s="29" t="str">
        <x:f>IF(B172="","",IFERROR(INDEX('05_BAO_CAO_NGAY'!$M$6:$M$505,MATCH(B172,'05_BAO_CAO_NGAY'!$A$6:$A$505,0)),""))</x:f>
      </x:c>
      <x:c r="J172" s="21"/>
      <x:c r="K172" s="29" t="str">
        <x:f>IF(J172="","",IFERROR(INDEX(DM_LY_DO_DUNG!$C$6:$C$105,MATCH(J172,DM_LY_DO_DUNG!$A$6:$A$105,0)),""))</x:f>
      </x:c>
      <x:c r="L172" s="21"/>
      <x:c r="M172" s="21"/>
      <x:c r="N172" s="21"/>
      <x:c r="O172" s="21"/>
      <x:c r="P172" s="21"/>
      <x:c r="Q172" s="43"/>
      <x:c r="R172" s="29" t="str">
        <x:f>IF(A172="","",IF(OR(B172="",C172="",D172="",J172=""),"Thiếu dữ liệu",IF(D172&lt;C172,"Sai thời gian",IF(AND(P172="Đã đóng",Q172=""),"Thiếu thời điểm đóng","Hợp lệ"))))</x:f>
      </x:c>
    </x:row>
    <x:row r="173">
      <x:c r="A173" s="21"/>
      <x:c r="B173" s="21"/>
      <x:c r="C173" s="43"/>
      <x:c r="D173" s="43"/>
      <x:c r="E173" s="39" t="str">
        <x:f>IF(A173="","",MAX(0,(D173-C173)*1440))</x:f>
      </x:c>
      <x:c r="F173" s="29" t="str">
        <x:f>IF(B173="","",IFERROR(INDEX('05_BAO_CAO_NGAY'!$D$6:$D$505,MATCH(B173,'05_BAO_CAO_NGAY'!$A$6:$A$505,0)),""))</x:f>
      </x:c>
      <x:c r="G173" s="29" t="str">
        <x:f>IF(B173="","",IFERROR(INDEX('05_BAO_CAO_NGAY'!$E$6:$E$505,MATCH(B173,'05_BAO_CAO_NGAY'!$A$6:$A$505,0)),""))</x:f>
      </x:c>
      <x:c r="H173" s="29" t="str">
        <x:f>IF(B173="","",IFERROR(INDEX('05_BAO_CAO_NGAY'!$J$6:$J$505,MATCH(B173,'05_BAO_CAO_NGAY'!$A$6:$A$505,0)),""))</x:f>
      </x:c>
      <x:c r="I173" s="29" t="str">
        <x:f>IF(B173="","",IFERROR(INDEX('05_BAO_CAO_NGAY'!$M$6:$M$505,MATCH(B173,'05_BAO_CAO_NGAY'!$A$6:$A$505,0)),""))</x:f>
      </x:c>
      <x:c r="J173" s="21"/>
      <x:c r="K173" s="29" t="str">
        <x:f>IF(J173="","",IFERROR(INDEX(DM_LY_DO_DUNG!$C$6:$C$105,MATCH(J173,DM_LY_DO_DUNG!$A$6:$A$105,0)),""))</x:f>
      </x:c>
      <x:c r="L173" s="21"/>
      <x:c r="M173" s="21"/>
      <x:c r="N173" s="21"/>
      <x:c r="O173" s="21"/>
      <x:c r="P173" s="21"/>
      <x:c r="Q173" s="43"/>
      <x:c r="R173" s="29" t="str">
        <x:f>IF(A173="","",IF(OR(B173="",C173="",D173="",J173=""),"Thiếu dữ liệu",IF(D173&lt;C173,"Sai thời gian",IF(AND(P173="Đã đóng",Q173=""),"Thiếu thời điểm đóng","Hợp lệ"))))</x:f>
      </x:c>
    </x:row>
    <x:row r="174">
      <x:c r="A174" s="21"/>
      <x:c r="B174" s="21"/>
      <x:c r="C174" s="43"/>
      <x:c r="D174" s="43"/>
      <x:c r="E174" s="39" t="str">
        <x:f>IF(A174="","",MAX(0,(D174-C174)*1440))</x:f>
      </x:c>
      <x:c r="F174" s="29" t="str">
        <x:f>IF(B174="","",IFERROR(INDEX('05_BAO_CAO_NGAY'!$D$6:$D$505,MATCH(B174,'05_BAO_CAO_NGAY'!$A$6:$A$505,0)),""))</x:f>
      </x:c>
      <x:c r="G174" s="29" t="str">
        <x:f>IF(B174="","",IFERROR(INDEX('05_BAO_CAO_NGAY'!$E$6:$E$505,MATCH(B174,'05_BAO_CAO_NGAY'!$A$6:$A$505,0)),""))</x:f>
      </x:c>
      <x:c r="H174" s="29" t="str">
        <x:f>IF(B174="","",IFERROR(INDEX('05_BAO_CAO_NGAY'!$J$6:$J$505,MATCH(B174,'05_BAO_CAO_NGAY'!$A$6:$A$505,0)),""))</x:f>
      </x:c>
      <x:c r="I174" s="29" t="str">
        <x:f>IF(B174="","",IFERROR(INDEX('05_BAO_CAO_NGAY'!$M$6:$M$505,MATCH(B174,'05_BAO_CAO_NGAY'!$A$6:$A$505,0)),""))</x:f>
      </x:c>
      <x:c r="J174" s="21"/>
      <x:c r="K174" s="29" t="str">
        <x:f>IF(J174="","",IFERROR(INDEX(DM_LY_DO_DUNG!$C$6:$C$105,MATCH(J174,DM_LY_DO_DUNG!$A$6:$A$105,0)),""))</x:f>
      </x:c>
      <x:c r="L174" s="21"/>
      <x:c r="M174" s="21"/>
      <x:c r="N174" s="21"/>
      <x:c r="O174" s="21"/>
      <x:c r="P174" s="21"/>
      <x:c r="Q174" s="43"/>
      <x:c r="R174" s="29" t="str">
        <x:f>IF(A174="","",IF(OR(B174="",C174="",D174="",J174=""),"Thiếu dữ liệu",IF(D174&lt;C174,"Sai thời gian",IF(AND(P174="Đã đóng",Q174=""),"Thiếu thời điểm đóng","Hợp lệ"))))</x:f>
      </x:c>
    </x:row>
    <x:row r="175">
      <x:c r="A175" s="21"/>
      <x:c r="B175" s="21"/>
      <x:c r="C175" s="43"/>
      <x:c r="D175" s="43"/>
      <x:c r="E175" s="39" t="str">
        <x:f>IF(A175="","",MAX(0,(D175-C175)*1440))</x:f>
      </x:c>
      <x:c r="F175" s="29" t="str">
        <x:f>IF(B175="","",IFERROR(INDEX('05_BAO_CAO_NGAY'!$D$6:$D$505,MATCH(B175,'05_BAO_CAO_NGAY'!$A$6:$A$505,0)),""))</x:f>
      </x:c>
      <x:c r="G175" s="29" t="str">
        <x:f>IF(B175="","",IFERROR(INDEX('05_BAO_CAO_NGAY'!$E$6:$E$505,MATCH(B175,'05_BAO_CAO_NGAY'!$A$6:$A$505,0)),""))</x:f>
      </x:c>
      <x:c r="H175" s="29" t="str">
        <x:f>IF(B175="","",IFERROR(INDEX('05_BAO_CAO_NGAY'!$J$6:$J$505,MATCH(B175,'05_BAO_CAO_NGAY'!$A$6:$A$505,0)),""))</x:f>
      </x:c>
      <x:c r="I175" s="29" t="str">
        <x:f>IF(B175="","",IFERROR(INDEX('05_BAO_CAO_NGAY'!$M$6:$M$505,MATCH(B175,'05_BAO_CAO_NGAY'!$A$6:$A$505,0)),""))</x:f>
      </x:c>
      <x:c r="J175" s="21"/>
      <x:c r="K175" s="29" t="str">
        <x:f>IF(J175="","",IFERROR(INDEX(DM_LY_DO_DUNG!$C$6:$C$105,MATCH(J175,DM_LY_DO_DUNG!$A$6:$A$105,0)),""))</x:f>
      </x:c>
      <x:c r="L175" s="21"/>
      <x:c r="M175" s="21"/>
      <x:c r="N175" s="21"/>
      <x:c r="O175" s="21"/>
      <x:c r="P175" s="21"/>
      <x:c r="Q175" s="43"/>
      <x:c r="R175" s="29" t="str">
        <x:f>IF(A175="","",IF(OR(B175="",C175="",D175="",J175=""),"Thiếu dữ liệu",IF(D175&lt;C175,"Sai thời gian",IF(AND(P175="Đã đóng",Q175=""),"Thiếu thời điểm đóng","Hợp lệ"))))</x:f>
      </x:c>
    </x:row>
    <x:row r="176">
      <x:c r="A176" s="21"/>
      <x:c r="B176" s="21"/>
      <x:c r="C176" s="43"/>
      <x:c r="D176" s="43"/>
      <x:c r="E176" s="39" t="str">
        <x:f>IF(A176="","",MAX(0,(D176-C176)*1440))</x:f>
      </x:c>
      <x:c r="F176" s="29" t="str">
        <x:f>IF(B176="","",IFERROR(INDEX('05_BAO_CAO_NGAY'!$D$6:$D$505,MATCH(B176,'05_BAO_CAO_NGAY'!$A$6:$A$505,0)),""))</x:f>
      </x:c>
      <x:c r="G176" s="29" t="str">
        <x:f>IF(B176="","",IFERROR(INDEX('05_BAO_CAO_NGAY'!$E$6:$E$505,MATCH(B176,'05_BAO_CAO_NGAY'!$A$6:$A$505,0)),""))</x:f>
      </x:c>
      <x:c r="H176" s="29" t="str">
        <x:f>IF(B176="","",IFERROR(INDEX('05_BAO_CAO_NGAY'!$J$6:$J$505,MATCH(B176,'05_BAO_CAO_NGAY'!$A$6:$A$505,0)),""))</x:f>
      </x:c>
      <x:c r="I176" s="29" t="str">
        <x:f>IF(B176="","",IFERROR(INDEX('05_BAO_CAO_NGAY'!$M$6:$M$505,MATCH(B176,'05_BAO_CAO_NGAY'!$A$6:$A$505,0)),""))</x:f>
      </x:c>
      <x:c r="J176" s="21"/>
      <x:c r="K176" s="29" t="str">
        <x:f>IF(J176="","",IFERROR(INDEX(DM_LY_DO_DUNG!$C$6:$C$105,MATCH(J176,DM_LY_DO_DUNG!$A$6:$A$105,0)),""))</x:f>
      </x:c>
      <x:c r="L176" s="21"/>
      <x:c r="M176" s="21"/>
      <x:c r="N176" s="21"/>
      <x:c r="O176" s="21"/>
      <x:c r="P176" s="21"/>
      <x:c r="Q176" s="43"/>
      <x:c r="R176" s="29" t="str">
        <x:f>IF(A176="","",IF(OR(B176="",C176="",D176="",J176=""),"Thiếu dữ liệu",IF(D176&lt;C176,"Sai thời gian",IF(AND(P176="Đã đóng",Q176=""),"Thiếu thời điểm đóng","Hợp lệ"))))</x:f>
      </x:c>
    </x:row>
    <x:row r="177">
      <x:c r="A177" s="21"/>
      <x:c r="B177" s="21"/>
      <x:c r="C177" s="43"/>
      <x:c r="D177" s="43"/>
      <x:c r="E177" s="39" t="str">
        <x:f>IF(A177="","",MAX(0,(D177-C177)*1440))</x:f>
      </x:c>
      <x:c r="F177" s="29" t="str">
        <x:f>IF(B177="","",IFERROR(INDEX('05_BAO_CAO_NGAY'!$D$6:$D$505,MATCH(B177,'05_BAO_CAO_NGAY'!$A$6:$A$505,0)),""))</x:f>
      </x:c>
      <x:c r="G177" s="29" t="str">
        <x:f>IF(B177="","",IFERROR(INDEX('05_BAO_CAO_NGAY'!$E$6:$E$505,MATCH(B177,'05_BAO_CAO_NGAY'!$A$6:$A$505,0)),""))</x:f>
      </x:c>
      <x:c r="H177" s="29" t="str">
        <x:f>IF(B177="","",IFERROR(INDEX('05_BAO_CAO_NGAY'!$J$6:$J$505,MATCH(B177,'05_BAO_CAO_NGAY'!$A$6:$A$505,0)),""))</x:f>
      </x:c>
      <x:c r="I177" s="29" t="str">
        <x:f>IF(B177="","",IFERROR(INDEX('05_BAO_CAO_NGAY'!$M$6:$M$505,MATCH(B177,'05_BAO_CAO_NGAY'!$A$6:$A$505,0)),""))</x:f>
      </x:c>
      <x:c r="J177" s="21"/>
      <x:c r="K177" s="29" t="str">
        <x:f>IF(J177="","",IFERROR(INDEX(DM_LY_DO_DUNG!$C$6:$C$105,MATCH(J177,DM_LY_DO_DUNG!$A$6:$A$105,0)),""))</x:f>
      </x:c>
      <x:c r="L177" s="21"/>
      <x:c r="M177" s="21"/>
      <x:c r="N177" s="21"/>
      <x:c r="O177" s="21"/>
      <x:c r="P177" s="21"/>
      <x:c r="Q177" s="43"/>
      <x:c r="R177" s="29" t="str">
        <x:f>IF(A177="","",IF(OR(B177="",C177="",D177="",J177=""),"Thiếu dữ liệu",IF(D177&lt;C177,"Sai thời gian",IF(AND(P177="Đã đóng",Q177=""),"Thiếu thời điểm đóng","Hợp lệ"))))</x:f>
      </x:c>
    </x:row>
    <x:row r="178">
      <x:c r="A178" s="21"/>
      <x:c r="B178" s="21"/>
      <x:c r="C178" s="43"/>
      <x:c r="D178" s="43"/>
      <x:c r="E178" s="39" t="str">
        <x:f>IF(A178="","",MAX(0,(D178-C178)*1440))</x:f>
      </x:c>
      <x:c r="F178" s="29" t="str">
        <x:f>IF(B178="","",IFERROR(INDEX('05_BAO_CAO_NGAY'!$D$6:$D$505,MATCH(B178,'05_BAO_CAO_NGAY'!$A$6:$A$505,0)),""))</x:f>
      </x:c>
      <x:c r="G178" s="29" t="str">
        <x:f>IF(B178="","",IFERROR(INDEX('05_BAO_CAO_NGAY'!$E$6:$E$505,MATCH(B178,'05_BAO_CAO_NGAY'!$A$6:$A$505,0)),""))</x:f>
      </x:c>
      <x:c r="H178" s="29" t="str">
        <x:f>IF(B178="","",IFERROR(INDEX('05_BAO_CAO_NGAY'!$J$6:$J$505,MATCH(B178,'05_BAO_CAO_NGAY'!$A$6:$A$505,0)),""))</x:f>
      </x:c>
      <x:c r="I178" s="29" t="str">
        <x:f>IF(B178="","",IFERROR(INDEX('05_BAO_CAO_NGAY'!$M$6:$M$505,MATCH(B178,'05_BAO_CAO_NGAY'!$A$6:$A$505,0)),""))</x:f>
      </x:c>
      <x:c r="J178" s="21"/>
      <x:c r="K178" s="29" t="str">
        <x:f>IF(J178="","",IFERROR(INDEX(DM_LY_DO_DUNG!$C$6:$C$105,MATCH(J178,DM_LY_DO_DUNG!$A$6:$A$105,0)),""))</x:f>
      </x:c>
      <x:c r="L178" s="21"/>
      <x:c r="M178" s="21"/>
      <x:c r="N178" s="21"/>
      <x:c r="O178" s="21"/>
      <x:c r="P178" s="21"/>
      <x:c r="Q178" s="43"/>
      <x:c r="R178" s="29" t="str">
        <x:f>IF(A178="","",IF(OR(B178="",C178="",D178="",J178=""),"Thiếu dữ liệu",IF(D178&lt;C178,"Sai thời gian",IF(AND(P178="Đã đóng",Q178=""),"Thiếu thời điểm đóng","Hợp lệ"))))</x:f>
      </x:c>
    </x:row>
    <x:row r="179">
      <x:c r="A179" s="21"/>
      <x:c r="B179" s="21"/>
      <x:c r="C179" s="43"/>
      <x:c r="D179" s="43"/>
      <x:c r="E179" s="39" t="str">
        <x:f>IF(A179="","",MAX(0,(D179-C179)*1440))</x:f>
      </x:c>
      <x:c r="F179" s="29" t="str">
        <x:f>IF(B179="","",IFERROR(INDEX('05_BAO_CAO_NGAY'!$D$6:$D$505,MATCH(B179,'05_BAO_CAO_NGAY'!$A$6:$A$505,0)),""))</x:f>
      </x:c>
      <x:c r="G179" s="29" t="str">
        <x:f>IF(B179="","",IFERROR(INDEX('05_BAO_CAO_NGAY'!$E$6:$E$505,MATCH(B179,'05_BAO_CAO_NGAY'!$A$6:$A$505,0)),""))</x:f>
      </x:c>
      <x:c r="H179" s="29" t="str">
        <x:f>IF(B179="","",IFERROR(INDEX('05_BAO_CAO_NGAY'!$J$6:$J$505,MATCH(B179,'05_BAO_CAO_NGAY'!$A$6:$A$505,0)),""))</x:f>
      </x:c>
      <x:c r="I179" s="29" t="str">
        <x:f>IF(B179="","",IFERROR(INDEX('05_BAO_CAO_NGAY'!$M$6:$M$505,MATCH(B179,'05_BAO_CAO_NGAY'!$A$6:$A$505,0)),""))</x:f>
      </x:c>
      <x:c r="J179" s="21"/>
      <x:c r="K179" s="29" t="str">
        <x:f>IF(J179="","",IFERROR(INDEX(DM_LY_DO_DUNG!$C$6:$C$105,MATCH(J179,DM_LY_DO_DUNG!$A$6:$A$105,0)),""))</x:f>
      </x:c>
      <x:c r="L179" s="21"/>
      <x:c r="M179" s="21"/>
      <x:c r="N179" s="21"/>
      <x:c r="O179" s="21"/>
      <x:c r="P179" s="21"/>
      <x:c r="Q179" s="43"/>
      <x:c r="R179" s="29" t="str">
        <x:f>IF(A179="","",IF(OR(B179="",C179="",D179="",J179=""),"Thiếu dữ liệu",IF(D179&lt;C179,"Sai thời gian",IF(AND(P179="Đã đóng",Q179=""),"Thiếu thời điểm đóng","Hợp lệ"))))</x:f>
      </x:c>
    </x:row>
    <x:row r="180">
      <x:c r="A180" s="21"/>
      <x:c r="B180" s="21"/>
      <x:c r="C180" s="43"/>
      <x:c r="D180" s="43"/>
      <x:c r="E180" s="39" t="str">
        <x:f>IF(A180="","",MAX(0,(D180-C180)*1440))</x:f>
      </x:c>
      <x:c r="F180" s="29" t="str">
        <x:f>IF(B180="","",IFERROR(INDEX('05_BAO_CAO_NGAY'!$D$6:$D$505,MATCH(B180,'05_BAO_CAO_NGAY'!$A$6:$A$505,0)),""))</x:f>
      </x:c>
      <x:c r="G180" s="29" t="str">
        <x:f>IF(B180="","",IFERROR(INDEX('05_BAO_CAO_NGAY'!$E$6:$E$505,MATCH(B180,'05_BAO_CAO_NGAY'!$A$6:$A$505,0)),""))</x:f>
      </x:c>
      <x:c r="H180" s="29" t="str">
        <x:f>IF(B180="","",IFERROR(INDEX('05_BAO_CAO_NGAY'!$J$6:$J$505,MATCH(B180,'05_BAO_CAO_NGAY'!$A$6:$A$505,0)),""))</x:f>
      </x:c>
      <x:c r="I180" s="29" t="str">
        <x:f>IF(B180="","",IFERROR(INDEX('05_BAO_CAO_NGAY'!$M$6:$M$505,MATCH(B180,'05_BAO_CAO_NGAY'!$A$6:$A$505,0)),""))</x:f>
      </x:c>
      <x:c r="J180" s="21"/>
      <x:c r="K180" s="29" t="str">
        <x:f>IF(J180="","",IFERROR(INDEX(DM_LY_DO_DUNG!$C$6:$C$105,MATCH(J180,DM_LY_DO_DUNG!$A$6:$A$105,0)),""))</x:f>
      </x:c>
      <x:c r="L180" s="21"/>
      <x:c r="M180" s="21"/>
      <x:c r="N180" s="21"/>
      <x:c r="O180" s="21"/>
      <x:c r="P180" s="21"/>
      <x:c r="Q180" s="43"/>
      <x:c r="R180" s="29" t="str">
        <x:f>IF(A180="","",IF(OR(B180="",C180="",D180="",J180=""),"Thiếu dữ liệu",IF(D180&lt;C180,"Sai thời gian",IF(AND(P180="Đã đóng",Q180=""),"Thiếu thời điểm đóng","Hợp lệ"))))</x:f>
      </x:c>
    </x:row>
    <x:row r="181">
      <x:c r="A181" s="21"/>
      <x:c r="B181" s="21"/>
      <x:c r="C181" s="43"/>
      <x:c r="D181" s="43"/>
      <x:c r="E181" s="39" t="str">
        <x:f>IF(A181="","",MAX(0,(D181-C181)*1440))</x:f>
      </x:c>
      <x:c r="F181" s="29" t="str">
        <x:f>IF(B181="","",IFERROR(INDEX('05_BAO_CAO_NGAY'!$D$6:$D$505,MATCH(B181,'05_BAO_CAO_NGAY'!$A$6:$A$505,0)),""))</x:f>
      </x:c>
      <x:c r="G181" s="29" t="str">
        <x:f>IF(B181="","",IFERROR(INDEX('05_BAO_CAO_NGAY'!$E$6:$E$505,MATCH(B181,'05_BAO_CAO_NGAY'!$A$6:$A$505,0)),""))</x:f>
      </x:c>
      <x:c r="H181" s="29" t="str">
        <x:f>IF(B181="","",IFERROR(INDEX('05_BAO_CAO_NGAY'!$J$6:$J$505,MATCH(B181,'05_BAO_CAO_NGAY'!$A$6:$A$505,0)),""))</x:f>
      </x:c>
      <x:c r="I181" s="29" t="str">
        <x:f>IF(B181="","",IFERROR(INDEX('05_BAO_CAO_NGAY'!$M$6:$M$505,MATCH(B181,'05_BAO_CAO_NGAY'!$A$6:$A$505,0)),""))</x:f>
      </x:c>
      <x:c r="J181" s="21"/>
      <x:c r="K181" s="29" t="str">
        <x:f>IF(J181="","",IFERROR(INDEX(DM_LY_DO_DUNG!$C$6:$C$105,MATCH(J181,DM_LY_DO_DUNG!$A$6:$A$105,0)),""))</x:f>
      </x:c>
      <x:c r="L181" s="21"/>
      <x:c r="M181" s="21"/>
      <x:c r="N181" s="21"/>
      <x:c r="O181" s="21"/>
      <x:c r="P181" s="21"/>
      <x:c r="Q181" s="43"/>
      <x:c r="R181" s="29" t="str">
        <x:f>IF(A181="","",IF(OR(B181="",C181="",D181="",J181=""),"Thiếu dữ liệu",IF(D181&lt;C181,"Sai thời gian",IF(AND(P181="Đã đóng",Q181=""),"Thiếu thời điểm đóng","Hợp lệ"))))</x:f>
      </x:c>
    </x:row>
    <x:row r="182">
      <x:c r="A182" s="21"/>
      <x:c r="B182" s="21"/>
      <x:c r="C182" s="43"/>
      <x:c r="D182" s="43"/>
      <x:c r="E182" s="39" t="str">
        <x:f>IF(A182="","",MAX(0,(D182-C182)*1440))</x:f>
      </x:c>
      <x:c r="F182" s="29" t="str">
        <x:f>IF(B182="","",IFERROR(INDEX('05_BAO_CAO_NGAY'!$D$6:$D$505,MATCH(B182,'05_BAO_CAO_NGAY'!$A$6:$A$505,0)),""))</x:f>
      </x:c>
      <x:c r="G182" s="29" t="str">
        <x:f>IF(B182="","",IFERROR(INDEX('05_BAO_CAO_NGAY'!$E$6:$E$505,MATCH(B182,'05_BAO_CAO_NGAY'!$A$6:$A$505,0)),""))</x:f>
      </x:c>
      <x:c r="H182" s="29" t="str">
        <x:f>IF(B182="","",IFERROR(INDEX('05_BAO_CAO_NGAY'!$J$6:$J$505,MATCH(B182,'05_BAO_CAO_NGAY'!$A$6:$A$505,0)),""))</x:f>
      </x:c>
      <x:c r="I182" s="29" t="str">
        <x:f>IF(B182="","",IFERROR(INDEX('05_BAO_CAO_NGAY'!$M$6:$M$505,MATCH(B182,'05_BAO_CAO_NGAY'!$A$6:$A$505,0)),""))</x:f>
      </x:c>
      <x:c r="J182" s="21"/>
      <x:c r="K182" s="29" t="str">
        <x:f>IF(J182="","",IFERROR(INDEX(DM_LY_DO_DUNG!$C$6:$C$105,MATCH(J182,DM_LY_DO_DUNG!$A$6:$A$105,0)),""))</x:f>
      </x:c>
      <x:c r="L182" s="21"/>
      <x:c r="M182" s="21"/>
      <x:c r="N182" s="21"/>
      <x:c r="O182" s="21"/>
      <x:c r="P182" s="21"/>
      <x:c r="Q182" s="43"/>
      <x:c r="R182" s="29" t="str">
        <x:f>IF(A182="","",IF(OR(B182="",C182="",D182="",J182=""),"Thiếu dữ liệu",IF(D182&lt;C182,"Sai thời gian",IF(AND(P182="Đã đóng",Q182=""),"Thiếu thời điểm đóng","Hợp lệ"))))</x:f>
      </x:c>
    </x:row>
    <x:row r="183">
      <x:c r="A183" s="21"/>
      <x:c r="B183" s="21"/>
      <x:c r="C183" s="43"/>
      <x:c r="D183" s="43"/>
      <x:c r="E183" s="39" t="str">
        <x:f>IF(A183="","",MAX(0,(D183-C183)*1440))</x:f>
      </x:c>
      <x:c r="F183" s="29" t="str">
        <x:f>IF(B183="","",IFERROR(INDEX('05_BAO_CAO_NGAY'!$D$6:$D$505,MATCH(B183,'05_BAO_CAO_NGAY'!$A$6:$A$505,0)),""))</x:f>
      </x:c>
      <x:c r="G183" s="29" t="str">
        <x:f>IF(B183="","",IFERROR(INDEX('05_BAO_CAO_NGAY'!$E$6:$E$505,MATCH(B183,'05_BAO_CAO_NGAY'!$A$6:$A$505,0)),""))</x:f>
      </x:c>
      <x:c r="H183" s="29" t="str">
        <x:f>IF(B183="","",IFERROR(INDEX('05_BAO_CAO_NGAY'!$J$6:$J$505,MATCH(B183,'05_BAO_CAO_NGAY'!$A$6:$A$505,0)),""))</x:f>
      </x:c>
      <x:c r="I183" s="29" t="str">
        <x:f>IF(B183="","",IFERROR(INDEX('05_BAO_CAO_NGAY'!$M$6:$M$505,MATCH(B183,'05_BAO_CAO_NGAY'!$A$6:$A$505,0)),""))</x:f>
      </x:c>
      <x:c r="J183" s="21"/>
      <x:c r="K183" s="29" t="str">
        <x:f>IF(J183="","",IFERROR(INDEX(DM_LY_DO_DUNG!$C$6:$C$105,MATCH(J183,DM_LY_DO_DUNG!$A$6:$A$105,0)),""))</x:f>
      </x:c>
      <x:c r="L183" s="21"/>
      <x:c r="M183" s="21"/>
      <x:c r="N183" s="21"/>
      <x:c r="O183" s="21"/>
      <x:c r="P183" s="21"/>
      <x:c r="Q183" s="43"/>
      <x:c r="R183" s="29" t="str">
        <x:f>IF(A183="","",IF(OR(B183="",C183="",D183="",J183=""),"Thiếu dữ liệu",IF(D183&lt;C183,"Sai thời gian",IF(AND(P183="Đã đóng",Q183=""),"Thiếu thời điểm đóng","Hợp lệ"))))</x:f>
      </x:c>
    </x:row>
    <x:row r="184">
      <x:c r="A184" s="21"/>
      <x:c r="B184" s="21"/>
      <x:c r="C184" s="43"/>
      <x:c r="D184" s="43"/>
      <x:c r="E184" s="39" t="str">
        <x:f>IF(A184="","",MAX(0,(D184-C184)*1440))</x:f>
      </x:c>
      <x:c r="F184" s="29" t="str">
        <x:f>IF(B184="","",IFERROR(INDEX('05_BAO_CAO_NGAY'!$D$6:$D$505,MATCH(B184,'05_BAO_CAO_NGAY'!$A$6:$A$505,0)),""))</x:f>
      </x:c>
      <x:c r="G184" s="29" t="str">
        <x:f>IF(B184="","",IFERROR(INDEX('05_BAO_CAO_NGAY'!$E$6:$E$505,MATCH(B184,'05_BAO_CAO_NGAY'!$A$6:$A$505,0)),""))</x:f>
      </x:c>
      <x:c r="H184" s="29" t="str">
        <x:f>IF(B184="","",IFERROR(INDEX('05_BAO_CAO_NGAY'!$J$6:$J$505,MATCH(B184,'05_BAO_CAO_NGAY'!$A$6:$A$505,0)),""))</x:f>
      </x:c>
      <x:c r="I184" s="29" t="str">
        <x:f>IF(B184="","",IFERROR(INDEX('05_BAO_CAO_NGAY'!$M$6:$M$505,MATCH(B184,'05_BAO_CAO_NGAY'!$A$6:$A$505,0)),""))</x:f>
      </x:c>
      <x:c r="J184" s="21"/>
      <x:c r="K184" s="29" t="str">
        <x:f>IF(J184="","",IFERROR(INDEX(DM_LY_DO_DUNG!$C$6:$C$105,MATCH(J184,DM_LY_DO_DUNG!$A$6:$A$105,0)),""))</x:f>
      </x:c>
      <x:c r="L184" s="21"/>
      <x:c r="M184" s="21"/>
      <x:c r="N184" s="21"/>
      <x:c r="O184" s="21"/>
      <x:c r="P184" s="21"/>
      <x:c r="Q184" s="43"/>
      <x:c r="R184" s="29" t="str">
        <x:f>IF(A184="","",IF(OR(B184="",C184="",D184="",J184=""),"Thiếu dữ liệu",IF(D184&lt;C184,"Sai thời gian",IF(AND(P184="Đã đóng",Q184=""),"Thiếu thời điểm đóng","Hợp lệ"))))</x:f>
      </x:c>
    </x:row>
    <x:row r="185">
      <x:c r="A185" s="21"/>
      <x:c r="B185" s="21"/>
      <x:c r="C185" s="43"/>
      <x:c r="D185" s="43"/>
      <x:c r="E185" s="39" t="str">
        <x:f>IF(A185="","",MAX(0,(D185-C185)*1440))</x:f>
      </x:c>
      <x:c r="F185" s="29" t="str">
        <x:f>IF(B185="","",IFERROR(INDEX('05_BAO_CAO_NGAY'!$D$6:$D$505,MATCH(B185,'05_BAO_CAO_NGAY'!$A$6:$A$505,0)),""))</x:f>
      </x:c>
      <x:c r="G185" s="29" t="str">
        <x:f>IF(B185="","",IFERROR(INDEX('05_BAO_CAO_NGAY'!$E$6:$E$505,MATCH(B185,'05_BAO_CAO_NGAY'!$A$6:$A$505,0)),""))</x:f>
      </x:c>
      <x:c r="H185" s="29" t="str">
        <x:f>IF(B185="","",IFERROR(INDEX('05_BAO_CAO_NGAY'!$J$6:$J$505,MATCH(B185,'05_BAO_CAO_NGAY'!$A$6:$A$505,0)),""))</x:f>
      </x:c>
      <x:c r="I185" s="29" t="str">
        <x:f>IF(B185="","",IFERROR(INDEX('05_BAO_CAO_NGAY'!$M$6:$M$505,MATCH(B185,'05_BAO_CAO_NGAY'!$A$6:$A$505,0)),""))</x:f>
      </x:c>
      <x:c r="J185" s="21"/>
      <x:c r="K185" s="29" t="str">
        <x:f>IF(J185="","",IFERROR(INDEX(DM_LY_DO_DUNG!$C$6:$C$105,MATCH(J185,DM_LY_DO_DUNG!$A$6:$A$105,0)),""))</x:f>
      </x:c>
      <x:c r="L185" s="21"/>
      <x:c r="M185" s="21"/>
      <x:c r="N185" s="21"/>
      <x:c r="O185" s="21"/>
      <x:c r="P185" s="21"/>
      <x:c r="Q185" s="43"/>
      <x:c r="R185" s="29" t="str">
        <x:f>IF(A185="","",IF(OR(B185="",C185="",D185="",J185=""),"Thiếu dữ liệu",IF(D185&lt;C185,"Sai thời gian",IF(AND(P185="Đã đóng",Q185=""),"Thiếu thời điểm đóng","Hợp lệ"))))</x:f>
      </x:c>
    </x:row>
    <x:row r="186">
      <x:c r="A186" s="21"/>
      <x:c r="B186" s="21"/>
      <x:c r="C186" s="43"/>
      <x:c r="D186" s="43"/>
      <x:c r="E186" s="39" t="str">
        <x:f>IF(A186="","",MAX(0,(D186-C186)*1440))</x:f>
      </x:c>
      <x:c r="F186" s="29" t="str">
        <x:f>IF(B186="","",IFERROR(INDEX('05_BAO_CAO_NGAY'!$D$6:$D$505,MATCH(B186,'05_BAO_CAO_NGAY'!$A$6:$A$505,0)),""))</x:f>
      </x:c>
      <x:c r="G186" s="29" t="str">
        <x:f>IF(B186="","",IFERROR(INDEX('05_BAO_CAO_NGAY'!$E$6:$E$505,MATCH(B186,'05_BAO_CAO_NGAY'!$A$6:$A$505,0)),""))</x:f>
      </x:c>
      <x:c r="H186" s="29" t="str">
        <x:f>IF(B186="","",IFERROR(INDEX('05_BAO_CAO_NGAY'!$J$6:$J$505,MATCH(B186,'05_BAO_CAO_NGAY'!$A$6:$A$505,0)),""))</x:f>
      </x:c>
      <x:c r="I186" s="29" t="str">
        <x:f>IF(B186="","",IFERROR(INDEX('05_BAO_CAO_NGAY'!$M$6:$M$505,MATCH(B186,'05_BAO_CAO_NGAY'!$A$6:$A$505,0)),""))</x:f>
      </x:c>
      <x:c r="J186" s="21"/>
      <x:c r="K186" s="29" t="str">
        <x:f>IF(J186="","",IFERROR(INDEX(DM_LY_DO_DUNG!$C$6:$C$105,MATCH(J186,DM_LY_DO_DUNG!$A$6:$A$105,0)),""))</x:f>
      </x:c>
      <x:c r="L186" s="21"/>
      <x:c r="M186" s="21"/>
      <x:c r="N186" s="21"/>
      <x:c r="O186" s="21"/>
      <x:c r="P186" s="21"/>
      <x:c r="Q186" s="43"/>
      <x:c r="R186" s="29" t="str">
        <x:f>IF(A186="","",IF(OR(B186="",C186="",D186="",J186=""),"Thiếu dữ liệu",IF(D186&lt;C186,"Sai thời gian",IF(AND(P186="Đã đóng",Q186=""),"Thiếu thời điểm đóng","Hợp lệ"))))</x:f>
      </x:c>
    </x:row>
    <x:row r="187">
      <x:c r="A187" s="21"/>
      <x:c r="B187" s="21"/>
      <x:c r="C187" s="43"/>
      <x:c r="D187" s="43"/>
      <x:c r="E187" s="39" t="str">
        <x:f>IF(A187="","",MAX(0,(D187-C187)*1440))</x:f>
      </x:c>
      <x:c r="F187" s="29" t="str">
        <x:f>IF(B187="","",IFERROR(INDEX('05_BAO_CAO_NGAY'!$D$6:$D$505,MATCH(B187,'05_BAO_CAO_NGAY'!$A$6:$A$505,0)),""))</x:f>
      </x:c>
      <x:c r="G187" s="29" t="str">
        <x:f>IF(B187="","",IFERROR(INDEX('05_BAO_CAO_NGAY'!$E$6:$E$505,MATCH(B187,'05_BAO_CAO_NGAY'!$A$6:$A$505,0)),""))</x:f>
      </x:c>
      <x:c r="H187" s="29" t="str">
        <x:f>IF(B187="","",IFERROR(INDEX('05_BAO_CAO_NGAY'!$J$6:$J$505,MATCH(B187,'05_BAO_CAO_NGAY'!$A$6:$A$505,0)),""))</x:f>
      </x:c>
      <x:c r="I187" s="29" t="str">
        <x:f>IF(B187="","",IFERROR(INDEX('05_BAO_CAO_NGAY'!$M$6:$M$505,MATCH(B187,'05_BAO_CAO_NGAY'!$A$6:$A$505,0)),""))</x:f>
      </x:c>
      <x:c r="J187" s="21"/>
      <x:c r="K187" s="29" t="str">
        <x:f>IF(J187="","",IFERROR(INDEX(DM_LY_DO_DUNG!$C$6:$C$105,MATCH(J187,DM_LY_DO_DUNG!$A$6:$A$105,0)),""))</x:f>
      </x:c>
      <x:c r="L187" s="21"/>
      <x:c r="M187" s="21"/>
      <x:c r="N187" s="21"/>
      <x:c r="O187" s="21"/>
      <x:c r="P187" s="21"/>
      <x:c r="Q187" s="43"/>
      <x:c r="R187" s="29" t="str">
        <x:f>IF(A187="","",IF(OR(B187="",C187="",D187="",J187=""),"Thiếu dữ liệu",IF(D187&lt;C187,"Sai thời gian",IF(AND(P187="Đã đóng",Q187=""),"Thiếu thời điểm đóng","Hợp lệ"))))</x:f>
      </x:c>
    </x:row>
    <x:row r="188">
      <x:c r="A188" s="21"/>
      <x:c r="B188" s="21"/>
      <x:c r="C188" s="43"/>
      <x:c r="D188" s="43"/>
      <x:c r="E188" s="39" t="str">
        <x:f>IF(A188="","",MAX(0,(D188-C188)*1440))</x:f>
      </x:c>
      <x:c r="F188" s="29" t="str">
        <x:f>IF(B188="","",IFERROR(INDEX('05_BAO_CAO_NGAY'!$D$6:$D$505,MATCH(B188,'05_BAO_CAO_NGAY'!$A$6:$A$505,0)),""))</x:f>
      </x:c>
      <x:c r="G188" s="29" t="str">
        <x:f>IF(B188="","",IFERROR(INDEX('05_BAO_CAO_NGAY'!$E$6:$E$505,MATCH(B188,'05_BAO_CAO_NGAY'!$A$6:$A$505,0)),""))</x:f>
      </x:c>
      <x:c r="H188" s="29" t="str">
        <x:f>IF(B188="","",IFERROR(INDEX('05_BAO_CAO_NGAY'!$J$6:$J$505,MATCH(B188,'05_BAO_CAO_NGAY'!$A$6:$A$505,0)),""))</x:f>
      </x:c>
      <x:c r="I188" s="29" t="str">
        <x:f>IF(B188="","",IFERROR(INDEX('05_BAO_CAO_NGAY'!$M$6:$M$505,MATCH(B188,'05_BAO_CAO_NGAY'!$A$6:$A$505,0)),""))</x:f>
      </x:c>
      <x:c r="J188" s="21"/>
      <x:c r="K188" s="29" t="str">
        <x:f>IF(J188="","",IFERROR(INDEX(DM_LY_DO_DUNG!$C$6:$C$105,MATCH(J188,DM_LY_DO_DUNG!$A$6:$A$105,0)),""))</x:f>
      </x:c>
      <x:c r="L188" s="21"/>
      <x:c r="M188" s="21"/>
      <x:c r="N188" s="21"/>
      <x:c r="O188" s="21"/>
      <x:c r="P188" s="21"/>
      <x:c r="Q188" s="43"/>
      <x:c r="R188" s="29" t="str">
        <x:f>IF(A188="","",IF(OR(B188="",C188="",D188="",J188=""),"Thiếu dữ liệu",IF(D188&lt;C188,"Sai thời gian",IF(AND(P188="Đã đóng",Q188=""),"Thiếu thời điểm đóng","Hợp lệ"))))</x:f>
      </x:c>
    </x:row>
    <x:row r="189">
      <x:c r="A189" s="21"/>
      <x:c r="B189" s="21"/>
      <x:c r="C189" s="43"/>
      <x:c r="D189" s="43"/>
      <x:c r="E189" s="39" t="str">
        <x:f>IF(A189="","",MAX(0,(D189-C189)*1440))</x:f>
      </x:c>
      <x:c r="F189" s="29" t="str">
        <x:f>IF(B189="","",IFERROR(INDEX('05_BAO_CAO_NGAY'!$D$6:$D$505,MATCH(B189,'05_BAO_CAO_NGAY'!$A$6:$A$505,0)),""))</x:f>
      </x:c>
      <x:c r="G189" s="29" t="str">
        <x:f>IF(B189="","",IFERROR(INDEX('05_BAO_CAO_NGAY'!$E$6:$E$505,MATCH(B189,'05_BAO_CAO_NGAY'!$A$6:$A$505,0)),""))</x:f>
      </x:c>
      <x:c r="H189" s="29" t="str">
        <x:f>IF(B189="","",IFERROR(INDEX('05_BAO_CAO_NGAY'!$J$6:$J$505,MATCH(B189,'05_BAO_CAO_NGAY'!$A$6:$A$505,0)),""))</x:f>
      </x:c>
      <x:c r="I189" s="29" t="str">
        <x:f>IF(B189="","",IFERROR(INDEX('05_BAO_CAO_NGAY'!$M$6:$M$505,MATCH(B189,'05_BAO_CAO_NGAY'!$A$6:$A$505,0)),""))</x:f>
      </x:c>
      <x:c r="J189" s="21"/>
      <x:c r="K189" s="29" t="str">
        <x:f>IF(J189="","",IFERROR(INDEX(DM_LY_DO_DUNG!$C$6:$C$105,MATCH(J189,DM_LY_DO_DUNG!$A$6:$A$105,0)),""))</x:f>
      </x:c>
      <x:c r="L189" s="21"/>
      <x:c r="M189" s="21"/>
      <x:c r="N189" s="21"/>
      <x:c r="O189" s="21"/>
      <x:c r="P189" s="21"/>
      <x:c r="Q189" s="43"/>
      <x:c r="R189" s="29" t="str">
        <x:f>IF(A189="","",IF(OR(B189="",C189="",D189="",J189=""),"Thiếu dữ liệu",IF(D189&lt;C189,"Sai thời gian",IF(AND(P189="Đã đóng",Q189=""),"Thiếu thời điểm đóng","Hợp lệ"))))</x:f>
      </x:c>
    </x:row>
    <x:row r="190">
      <x:c r="A190" s="21"/>
      <x:c r="B190" s="21"/>
      <x:c r="C190" s="43"/>
      <x:c r="D190" s="43"/>
      <x:c r="E190" s="39" t="str">
        <x:f>IF(A190="","",MAX(0,(D190-C190)*1440))</x:f>
      </x:c>
      <x:c r="F190" s="29" t="str">
        <x:f>IF(B190="","",IFERROR(INDEX('05_BAO_CAO_NGAY'!$D$6:$D$505,MATCH(B190,'05_BAO_CAO_NGAY'!$A$6:$A$505,0)),""))</x:f>
      </x:c>
      <x:c r="G190" s="29" t="str">
        <x:f>IF(B190="","",IFERROR(INDEX('05_BAO_CAO_NGAY'!$E$6:$E$505,MATCH(B190,'05_BAO_CAO_NGAY'!$A$6:$A$505,0)),""))</x:f>
      </x:c>
      <x:c r="H190" s="29" t="str">
        <x:f>IF(B190="","",IFERROR(INDEX('05_BAO_CAO_NGAY'!$J$6:$J$505,MATCH(B190,'05_BAO_CAO_NGAY'!$A$6:$A$505,0)),""))</x:f>
      </x:c>
      <x:c r="I190" s="29" t="str">
        <x:f>IF(B190="","",IFERROR(INDEX('05_BAO_CAO_NGAY'!$M$6:$M$505,MATCH(B190,'05_BAO_CAO_NGAY'!$A$6:$A$505,0)),""))</x:f>
      </x:c>
      <x:c r="J190" s="21"/>
      <x:c r="K190" s="29" t="str">
        <x:f>IF(J190="","",IFERROR(INDEX(DM_LY_DO_DUNG!$C$6:$C$105,MATCH(J190,DM_LY_DO_DUNG!$A$6:$A$105,0)),""))</x:f>
      </x:c>
      <x:c r="L190" s="21"/>
      <x:c r="M190" s="21"/>
      <x:c r="N190" s="21"/>
      <x:c r="O190" s="21"/>
      <x:c r="P190" s="21"/>
      <x:c r="Q190" s="43"/>
      <x:c r="R190" s="29" t="str">
        <x:f>IF(A190="","",IF(OR(B190="",C190="",D190="",J190=""),"Thiếu dữ liệu",IF(D190&lt;C190,"Sai thời gian",IF(AND(P190="Đã đóng",Q190=""),"Thiếu thời điểm đóng","Hợp lệ"))))</x:f>
      </x:c>
    </x:row>
    <x:row r="191">
      <x:c r="A191" s="21"/>
      <x:c r="B191" s="21"/>
      <x:c r="C191" s="43"/>
      <x:c r="D191" s="43"/>
      <x:c r="E191" s="39" t="str">
        <x:f>IF(A191="","",MAX(0,(D191-C191)*1440))</x:f>
      </x:c>
      <x:c r="F191" s="29" t="str">
        <x:f>IF(B191="","",IFERROR(INDEX('05_BAO_CAO_NGAY'!$D$6:$D$505,MATCH(B191,'05_BAO_CAO_NGAY'!$A$6:$A$505,0)),""))</x:f>
      </x:c>
      <x:c r="G191" s="29" t="str">
        <x:f>IF(B191="","",IFERROR(INDEX('05_BAO_CAO_NGAY'!$E$6:$E$505,MATCH(B191,'05_BAO_CAO_NGAY'!$A$6:$A$505,0)),""))</x:f>
      </x:c>
      <x:c r="H191" s="29" t="str">
        <x:f>IF(B191="","",IFERROR(INDEX('05_BAO_CAO_NGAY'!$J$6:$J$505,MATCH(B191,'05_BAO_CAO_NGAY'!$A$6:$A$505,0)),""))</x:f>
      </x:c>
      <x:c r="I191" s="29" t="str">
        <x:f>IF(B191="","",IFERROR(INDEX('05_BAO_CAO_NGAY'!$M$6:$M$505,MATCH(B191,'05_BAO_CAO_NGAY'!$A$6:$A$505,0)),""))</x:f>
      </x:c>
      <x:c r="J191" s="21"/>
      <x:c r="K191" s="29" t="str">
        <x:f>IF(J191="","",IFERROR(INDEX(DM_LY_DO_DUNG!$C$6:$C$105,MATCH(J191,DM_LY_DO_DUNG!$A$6:$A$105,0)),""))</x:f>
      </x:c>
      <x:c r="L191" s="21"/>
      <x:c r="M191" s="21"/>
      <x:c r="N191" s="21"/>
      <x:c r="O191" s="21"/>
      <x:c r="P191" s="21"/>
      <x:c r="Q191" s="43"/>
      <x:c r="R191" s="29" t="str">
        <x:f>IF(A191="","",IF(OR(B191="",C191="",D191="",J191=""),"Thiếu dữ liệu",IF(D191&lt;C191,"Sai thời gian",IF(AND(P191="Đã đóng",Q191=""),"Thiếu thời điểm đóng","Hợp lệ"))))</x:f>
      </x:c>
    </x:row>
    <x:row r="192">
      <x:c r="A192" s="21"/>
      <x:c r="B192" s="21"/>
      <x:c r="C192" s="43"/>
      <x:c r="D192" s="43"/>
      <x:c r="E192" s="39" t="str">
        <x:f>IF(A192="","",MAX(0,(D192-C192)*1440))</x:f>
      </x:c>
      <x:c r="F192" s="29" t="str">
        <x:f>IF(B192="","",IFERROR(INDEX('05_BAO_CAO_NGAY'!$D$6:$D$505,MATCH(B192,'05_BAO_CAO_NGAY'!$A$6:$A$505,0)),""))</x:f>
      </x:c>
      <x:c r="G192" s="29" t="str">
        <x:f>IF(B192="","",IFERROR(INDEX('05_BAO_CAO_NGAY'!$E$6:$E$505,MATCH(B192,'05_BAO_CAO_NGAY'!$A$6:$A$505,0)),""))</x:f>
      </x:c>
      <x:c r="H192" s="29" t="str">
        <x:f>IF(B192="","",IFERROR(INDEX('05_BAO_CAO_NGAY'!$J$6:$J$505,MATCH(B192,'05_BAO_CAO_NGAY'!$A$6:$A$505,0)),""))</x:f>
      </x:c>
      <x:c r="I192" s="29" t="str">
        <x:f>IF(B192="","",IFERROR(INDEX('05_BAO_CAO_NGAY'!$M$6:$M$505,MATCH(B192,'05_BAO_CAO_NGAY'!$A$6:$A$505,0)),""))</x:f>
      </x:c>
      <x:c r="J192" s="21"/>
      <x:c r="K192" s="29" t="str">
        <x:f>IF(J192="","",IFERROR(INDEX(DM_LY_DO_DUNG!$C$6:$C$105,MATCH(J192,DM_LY_DO_DUNG!$A$6:$A$105,0)),""))</x:f>
      </x:c>
      <x:c r="L192" s="21"/>
      <x:c r="M192" s="21"/>
      <x:c r="N192" s="21"/>
      <x:c r="O192" s="21"/>
      <x:c r="P192" s="21"/>
      <x:c r="Q192" s="43"/>
      <x:c r="R192" s="29" t="str">
        <x:f>IF(A192="","",IF(OR(B192="",C192="",D192="",J192=""),"Thiếu dữ liệu",IF(D192&lt;C192,"Sai thời gian",IF(AND(P192="Đã đóng",Q192=""),"Thiếu thời điểm đóng","Hợp lệ"))))</x:f>
      </x:c>
    </x:row>
    <x:row r="193">
      <x:c r="A193" s="21"/>
      <x:c r="B193" s="21"/>
      <x:c r="C193" s="43"/>
      <x:c r="D193" s="43"/>
      <x:c r="E193" s="39" t="str">
        <x:f>IF(A193="","",MAX(0,(D193-C193)*1440))</x:f>
      </x:c>
      <x:c r="F193" s="29" t="str">
        <x:f>IF(B193="","",IFERROR(INDEX('05_BAO_CAO_NGAY'!$D$6:$D$505,MATCH(B193,'05_BAO_CAO_NGAY'!$A$6:$A$505,0)),""))</x:f>
      </x:c>
      <x:c r="G193" s="29" t="str">
        <x:f>IF(B193="","",IFERROR(INDEX('05_BAO_CAO_NGAY'!$E$6:$E$505,MATCH(B193,'05_BAO_CAO_NGAY'!$A$6:$A$505,0)),""))</x:f>
      </x:c>
      <x:c r="H193" s="29" t="str">
        <x:f>IF(B193="","",IFERROR(INDEX('05_BAO_CAO_NGAY'!$J$6:$J$505,MATCH(B193,'05_BAO_CAO_NGAY'!$A$6:$A$505,0)),""))</x:f>
      </x:c>
      <x:c r="I193" s="29" t="str">
        <x:f>IF(B193="","",IFERROR(INDEX('05_BAO_CAO_NGAY'!$M$6:$M$505,MATCH(B193,'05_BAO_CAO_NGAY'!$A$6:$A$505,0)),""))</x:f>
      </x:c>
      <x:c r="J193" s="21"/>
      <x:c r="K193" s="29" t="str">
        <x:f>IF(J193="","",IFERROR(INDEX(DM_LY_DO_DUNG!$C$6:$C$105,MATCH(J193,DM_LY_DO_DUNG!$A$6:$A$105,0)),""))</x:f>
      </x:c>
      <x:c r="L193" s="21"/>
      <x:c r="M193" s="21"/>
      <x:c r="N193" s="21"/>
      <x:c r="O193" s="21"/>
      <x:c r="P193" s="21"/>
      <x:c r="Q193" s="43"/>
      <x:c r="R193" s="29" t="str">
        <x:f>IF(A193="","",IF(OR(B193="",C193="",D193="",J193=""),"Thiếu dữ liệu",IF(D193&lt;C193,"Sai thời gian",IF(AND(P193="Đã đóng",Q193=""),"Thiếu thời điểm đóng","Hợp lệ"))))</x:f>
      </x:c>
    </x:row>
    <x:row r="194">
      <x:c r="A194" s="21"/>
      <x:c r="B194" s="21"/>
      <x:c r="C194" s="43"/>
      <x:c r="D194" s="43"/>
      <x:c r="E194" s="39" t="str">
        <x:f>IF(A194="","",MAX(0,(D194-C194)*1440))</x:f>
      </x:c>
      <x:c r="F194" s="29" t="str">
        <x:f>IF(B194="","",IFERROR(INDEX('05_BAO_CAO_NGAY'!$D$6:$D$505,MATCH(B194,'05_BAO_CAO_NGAY'!$A$6:$A$505,0)),""))</x:f>
      </x:c>
      <x:c r="G194" s="29" t="str">
        <x:f>IF(B194="","",IFERROR(INDEX('05_BAO_CAO_NGAY'!$E$6:$E$505,MATCH(B194,'05_BAO_CAO_NGAY'!$A$6:$A$505,0)),""))</x:f>
      </x:c>
      <x:c r="H194" s="29" t="str">
        <x:f>IF(B194="","",IFERROR(INDEX('05_BAO_CAO_NGAY'!$J$6:$J$505,MATCH(B194,'05_BAO_CAO_NGAY'!$A$6:$A$505,0)),""))</x:f>
      </x:c>
      <x:c r="I194" s="29" t="str">
        <x:f>IF(B194="","",IFERROR(INDEX('05_BAO_CAO_NGAY'!$M$6:$M$505,MATCH(B194,'05_BAO_CAO_NGAY'!$A$6:$A$505,0)),""))</x:f>
      </x:c>
      <x:c r="J194" s="21"/>
      <x:c r="K194" s="29" t="str">
        <x:f>IF(J194="","",IFERROR(INDEX(DM_LY_DO_DUNG!$C$6:$C$105,MATCH(J194,DM_LY_DO_DUNG!$A$6:$A$105,0)),""))</x:f>
      </x:c>
      <x:c r="L194" s="21"/>
      <x:c r="M194" s="21"/>
      <x:c r="N194" s="21"/>
      <x:c r="O194" s="21"/>
      <x:c r="P194" s="21"/>
      <x:c r="Q194" s="43"/>
      <x:c r="R194" s="29" t="str">
        <x:f>IF(A194="","",IF(OR(B194="",C194="",D194="",J194=""),"Thiếu dữ liệu",IF(D194&lt;C194,"Sai thời gian",IF(AND(P194="Đã đóng",Q194=""),"Thiếu thời điểm đóng","Hợp lệ"))))</x:f>
      </x:c>
    </x:row>
    <x:row r="195">
      <x:c r="A195" s="21"/>
      <x:c r="B195" s="21"/>
      <x:c r="C195" s="43"/>
      <x:c r="D195" s="43"/>
      <x:c r="E195" s="39" t="str">
        <x:f>IF(A195="","",MAX(0,(D195-C195)*1440))</x:f>
      </x:c>
      <x:c r="F195" s="29" t="str">
        <x:f>IF(B195="","",IFERROR(INDEX('05_BAO_CAO_NGAY'!$D$6:$D$505,MATCH(B195,'05_BAO_CAO_NGAY'!$A$6:$A$505,0)),""))</x:f>
      </x:c>
      <x:c r="G195" s="29" t="str">
        <x:f>IF(B195="","",IFERROR(INDEX('05_BAO_CAO_NGAY'!$E$6:$E$505,MATCH(B195,'05_BAO_CAO_NGAY'!$A$6:$A$505,0)),""))</x:f>
      </x:c>
      <x:c r="H195" s="29" t="str">
        <x:f>IF(B195="","",IFERROR(INDEX('05_BAO_CAO_NGAY'!$J$6:$J$505,MATCH(B195,'05_BAO_CAO_NGAY'!$A$6:$A$505,0)),""))</x:f>
      </x:c>
      <x:c r="I195" s="29" t="str">
        <x:f>IF(B195="","",IFERROR(INDEX('05_BAO_CAO_NGAY'!$M$6:$M$505,MATCH(B195,'05_BAO_CAO_NGAY'!$A$6:$A$505,0)),""))</x:f>
      </x:c>
      <x:c r="J195" s="21"/>
      <x:c r="K195" s="29" t="str">
        <x:f>IF(J195="","",IFERROR(INDEX(DM_LY_DO_DUNG!$C$6:$C$105,MATCH(J195,DM_LY_DO_DUNG!$A$6:$A$105,0)),""))</x:f>
      </x:c>
      <x:c r="L195" s="21"/>
      <x:c r="M195" s="21"/>
      <x:c r="N195" s="21"/>
      <x:c r="O195" s="21"/>
      <x:c r="P195" s="21"/>
      <x:c r="Q195" s="43"/>
      <x:c r="R195" s="29" t="str">
        <x:f>IF(A195="","",IF(OR(B195="",C195="",D195="",J195=""),"Thiếu dữ liệu",IF(D195&lt;C195,"Sai thời gian",IF(AND(P195="Đã đóng",Q195=""),"Thiếu thời điểm đóng","Hợp lệ"))))</x:f>
      </x:c>
    </x:row>
    <x:row r="196">
      <x:c r="A196" s="21"/>
      <x:c r="B196" s="21"/>
      <x:c r="C196" s="43"/>
      <x:c r="D196" s="43"/>
      <x:c r="E196" s="39" t="str">
        <x:f>IF(A196="","",MAX(0,(D196-C196)*1440))</x:f>
      </x:c>
      <x:c r="F196" s="29" t="str">
        <x:f>IF(B196="","",IFERROR(INDEX('05_BAO_CAO_NGAY'!$D$6:$D$505,MATCH(B196,'05_BAO_CAO_NGAY'!$A$6:$A$505,0)),""))</x:f>
      </x:c>
      <x:c r="G196" s="29" t="str">
        <x:f>IF(B196="","",IFERROR(INDEX('05_BAO_CAO_NGAY'!$E$6:$E$505,MATCH(B196,'05_BAO_CAO_NGAY'!$A$6:$A$505,0)),""))</x:f>
      </x:c>
      <x:c r="H196" s="29" t="str">
        <x:f>IF(B196="","",IFERROR(INDEX('05_BAO_CAO_NGAY'!$J$6:$J$505,MATCH(B196,'05_BAO_CAO_NGAY'!$A$6:$A$505,0)),""))</x:f>
      </x:c>
      <x:c r="I196" s="29" t="str">
        <x:f>IF(B196="","",IFERROR(INDEX('05_BAO_CAO_NGAY'!$M$6:$M$505,MATCH(B196,'05_BAO_CAO_NGAY'!$A$6:$A$505,0)),""))</x:f>
      </x:c>
      <x:c r="J196" s="21"/>
      <x:c r="K196" s="29" t="str">
        <x:f>IF(J196="","",IFERROR(INDEX(DM_LY_DO_DUNG!$C$6:$C$105,MATCH(J196,DM_LY_DO_DUNG!$A$6:$A$105,0)),""))</x:f>
      </x:c>
      <x:c r="L196" s="21"/>
      <x:c r="M196" s="21"/>
      <x:c r="N196" s="21"/>
      <x:c r="O196" s="21"/>
      <x:c r="P196" s="21"/>
      <x:c r="Q196" s="43"/>
      <x:c r="R196" s="29" t="str">
        <x:f>IF(A196="","",IF(OR(B196="",C196="",D196="",J196=""),"Thiếu dữ liệu",IF(D196&lt;C196,"Sai thời gian",IF(AND(P196="Đã đóng",Q196=""),"Thiếu thời điểm đóng","Hợp lệ"))))</x:f>
      </x:c>
    </x:row>
    <x:row r="197">
      <x:c r="A197" s="21"/>
      <x:c r="B197" s="21"/>
      <x:c r="C197" s="43"/>
      <x:c r="D197" s="43"/>
      <x:c r="E197" s="39" t="str">
        <x:f>IF(A197="","",MAX(0,(D197-C197)*1440))</x:f>
      </x:c>
      <x:c r="F197" s="29" t="str">
        <x:f>IF(B197="","",IFERROR(INDEX('05_BAO_CAO_NGAY'!$D$6:$D$505,MATCH(B197,'05_BAO_CAO_NGAY'!$A$6:$A$505,0)),""))</x:f>
      </x:c>
      <x:c r="G197" s="29" t="str">
        <x:f>IF(B197="","",IFERROR(INDEX('05_BAO_CAO_NGAY'!$E$6:$E$505,MATCH(B197,'05_BAO_CAO_NGAY'!$A$6:$A$505,0)),""))</x:f>
      </x:c>
      <x:c r="H197" s="29" t="str">
        <x:f>IF(B197="","",IFERROR(INDEX('05_BAO_CAO_NGAY'!$J$6:$J$505,MATCH(B197,'05_BAO_CAO_NGAY'!$A$6:$A$505,0)),""))</x:f>
      </x:c>
      <x:c r="I197" s="29" t="str">
        <x:f>IF(B197="","",IFERROR(INDEX('05_BAO_CAO_NGAY'!$M$6:$M$505,MATCH(B197,'05_BAO_CAO_NGAY'!$A$6:$A$505,0)),""))</x:f>
      </x:c>
      <x:c r="J197" s="21"/>
      <x:c r="K197" s="29" t="str">
        <x:f>IF(J197="","",IFERROR(INDEX(DM_LY_DO_DUNG!$C$6:$C$105,MATCH(J197,DM_LY_DO_DUNG!$A$6:$A$105,0)),""))</x:f>
      </x:c>
      <x:c r="L197" s="21"/>
      <x:c r="M197" s="21"/>
      <x:c r="N197" s="21"/>
      <x:c r="O197" s="21"/>
      <x:c r="P197" s="21"/>
      <x:c r="Q197" s="43"/>
      <x:c r="R197" s="29" t="str">
        <x:f>IF(A197="","",IF(OR(B197="",C197="",D197="",J197=""),"Thiếu dữ liệu",IF(D197&lt;C197,"Sai thời gian",IF(AND(P197="Đã đóng",Q197=""),"Thiếu thời điểm đóng","Hợp lệ"))))</x:f>
      </x:c>
    </x:row>
    <x:row r="198">
      <x:c r="A198" s="21"/>
      <x:c r="B198" s="21"/>
      <x:c r="C198" s="43"/>
      <x:c r="D198" s="43"/>
      <x:c r="E198" s="39" t="str">
        <x:f>IF(A198="","",MAX(0,(D198-C198)*1440))</x:f>
      </x:c>
      <x:c r="F198" s="29" t="str">
        <x:f>IF(B198="","",IFERROR(INDEX('05_BAO_CAO_NGAY'!$D$6:$D$505,MATCH(B198,'05_BAO_CAO_NGAY'!$A$6:$A$505,0)),""))</x:f>
      </x:c>
      <x:c r="G198" s="29" t="str">
        <x:f>IF(B198="","",IFERROR(INDEX('05_BAO_CAO_NGAY'!$E$6:$E$505,MATCH(B198,'05_BAO_CAO_NGAY'!$A$6:$A$505,0)),""))</x:f>
      </x:c>
      <x:c r="H198" s="29" t="str">
        <x:f>IF(B198="","",IFERROR(INDEX('05_BAO_CAO_NGAY'!$J$6:$J$505,MATCH(B198,'05_BAO_CAO_NGAY'!$A$6:$A$505,0)),""))</x:f>
      </x:c>
      <x:c r="I198" s="29" t="str">
        <x:f>IF(B198="","",IFERROR(INDEX('05_BAO_CAO_NGAY'!$M$6:$M$505,MATCH(B198,'05_BAO_CAO_NGAY'!$A$6:$A$505,0)),""))</x:f>
      </x:c>
      <x:c r="J198" s="21"/>
      <x:c r="K198" s="29" t="str">
        <x:f>IF(J198="","",IFERROR(INDEX(DM_LY_DO_DUNG!$C$6:$C$105,MATCH(J198,DM_LY_DO_DUNG!$A$6:$A$105,0)),""))</x:f>
      </x:c>
      <x:c r="L198" s="21"/>
      <x:c r="M198" s="21"/>
      <x:c r="N198" s="21"/>
      <x:c r="O198" s="21"/>
      <x:c r="P198" s="21"/>
      <x:c r="Q198" s="43"/>
      <x:c r="R198" s="29" t="str">
        <x:f>IF(A198="","",IF(OR(B198="",C198="",D198="",J198=""),"Thiếu dữ liệu",IF(D198&lt;C198,"Sai thời gian",IF(AND(P198="Đã đóng",Q198=""),"Thiếu thời điểm đóng","Hợp lệ"))))</x:f>
      </x:c>
    </x:row>
    <x:row r="199">
      <x:c r="A199" s="21"/>
      <x:c r="B199" s="21"/>
      <x:c r="C199" s="43"/>
      <x:c r="D199" s="43"/>
      <x:c r="E199" s="39" t="str">
        <x:f>IF(A199="","",MAX(0,(D199-C199)*1440))</x:f>
      </x:c>
      <x:c r="F199" s="29" t="str">
        <x:f>IF(B199="","",IFERROR(INDEX('05_BAO_CAO_NGAY'!$D$6:$D$505,MATCH(B199,'05_BAO_CAO_NGAY'!$A$6:$A$505,0)),""))</x:f>
      </x:c>
      <x:c r="G199" s="29" t="str">
        <x:f>IF(B199="","",IFERROR(INDEX('05_BAO_CAO_NGAY'!$E$6:$E$505,MATCH(B199,'05_BAO_CAO_NGAY'!$A$6:$A$505,0)),""))</x:f>
      </x:c>
      <x:c r="H199" s="29" t="str">
        <x:f>IF(B199="","",IFERROR(INDEX('05_BAO_CAO_NGAY'!$J$6:$J$505,MATCH(B199,'05_BAO_CAO_NGAY'!$A$6:$A$505,0)),""))</x:f>
      </x:c>
      <x:c r="I199" s="29" t="str">
        <x:f>IF(B199="","",IFERROR(INDEX('05_BAO_CAO_NGAY'!$M$6:$M$505,MATCH(B199,'05_BAO_CAO_NGAY'!$A$6:$A$505,0)),""))</x:f>
      </x:c>
      <x:c r="J199" s="21"/>
      <x:c r="K199" s="29" t="str">
        <x:f>IF(J199="","",IFERROR(INDEX(DM_LY_DO_DUNG!$C$6:$C$105,MATCH(J199,DM_LY_DO_DUNG!$A$6:$A$105,0)),""))</x:f>
      </x:c>
      <x:c r="L199" s="21"/>
      <x:c r="M199" s="21"/>
      <x:c r="N199" s="21"/>
      <x:c r="O199" s="21"/>
      <x:c r="P199" s="21"/>
      <x:c r="Q199" s="43"/>
      <x:c r="R199" s="29" t="str">
        <x:f>IF(A199="","",IF(OR(B199="",C199="",D199="",J199=""),"Thiếu dữ liệu",IF(D199&lt;C199,"Sai thời gian",IF(AND(P199="Đã đóng",Q199=""),"Thiếu thời điểm đóng","Hợp lệ"))))</x:f>
      </x:c>
    </x:row>
    <x:row r="200">
      <x:c r="A200" s="21"/>
      <x:c r="B200" s="21"/>
      <x:c r="C200" s="43"/>
      <x:c r="D200" s="43"/>
      <x:c r="E200" s="39" t="str">
        <x:f>IF(A200="","",MAX(0,(D200-C200)*1440))</x:f>
      </x:c>
      <x:c r="F200" s="29" t="str">
        <x:f>IF(B200="","",IFERROR(INDEX('05_BAO_CAO_NGAY'!$D$6:$D$505,MATCH(B200,'05_BAO_CAO_NGAY'!$A$6:$A$505,0)),""))</x:f>
      </x:c>
      <x:c r="G200" s="29" t="str">
        <x:f>IF(B200="","",IFERROR(INDEX('05_BAO_CAO_NGAY'!$E$6:$E$505,MATCH(B200,'05_BAO_CAO_NGAY'!$A$6:$A$505,0)),""))</x:f>
      </x:c>
      <x:c r="H200" s="29" t="str">
        <x:f>IF(B200="","",IFERROR(INDEX('05_BAO_CAO_NGAY'!$J$6:$J$505,MATCH(B200,'05_BAO_CAO_NGAY'!$A$6:$A$505,0)),""))</x:f>
      </x:c>
      <x:c r="I200" s="29" t="str">
        <x:f>IF(B200="","",IFERROR(INDEX('05_BAO_CAO_NGAY'!$M$6:$M$505,MATCH(B200,'05_BAO_CAO_NGAY'!$A$6:$A$505,0)),""))</x:f>
      </x:c>
      <x:c r="J200" s="21"/>
      <x:c r="K200" s="29" t="str">
        <x:f>IF(J200="","",IFERROR(INDEX(DM_LY_DO_DUNG!$C$6:$C$105,MATCH(J200,DM_LY_DO_DUNG!$A$6:$A$105,0)),""))</x:f>
      </x:c>
      <x:c r="L200" s="21"/>
      <x:c r="M200" s="21"/>
      <x:c r="N200" s="21"/>
      <x:c r="O200" s="21"/>
      <x:c r="P200" s="21"/>
      <x:c r="Q200" s="43"/>
      <x:c r="R200" s="29" t="str">
        <x:f>IF(A200="","",IF(OR(B200="",C200="",D200="",J200=""),"Thiếu dữ liệu",IF(D200&lt;C200,"Sai thời gian",IF(AND(P200="Đã đóng",Q200=""),"Thiếu thời điểm đóng","Hợp lệ"))))</x:f>
      </x:c>
    </x:row>
    <x:row r="201">
      <x:c r="A201" s="21"/>
      <x:c r="B201" s="21"/>
      <x:c r="C201" s="43"/>
      <x:c r="D201" s="43"/>
      <x:c r="E201" s="39" t="str">
        <x:f>IF(A201="","",MAX(0,(D201-C201)*1440))</x:f>
      </x:c>
      <x:c r="F201" s="29" t="str">
        <x:f>IF(B201="","",IFERROR(INDEX('05_BAO_CAO_NGAY'!$D$6:$D$505,MATCH(B201,'05_BAO_CAO_NGAY'!$A$6:$A$505,0)),""))</x:f>
      </x:c>
      <x:c r="G201" s="29" t="str">
        <x:f>IF(B201="","",IFERROR(INDEX('05_BAO_CAO_NGAY'!$E$6:$E$505,MATCH(B201,'05_BAO_CAO_NGAY'!$A$6:$A$505,0)),""))</x:f>
      </x:c>
      <x:c r="H201" s="29" t="str">
        <x:f>IF(B201="","",IFERROR(INDEX('05_BAO_CAO_NGAY'!$J$6:$J$505,MATCH(B201,'05_BAO_CAO_NGAY'!$A$6:$A$505,0)),""))</x:f>
      </x:c>
      <x:c r="I201" s="29" t="str">
        <x:f>IF(B201="","",IFERROR(INDEX('05_BAO_CAO_NGAY'!$M$6:$M$505,MATCH(B201,'05_BAO_CAO_NGAY'!$A$6:$A$505,0)),""))</x:f>
      </x:c>
      <x:c r="J201" s="21"/>
      <x:c r="K201" s="29" t="str">
        <x:f>IF(J201="","",IFERROR(INDEX(DM_LY_DO_DUNG!$C$6:$C$105,MATCH(J201,DM_LY_DO_DUNG!$A$6:$A$105,0)),""))</x:f>
      </x:c>
      <x:c r="L201" s="21"/>
      <x:c r="M201" s="21"/>
      <x:c r="N201" s="21"/>
      <x:c r="O201" s="21"/>
      <x:c r="P201" s="21"/>
      <x:c r="Q201" s="43"/>
      <x:c r="R201" s="29" t="str">
        <x:f>IF(A201="","",IF(OR(B201="",C201="",D201="",J201=""),"Thiếu dữ liệu",IF(D201&lt;C201,"Sai thời gian",IF(AND(P201="Đã đóng",Q201=""),"Thiếu thời điểm đóng","Hợp lệ"))))</x:f>
      </x:c>
    </x:row>
    <x:row r="202">
      <x:c r="A202" s="21"/>
      <x:c r="B202" s="21"/>
      <x:c r="C202" s="43"/>
      <x:c r="D202" s="43"/>
      <x:c r="E202" s="39" t="str">
        <x:f>IF(A202="","",MAX(0,(D202-C202)*1440))</x:f>
      </x:c>
      <x:c r="F202" s="29" t="str">
        <x:f>IF(B202="","",IFERROR(INDEX('05_BAO_CAO_NGAY'!$D$6:$D$505,MATCH(B202,'05_BAO_CAO_NGAY'!$A$6:$A$505,0)),""))</x:f>
      </x:c>
      <x:c r="G202" s="29" t="str">
        <x:f>IF(B202="","",IFERROR(INDEX('05_BAO_CAO_NGAY'!$E$6:$E$505,MATCH(B202,'05_BAO_CAO_NGAY'!$A$6:$A$505,0)),""))</x:f>
      </x:c>
      <x:c r="H202" s="29" t="str">
        <x:f>IF(B202="","",IFERROR(INDEX('05_BAO_CAO_NGAY'!$J$6:$J$505,MATCH(B202,'05_BAO_CAO_NGAY'!$A$6:$A$505,0)),""))</x:f>
      </x:c>
      <x:c r="I202" s="29" t="str">
        <x:f>IF(B202="","",IFERROR(INDEX('05_BAO_CAO_NGAY'!$M$6:$M$505,MATCH(B202,'05_BAO_CAO_NGAY'!$A$6:$A$505,0)),""))</x:f>
      </x:c>
      <x:c r="J202" s="21"/>
      <x:c r="K202" s="29" t="str">
        <x:f>IF(J202="","",IFERROR(INDEX(DM_LY_DO_DUNG!$C$6:$C$105,MATCH(J202,DM_LY_DO_DUNG!$A$6:$A$105,0)),""))</x:f>
      </x:c>
      <x:c r="L202" s="21"/>
      <x:c r="M202" s="21"/>
      <x:c r="N202" s="21"/>
      <x:c r="O202" s="21"/>
      <x:c r="P202" s="21"/>
      <x:c r="Q202" s="43"/>
      <x:c r="R202" s="29" t="str">
        <x:f>IF(A202="","",IF(OR(B202="",C202="",D202="",J202=""),"Thiếu dữ liệu",IF(D202&lt;C202,"Sai thời gian",IF(AND(P202="Đã đóng",Q202=""),"Thiếu thời điểm đóng","Hợp lệ"))))</x:f>
      </x:c>
    </x:row>
    <x:row r="203">
      <x:c r="A203" s="21"/>
      <x:c r="B203" s="21"/>
      <x:c r="C203" s="43"/>
      <x:c r="D203" s="43"/>
      <x:c r="E203" s="39" t="str">
        <x:f>IF(A203="","",MAX(0,(D203-C203)*1440))</x:f>
      </x:c>
      <x:c r="F203" s="29" t="str">
        <x:f>IF(B203="","",IFERROR(INDEX('05_BAO_CAO_NGAY'!$D$6:$D$505,MATCH(B203,'05_BAO_CAO_NGAY'!$A$6:$A$505,0)),""))</x:f>
      </x:c>
      <x:c r="G203" s="29" t="str">
        <x:f>IF(B203="","",IFERROR(INDEX('05_BAO_CAO_NGAY'!$E$6:$E$505,MATCH(B203,'05_BAO_CAO_NGAY'!$A$6:$A$505,0)),""))</x:f>
      </x:c>
      <x:c r="H203" s="29" t="str">
        <x:f>IF(B203="","",IFERROR(INDEX('05_BAO_CAO_NGAY'!$J$6:$J$505,MATCH(B203,'05_BAO_CAO_NGAY'!$A$6:$A$505,0)),""))</x:f>
      </x:c>
      <x:c r="I203" s="29" t="str">
        <x:f>IF(B203="","",IFERROR(INDEX('05_BAO_CAO_NGAY'!$M$6:$M$505,MATCH(B203,'05_BAO_CAO_NGAY'!$A$6:$A$505,0)),""))</x:f>
      </x:c>
      <x:c r="J203" s="21"/>
      <x:c r="K203" s="29" t="str">
        <x:f>IF(J203="","",IFERROR(INDEX(DM_LY_DO_DUNG!$C$6:$C$105,MATCH(J203,DM_LY_DO_DUNG!$A$6:$A$105,0)),""))</x:f>
      </x:c>
      <x:c r="L203" s="21"/>
      <x:c r="M203" s="21"/>
      <x:c r="N203" s="21"/>
      <x:c r="O203" s="21"/>
      <x:c r="P203" s="21"/>
      <x:c r="Q203" s="43"/>
      <x:c r="R203" s="29" t="str">
        <x:f>IF(A203="","",IF(OR(B203="",C203="",D203="",J203=""),"Thiếu dữ liệu",IF(D203&lt;C203,"Sai thời gian",IF(AND(P203="Đã đóng",Q203=""),"Thiếu thời điểm đóng","Hợp lệ"))))</x:f>
      </x:c>
    </x:row>
    <x:row r="204">
      <x:c r="A204" s="21"/>
      <x:c r="B204" s="21"/>
      <x:c r="C204" s="43"/>
      <x:c r="D204" s="43"/>
      <x:c r="E204" s="39" t="str">
        <x:f>IF(A204="","",MAX(0,(D204-C204)*1440))</x:f>
      </x:c>
      <x:c r="F204" s="29" t="str">
        <x:f>IF(B204="","",IFERROR(INDEX('05_BAO_CAO_NGAY'!$D$6:$D$505,MATCH(B204,'05_BAO_CAO_NGAY'!$A$6:$A$505,0)),""))</x:f>
      </x:c>
      <x:c r="G204" s="29" t="str">
        <x:f>IF(B204="","",IFERROR(INDEX('05_BAO_CAO_NGAY'!$E$6:$E$505,MATCH(B204,'05_BAO_CAO_NGAY'!$A$6:$A$505,0)),""))</x:f>
      </x:c>
      <x:c r="H204" s="29" t="str">
        <x:f>IF(B204="","",IFERROR(INDEX('05_BAO_CAO_NGAY'!$J$6:$J$505,MATCH(B204,'05_BAO_CAO_NGAY'!$A$6:$A$505,0)),""))</x:f>
      </x:c>
      <x:c r="I204" s="29" t="str">
        <x:f>IF(B204="","",IFERROR(INDEX('05_BAO_CAO_NGAY'!$M$6:$M$505,MATCH(B204,'05_BAO_CAO_NGAY'!$A$6:$A$505,0)),""))</x:f>
      </x:c>
      <x:c r="J204" s="21"/>
      <x:c r="K204" s="29" t="str">
        <x:f>IF(J204="","",IFERROR(INDEX(DM_LY_DO_DUNG!$C$6:$C$105,MATCH(J204,DM_LY_DO_DUNG!$A$6:$A$105,0)),""))</x:f>
      </x:c>
      <x:c r="L204" s="21"/>
      <x:c r="M204" s="21"/>
      <x:c r="N204" s="21"/>
      <x:c r="O204" s="21"/>
      <x:c r="P204" s="21"/>
      <x:c r="Q204" s="43"/>
      <x:c r="R204" s="29" t="str">
        <x:f>IF(A204="","",IF(OR(B204="",C204="",D204="",J204=""),"Thiếu dữ liệu",IF(D204&lt;C204,"Sai thời gian",IF(AND(P204="Đã đóng",Q204=""),"Thiếu thời điểm đóng","Hợp lệ"))))</x:f>
      </x:c>
    </x:row>
    <x:row r="205">
      <x:c r="A205" s="21"/>
      <x:c r="B205" s="21"/>
      <x:c r="C205" s="43"/>
      <x:c r="D205" s="43"/>
      <x:c r="E205" s="39" t="str">
        <x:f>IF(A205="","",MAX(0,(D205-C205)*1440))</x:f>
      </x:c>
      <x:c r="F205" s="29" t="str">
        <x:f>IF(B205="","",IFERROR(INDEX('05_BAO_CAO_NGAY'!$D$6:$D$505,MATCH(B205,'05_BAO_CAO_NGAY'!$A$6:$A$505,0)),""))</x:f>
      </x:c>
      <x:c r="G205" s="29" t="str">
        <x:f>IF(B205="","",IFERROR(INDEX('05_BAO_CAO_NGAY'!$E$6:$E$505,MATCH(B205,'05_BAO_CAO_NGAY'!$A$6:$A$505,0)),""))</x:f>
      </x:c>
      <x:c r="H205" s="29" t="str">
        <x:f>IF(B205="","",IFERROR(INDEX('05_BAO_CAO_NGAY'!$J$6:$J$505,MATCH(B205,'05_BAO_CAO_NGAY'!$A$6:$A$505,0)),""))</x:f>
      </x:c>
      <x:c r="I205" s="29" t="str">
        <x:f>IF(B205="","",IFERROR(INDEX('05_BAO_CAO_NGAY'!$M$6:$M$505,MATCH(B205,'05_BAO_CAO_NGAY'!$A$6:$A$505,0)),""))</x:f>
      </x:c>
      <x:c r="J205" s="21"/>
      <x:c r="K205" s="29" t="str">
        <x:f>IF(J205="","",IFERROR(INDEX(DM_LY_DO_DUNG!$C$6:$C$105,MATCH(J205,DM_LY_DO_DUNG!$A$6:$A$105,0)),""))</x:f>
      </x:c>
      <x:c r="L205" s="21"/>
      <x:c r="M205" s="21"/>
      <x:c r="N205" s="21"/>
      <x:c r="O205" s="21"/>
      <x:c r="P205" s="21"/>
      <x:c r="Q205" s="43"/>
      <x:c r="R205" s="29" t="str">
        <x:f>IF(A205="","",IF(OR(B205="",C205="",D205="",J205=""),"Thiếu dữ liệu",IF(D205&lt;C205,"Sai thời gian",IF(AND(P205="Đã đóng",Q205=""),"Thiếu thời điểm đóng","Hợp lệ"))))</x:f>
      </x:c>
    </x:row>
    <x:row r="206">
      <x:c r="A206" s="21"/>
      <x:c r="B206" s="21"/>
      <x:c r="C206" s="43"/>
      <x:c r="D206" s="43"/>
      <x:c r="E206" s="39" t="str">
        <x:f>IF(A206="","",MAX(0,(D206-C206)*1440))</x:f>
      </x:c>
      <x:c r="F206" s="29" t="str">
        <x:f>IF(B206="","",IFERROR(INDEX('05_BAO_CAO_NGAY'!$D$6:$D$505,MATCH(B206,'05_BAO_CAO_NGAY'!$A$6:$A$505,0)),""))</x:f>
      </x:c>
      <x:c r="G206" s="29" t="str">
        <x:f>IF(B206="","",IFERROR(INDEX('05_BAO_CAO_NGAY'!$E$6:$E$505,MATCH(B206,'05_BAO_CAO_NGAY'!$A$6:$A$505,0)),""))</x:f>
      </x:c>
      <x:c r="H206" s="29" t="str">
        <x:f>IF(B206="","",IFERROR(INDEX('05_BAO_CAO_NGAY'!$J$6:$J$505,MATCH(B206,'05_BAO_CAO_NGAY'!$A$6:$A$505,0)),""))</x:f>
      </x:c>
      <x:c r="I206" s="29" t="str">
        <x:f>IF(B206="","",IFERROR(INDEX('05_BAO_CAO_NGAY'!$M$6:$M$505,MATCH(B206,'05_BAO_CAO_NGAY'!$A$6:$A$505,0)),""))</x:f>
      </x:c>
      <x:c r="J206" s="21"/>
      <x:c r="K206" s="29" t="str">
        <x:f>IF(J206="","",IFERROR(INDEX(DM_LY_DO_DUNG!$C$6:$C$105,MATCH(J206,DM_LY_DO_DUNG!$A$6:$A$105,0)),""))</x:f>
      </x:c>
      <x:c r="L206" s="21"/>
      <x:c r="M206" s="21"/>
      <x:c r="N206" s="21"/>
      <x:c r="O206" s="21"/>
      <x:c r="P206" s="21"/>
      <x:c r="Q206" s="43"/>
      <x:c r="R206" s="29" t="str">
        <x:f>IF(A206="","",IF(OR(B206="",C206="",D206="",J206=""),"Thiếu dữ liệu",IF(D206&lt;C206,"Sai thời gian",IF(AND(P206="Đã đóng",Q206=""),"Thiếu thời điểm đóng","Hợp lệ"))))</x:f>
      </x:c>
    </x:row>
    <x:row r="207">
      <x:c r="A207" s="21"/>
      <x:c r="B207" s="21"/>
      <x:c r="C207" s="43"/>
      <x:c r="D207" s="43"/>
      <x:c r="E207" s="39" t="str">
        <x:f>IF(A207="","",MAX(0,(D207-C207)*1440))</x:f>
      </x:c>
      <x:c r="F207" s="29" t="str">
        <x:f>IF(B207="","",IFERROR(INDEX('05_BAO_CAO_NGAY'!$D$6:$D$505,MATCH(B207,'05_BAO_CAO_NGAY'!$A$6:$A$505,0)),""))</x:f>
      </x:c>
      <x:c r="G207" s="29" t="str">
        <x:f>IF(B207="","",IFERROR(INDEX('05_BAO_CAO_NGAY'!$E$6:$E$505,MATCH(B207,'05_BAO_CAO_NGAY'!$A$6:$A$505,0)),""))</x:f>
      </x:c>
      <x:c r="H207" s="29" t="str">
        <x:f>IF(B207="","",IFERROR(INDEX('05_BAO_CAO_NGAY'!$J$6:$J$505,MATCH(B207,'05_BAO_CAO_NGAY'!$A$6:$A$505,0)),""))</x:f>
      </x:c>
      <x:c r="I207" s="29" t="str">
        <x:f>IF(B207="","",IFERROR(INDEX('05_BAO_CAO_NGAY'!$M$6:$M$505,MATCH(B207,'05_BAO_CAO_NGAY'!$A$6:$A$505,0)),""))</x:f>
      </x:c>
      <x:c r="J207" s="21"/>
      <x:c r="K207" s="29" t="str">
        <x:f>IF(J207="","",IFERROR(INDEX(DM_LY_DO_DUNG!$C$6:$C$105,MATCH(J207,DM_LY_DO_DUNG!$A$6:$A$105,0)),""))</x:f>
      </x:c>
      <x:c r="L207" s="21"/>
      <x:c r="M207" s="21"/>
      <x:c r="N207" s="21"/>
      <x:c r="O207" s="21"/>
      <x:c r="P207" s="21"/>
      <x:c r="Q207" s="43"/>
      <x:c r="R207" s="29" t="str">
        <x:f>IF(A207="","",IF(OR(B207="",C207="",D207="",J207=""),"Thiếu dữ liệu",IF(D207&lt;C207,"Sai thời gian",IF(AND(P207="Đã đóng",Q207=""),"Thiếu thời điểm đóng","Hợp lệ"))))</x:f>
      </x:c>
    </x:row>
    <x:row r="208">
      <x:c r="A208" s="21"/>
      <x:c r="B208" s="21"/>
      <x:c r="C208" s="43"/>
      <x:c r="D208" s="43"/>
      <x:c r="E208" s="39" t="str">
        <x:f>IF(A208="","",MAX(0,(D208-C208)*1440))</x:f>
      </x:c>
      <x:c r="F208" s="29" t="str">
        <x:f>IF(B208="","",IFERROR(INDEX('05_BAO_CAO_NGAY'!$D$6:$D$505,MATCH(B208,'05_BAO_CAO_NGAY'!$A$6:$A$505,0)),""))</x:f>
      </x:c>
      <x:c r="G208" s="29" t="str">
        <x:f>IF(B208="","",IFERROR(INDEX('05_BAO_CAO_NGAY'!$E$6:$E$505,MATCH(B208,'05_BAO_CAO_NGAY'!$A$6:$A$505,0)),""))</x:f>
      </x:c>
      <x:c r="H208" s="29" t="str">
        <x:f>IF(B208="","",IFERROR(INDEX('05_BAO_CAO_NGAY'!$J$6:$J$505,MATCH(B208,'05_BAO_CAO_NGAY'!$A$6:$A$505,0)),""))</x:f>
      </x:c>
      <x:c r="I208" s="29" t="str">
        <x:f>IF(B208="","",IFERROR(INDEX('05_BAO_CAO_NGAY'!$M$6:$M$505,MATCH(B208,'05_BAO_CAO_NGAY'!$A$6:$A$505,0)),""))</x:f>
      </x:c>
      <x:c r="J208" s="21"/>
      <x:c r="K208" s="29" t="str">
        <x:f>IF(J208="","",IFERROR(INDEX(DM_LY_DO_DUNG!$C$6:$C$105,MATCH(J208,DM_LY_DO_DUNG!$A$6:$A$105,0)),""))</x:f>
      </x:c>
      <x:c r="L208" s="21"/>
      <x:c r="M208" s="21"/>
      <x:c r="N208" s="21"/>
      <x:c r="O208" s="21"/>
      <x:c r="P208" s="21"/>
      <x:c r="Q208" s="43"/>
      <x:c r="R208" s="29" t="str">
        <x:f>IF(A208="","",IF(OR(B208="",C208="",D208="",J208=""),"Thiếu dữ liệu",IF(D208&lt;C208,"Sai thời gian",IF(AND(P208="Đã đóng",Q208=""),"Thiếu thời điểm đóng","Hợp lệ"))))</x:f>
      </x:c>
    </x:row>
    <x:row r="209">
      <x:c r="A209" s="21"/>
      <x:c r="B209" s="21"/>
      <x:c r="C209" s="43"/>
      <x:c r="D209" s="43"/>
      <x:c r="E209" s="39" t="str">
        <x:f>IF(A209="","",MAX(0,(D209-C209)*1440))</x:f>
      </x:c>
      <x:c r="F209" s="29" t="str">
        <x:f>IF(B209="","",IFERROR(INDEX('05_BAO_CAO_NGAY'!$D$6:$D$505,MATCH(B209,'05_BAO_CAO_NGAY'!$A$6:$A$505,0)),""))</x:f>
      </x:c>
      <x:c r="G209" s="29" t="str">
        <x:f>IF(B209="","",IFERROR(INDEX('05_BAO_CAO_NGAY'!$E$6:$E$505,MATCH(B209,'05_BAO_CAO_NGAY'!$A$6:$A$505,0)),""))</x:f>
      </x:c>
      <x:c r="H209" s="29" t="str">
        <x:f>IF(B209="","",IFERROR(INDEX('05_BAO_CAO_NGAY'!$J$6:$J$505,MATCH(B209,'05_BAO_CAO_NGAY'!$A$6:$A$505,0)),""))</x:f>
      </x:c>
      <x:c r="I209" s="29" t="str">
        <x:f>IF(B209="","",IFERROR(INDEX('05_BAO_CAO_NGAY'!$M$6:$M$505,MATCH(B209,'05_BAO_CAO_NGAY'!$A$6:$A$505,0)),""))</x:f>
      </x:c>
      <x:c r="J209" s="21"/>
      <x:c r="K209" s="29" t="str">
        <x:f>IF(J209="","",IFERROR(INDEX(DM_LY_DO_DUNG!$C$6:$C$105,MATCH(J209,DM_LY_DO_DUNG!$A$6:$A$105,0)),""))</x:f>
      </x:c>
      <x:c r="L209" s="21"/>
      <x:c r="M209" s="21"/>
      <x:c r="N209" s="21"/>
      <x:c r="O209" s="21"/>
      <x:c r="P209" s="21"/>
      <x:c r="Q209" s="43"/>
      <x:c r="R209" s="29" t="str">
        <x:f>IF(A209="","",IF(OR(B209="",C209="",D209="",J209=""),"Thiếu dữ liệu",IF(D209&lt;C209,"Sai thời gian",IF(AND(P209="Đã đóng",Q209=""),"Thiếu thời điểm đóng","Hợp lệ"))))</x:f>
      </x:c>
    </x:row>
    <x:row r="210">
      <x:c r="A210" s="21"/>
      <x:c r="B210" s="21"/>
      <x:c r="C210" s="43"/>
      <x:c r="D210" s="43"/>
      <x:c r="E210" s="39" t="str">
        <x:f>IF(A210="","",MAX(0,(D210-C210)*1440))</x:f>
      </x:c>
      <x:c r="F210" s="29" t="str">
        <x:f>IF(B210="","",IFERROR(INDEX('05_BAO_CAO_NGAY'!$D$6:$D$505,MATCH(B210,'05_BAO_CAO_NGAY'!$A$6:$A$505,0)),""))</x:f>
      </x:c>
      <x:c r="G210" s="29" t="str">
        <x:f>IF(B210="","",IFERROR(INDEX('05_BAO_CAO_NGAY'!$E$6:$E$505,MATCH(B210,'05_BAO_CAO_NGAY'!$A$6:$A$505,0)),""))</x:f>
      </x:c>
      <x:c r="H210" s="29" t="str">
        <x:f>IF(B210="","",IFERROR(INDEX('05_BAO_CAO_NGAY'!$J$6:$J$505,MATCH(B210,'05_BAO_CAO_NGAY'!$A$6:$A$505,0)),""))</x:f>
      </x:c>
      <x:c r="I210" s="29" t="str">
        <x:f>IF(B210="","",IFERROR(INDEX('05_BAO_CAO_NGAY'!$M$6:$M$505,MATCH(B210,'05_BAO_CAO_NGAY'!$A$6:$A$505,0)),""))</x:f>
      </x:c>
      <x:c r="J210" s="21"/>
      <x:c r="K210" s="29" t="str">
        <x:f>IF(J210="","",IFERROR(INDEX(DM_LY_DO_DUNG!$C$6:$C$105,MATCH(J210,DM_LY_DO_DUNG!$A$6:$A$105,0)),""))</x:f>
      </x:c>
      <x:c r="L210" s="21"/>
      <x:c r="M210" s="21"/>
      <x:c r="N210" s="21"/>
      <x:c r="O210" s="21"/>
      <x:c r="P210" s="21"/>
      <x:c r="Q210" s="43"/>
      <x:c r="R210" s="29" t="str">
        <x:f>IF(A210="","",IF(OR(B210="",C210="",D210="",J210=""),"Thiếu dữ liệu",IF(D210&lt;C210,"Sai thời gian",IF(AND(P210="Đã đóng",Q210=""),"Thiếu thời điểm đóng","Hợp lệ"))))</x:f>
      </x:c>
    </x:row>
    <x:row r="211">
      <x:c r="A211" s="21"/>
      <x:c r="B211" s="21"/>
      <x:c r="C211" s="43"/>
      <x:c r="D211" s="43"/>
      <x:c r="E211" s="39" t="str">
        <x:f>IF(A211="","",MAX(0,(D211-C211)*1440))</x:f>
      </x:c>
      <x:c r="F211" s="29" t="str">
        <x:f>IF(B211="","",IFERROR(INDEX('05_BAO_CAO_NGAY'!$D$6:$D$505,MATCH(B211,'05_BAO_CAO_NGAY'!$A$6:$A$505,0)),""))</x:f>
      </x:c>
      <x:c r="G211" s="29" t="str">
        <x:f>IF(B211="","",IFERROR(INDEX('05_BAO_CAO_NGAY'!$E$6:$E$505,MATCH(B211,'05_BAO_CAO_NGAY'!$A$6:$A$505,0)),""))</x:f>
      </x:c>
      <x:c r="H211" s="29" t="str">
        <x:f>IF(B211="","",IFERROR(INDEX('05_BAO_CAO_NGAY'!$J$6:$J$505,MATCH(B211,'05_BAO_CAO_NGAY'!$A$6:$A$505,0)),""))</x:f>
      </x:c>
      <x:c r="I211" s="29" t="str">
        <x:f>IF(B211="","",IFERROR(INDEX('05_BAO_CAO_NGAY'!$M$6:$M$505,MATCH(B211,'05_BAO_CAO_NGAY'!$A$6:$A$505,0)),""))</x:f>
      </x:c>
      <x:c r="J211" s="21"/>
      <x:c r="K211" s="29" t="str">
        <x:f>IF(J211="","",IFERROR(INDEX(DM_LY_DO_DUNG!$C$6:$C$105,MATCH(J211,DM_LY_DO_DUNG!$A$6:$A$105,0)),""))</x:f>
      </x:c>
      <x:c r="L211" s="21"/>
      <x:c r="M211" s="21"/>
      <x:c r="N211" s="21"/>
      <x:c r="O211" s="21"/>
      <x:c r="P211" s="21"/>
      <x:c r="Q211" s="43"/>
      <x:c r="R211" s="29" t="str">
        <x:f>IF(A211="","",IF(OR(B211="",C211="",D211="",J211=""),"Thiếu dữ liệu",IF(D211&lt;C211,"Sai thời gian",IF(AND(P211="Đã đóng",Q211=""),"Thiếu thời điểm đóng","Hợp lệ"))))</x:f>
      </x:c>
    </x:row>
    <x:row r="212">
      <x:c r="A212" s="21"/>
      <x:c r="B212" s="21"/>
      <x:c r="C212" s="43"/>
      <x:c r="D212" s="43"/>
      <x:c r="E212" s="39" t="str">
        <x:f>IF(A212="","",MAX(0,(D212-C212)*1440))</x:f>
      </x:c>
      <x:c r="F212" s="29" t="str">
        <x:f>IF(B212="","",IFERROR(INDEX('05_BAO_CAO_NGAY'!$D$6:$D$505,MATCH(B212,'05_BAO_CAO_NGAY'!$A$6:$A$505,0)),""))</x:f>
      </x:c>
      <x:c r="G212" s="29" t="str">
        <x:f>IF(B212="","",IFERROR(INDEX('05_BAO_CAO_NGAY'!$E$6:$E$505,MATCH(B212,'05_BAO_CAO_NGAY'!$A$6:$A$505,0)),""))</x:f>
      </x:c>
      <x:c r="H212" s="29" t="str">
        <x:f>IF(B212="","",IFERROR(INDEX('05_BAO_CAO_NGAY'!$J$6:$J$505,MATCH(B212,'05_BAO_CAO_NGAY'!$A$6:$A$505,0)),""))</x:f>
      </x:c>
      <x:c r="I212" s="29" t="str">
        <x:f>IF(B212="","",IFERROR(INDEX('05_BAO_CAO_NGAY'!$M$6:$M$505,MATCH(B212,'05_BAO_CAO_NGAY'!$A$6:$A$505,0)),""))</x:f>
      </x:c>
      <x:c r="J212" s="21"/>
      <x:c r="K212" s="29" t="str">
        <x:f>IF(J212="","",IFERROR(INDEX(DM_LY_DO_DUNG!$C$6:$C$105,MATCH(J212,DM_LY_DO_DUNG!$A$6:$A$105,0)),""))</x:f>
      </x:c>
      <x:c r="L212" s="21"/>
      <x:c r="M212" s="21"/>
      <x:c r="N212" s="21"/>
      <x:c r="O212" s="21"/>
      <x:c r="P212" s="21"/>
      <x:c r="Q212" s="43"/>
      <x:c r="R212" s="29" t="str">
        <x:f>IF(A212="","",IF(OR(B212="",C212="",D212="",J212=""),"Thiếu dữ liệu",IF(D212&lt;C212,"Sai thời gian",IF(AND(P212="Đã đóng",Q212=""),"Thiếu thời điểm đóng","Hợp lệ"))))</x:f>
      </x:c>
    </x:row>
    <x:row r="213">
      <x:c r="A213" s="21"/>
      <x:c r="B213" s="21"/>
      <x:c r="C213" s="43"/>
      <x:c r="D213" s="43"/>
      <x:c r="E213" s="39" t="str">
        <x:f>IF(A213="","",MAX(0,(D213-C213)*1440))</x:f>
      </x:c>
      <x:c r="F213" s="29" t="str">
        <x:f>IF(B213="","",IFERROR(INDEX('05_BAO_CAO_NGAY'!$D$6:$D$505,MATCH(B213,'05_BAO_CAO_NGAY'!$A$6:$A$505,0)),""))</x:f>
      </x:c>
      <x:c r="G213" s="29" t="str">
        <x:f>IF(B213="","",IFERROR(INDEX('05_BAO_CAO_NGAY'!$E$6:$E$505,MATCH(B213,'05_BAO_CAO_NGAY'!$A$6:$A$505,0)),""))</x:f>
      </x:c>
      <x:c r="H213" s="29" t="str">
        <x:f>IF(B213="","",IFERROR(INDEX('05_BAO_CAO_NGAY'!$J$6:$J$505,MATCH(B213,'05_BAO_CAO_NGAY'!$A$6:$A$505,0)),""))</x:f>
      </x:c>
      <x:c r="I213" s="29" t="str">
        <x:f>IF(B213="","",IFERROR(INDEX('05_BAO_CAO_NGAY'!$M$6:$M$505,MATCH(B213,'05_BAO_CAO_NGAY'!$A$6:$A$505,0)),""))</x:f>
      </x:c>
      <x:c r="J213" s="21"/>
      <x:c r="K213" s="29" t="str">
        <x:f>IF(J213="","",IFERROR(INDEX(DM_LY_DO_DUNG!$C$6:$C$105,MATCH(J213,DM_LY_DO_DUNG!$A$6:$A$105,0)),""))</x:f>
      </x:c>
      <x:c r="L213" s="21"/>
      <x:c r="M213" s="21"/>
      <x:c r="N213" s="21"/>
      <x:c r="O213" s="21"/>
      <x:c r="P213" s="21"/>
      <x:c r="Q213" s="43"/>
      <x:c r="R213" s="29" t="str">
        <x:f>IF(A213="","",IF(OR(B213="",C213="",D213="",J213=""),"Thiếu dữ liệu",IF(D213&lt;C213,"Sai thời gian",IF(AND(P213="Đã đóng",Q213=""),"Thiếu thời điểm đóng","Hợp lệ"))))</x:f>
      </x:c>
    </x:row>
    <x:row r="214">
      <x:c r="A214" s="21"/>
      <x:c r="B214" s="21"/>
      <x:c r="C214" s="43"/>
      <x:c r="D214" s="43"/>
      <x:c r="E214" s="39" t="str">
        <x:f>IF(A214="","",MAX(0,(D214-C214)*1440))</x:f>
      </x:c>
      <x:c r="F214" s="29" t="str">
        <x:f>IF(B214="","",IFERROR(INDEX('05_BAO_CAO_NGAY'!$D$6:$D$505,MATCH(B214,'05_BAO_CAO_NGAY'!$A$6:$A$505,0)),""))</x:f>
      </x:c>
      <x:c r="G214" s="29" t="str">
        <x:f>IF(B214="","",IFERROR(INDEX('05_BAO_CAO_NGAY'!$E$6:$E$505,MATCH(B214,'05_BAO_CAO_NGAY'!$A$6:$A$505,0)),""))</x:f>
      </x:c>
      <x:c r="H214" s="29" t="str">
        <x:f>IF(B214="","",IFERROR(INDEX('05_BAO_CAO_NGAY'!$J$6:$J$505,MATCH(B214,'05_BAO_CAO_NGAY'!$A$6:$A$505,0)),""))</x:f>
      </x:c>
      <x:c r="I214" s="29" t="str">
        <x:f>IF(B214="","",IFERROR(INDEX('05_BAO_CAO_NGAY'!$M$6:$M$505,MATCH(B214,'05_BAO_CAO_NGAY'!$A$6:$A$505,0)),""))</x:f>
      </x:c>
      <x:c r="J214" s="21"/>
      <x:c r="K214" s="29" t="str">
        <x:f>IF(J214="","",IFERROR(INDEX(DM_LY_DO_DUNG!$C$6:$C$105,MATCH(J214,DM_LY_DO_DUNG!$A$6:$A$105,0)),""))</x:f>
      </x:c>
      <x:c r="L214" s="21"/>
      <x:c r="M214" s="21"/>
      <x:c r="N214" s="21"/>
      <x:c r="O214" s="21"/>
      <x:c r="P214" s="21"/>
      <x:c r="Q214" s="43"/>
      <x:c r="R214" s="29" t="str">
        <x:f>IF(A214="","",IF(OR(B214="",C214="",D214="",J214=""),"Thiếu dữ liệu",IF(D214&lt;C214,"Sai thời gian",IF(AND(P214="Đã đóng",Q214=""),"Thiếu thời điểm đóng","Hợp lệ"))))</x:f>
      </x:c>
    </x:row>
    <x:row r="215">
      <x:c r="A215" s="21"/>
      <x:c r="B215" s="21"/>
      <x:c r="C215" s="43"/>
      <x:c r="D215" s="43"/>
      <x:c r="E215" s="39" t="str">
        <x:f>IF(A215="","",MAX(0,(D215-C215)*1440))</x:f>
      </x:c>
      <x:c r="F215" s="29" t="str">
        <x:f>IF(B215="","",IFERROR(INDEX('05_BAO_CAO_NGAY'!$D$6:$D$505,MATCH(B215,'05_BAO_CAO_NGAY'!$A$6:$A$505,0)),""))</x:f>
      </x:c>
      <x:c r="G215" s="29" t="str">
        <x:f>IF(B215="","",IFERROR(INDEX('05_BAO_CAO_NGAY'!$E$6:$E$505,MATCH(B215,'05_BAO_CAO_NGAY'!$A$6:$A$505,0)),""))</x:f>
      </x:c>
      <x:c r="H215" s="29" t="str">
        <x:f>IF(B215="","",IFERROR(INDEX('05_BAO_CAO_NGAY'!$J$6:$J$505,MATCH(B215,'05_BAO_CAO_NGAY'!$A$6:$A$505,0)),""))</x:f>
      </x:c>
      <x:c r="I215" s="29" t="str">
        <x:f>IF(B215="","",IFERROR(INDEX('05_BAO_CAO_NGAY'!$M$6:$M$505,MATCH(B215,'05_BAO_CAO_NGAY'!$A$6:$A$505,0)),""))</x:f>
      </x:c>
      <x:c r="J215" s="21"/>
      <x:c r="K215" s="29" t="str">
        <x:f>IF(J215="","",IFERROR(INDEX(DM_LY_DO_DUNG!$C$6:$C$105,MATCH(J215,DM_LY_DO_DUNG!$A$6:$A$105,0)),""))</x:f>
      </x:c>
      <x:c r="L215" s="21"/>
      <x:c r="M215" s="21"/>
      <x:c r="N215" s="21"/>
      <x:c r="O215" s="21"/>
      <x:c r="P215" s="21"/>
      <x:c r="Q215" s="43"/>
      <x:c r="R215" s="29" t="str">
        <x:f>IF(A215="","",IF(OR(B215="",C215="",D215="",J215=""),"Thiếu dữ liệu",IF(D215&lt;C215,"Sai thời gian",IF(AND(P215="Đã đóng",Q215=""),"Thiếu thời điểm đóng","Hợp lệ"))))</x:f>
      </x:c>
    </x:row>
    <x:row r="216">
      <x:c r="A216" s="21"/>
      <x:c r="B216" s="21"/>
      <x:c r="C216" s="43"/>
      <x:c r="D216" s="43"/>
      <x:c r="E216" s="39" t="str">
        <x:f>IF(A216="","",MAX(0,(D216-C216)*1440))</x:f>
      </x:c>
      <x:c r="F216" s="29" t="str">
        <x:f>IF(B216="","",IFERROR(INDEX('05_BAO_CAO_NGAY'!$D$6:$D$505,MATCH(B216,'05_BAO_CAO_NGAY'!$A$6:$A$505,0)),""))</x:f>
      </x:c>
      <x:c r="G216" s="29" t="str">
        <x:f>IF(B216="","",IFERROR(INDEX('05_BAO_CAO_NGAY'!$E$6:$E$505,MATCH(B216,'05_BAO_CAO_NGAY'!$A$6:$A$505,0)),""))</x:f>
      </x:c>
      <x:c r="H216" s="29" t="str">
        <x:f>IF(B216="","",IFERROR(INDEX('05_BAO_CAO_NGAY'!$J$6:$J$505,MATCH(B216,'05_BAO_CAO_NGAY'!$A$6:$A$505,0)),""))</x:f>
      </x:c>
      <x:c r="I216" s="29" t="str">
        <x:f>IF(B216="","",IFERROR(INDEX('05_BAO_CAO_NGAY'!$M$6:$M$505,MATCH(B216,'05_BAO_CAO_NGAY'!$A$6:$A$505,0)),""))</x:f>
      </x:c>
      <x:c r="J216" s="21"/>
      <x:c r="K216" s="29" t="str">
        <x:f>IF(J216="","",IFERROR(INDEX(DM_LY_DO_DUNG!$C$6:$C$105,MATCH(J216,DM_LY_DO_DUNG!$A$6:$A$105,0)),""))</x:f>
      </x:c>
      <x:c r="L216" s="21"/>
      <x:c r="M216" s="21"/>
      <x:c r="N216" s="21"/>
      <x:c r="O216" s="21"/>
      <x:c r="P216" s="21"/>
      <x:c r="Q216" s="43"/>
      <x:c r="R216" s="29" t="str">
        <x:f>IF(A216="","",IF(OR(B216="",C216="",D216="",J216=""),"Thiếu dữ liệu",IF(D216&lt;C216,"Sai thời gian",IF(AND(P216="Đã đóng",Q216=""),"Thiếu thời điểm đóng","Hợp lệ"))))</x:f>
      </x:c>
    </x:row>
    <x:row r="217">
      <x:c r="A217" s="21"/>
      <x:c r="B217" s="21"/>
      <x:c r="C217" s="43"/>
      <x:c r="D217" s="43"/>
      <x:c r="E217" s="39" t="str">
        <x:f>IF(A217="","",MAX(0,(D217-C217)*1440))</x:f>
      </x:c>
      <x:c r="F217" s="29" t="str">
        <x:f>IF(B217="","",IFERROR(INDEX('05_BAO_CAO_NGAY'!$D$6:$D$505,MATCH(B217,'05_BAO_CAO_NGAY'!$A$6:$A$505,0)),""))</x:f>
      </x:c>
      <x:c r="G217" s="29" t="str">
        <x:f>IF(B217="","",IFERROR(INDEX('05_BAO_CAO_NGAY'!$E$6:$E$505,MATCH(B217,'05_BAO_CAO_NGAY'!$A$6:$A$505,0)),""))</x:f>
      </x:c>
      <x:c r="H217" s="29" t="str">
        <x:f>IF(B217="","",IFERROR(INDEX('05_BAO_CAO_NGAY'!$J$6:$J$505,MATCH(B217,'05_BAO_CAO_NGAY'!$A$6:$A$505,0)),""))</x:f>
      </x:c>
      <x:c r="I217" s="29" t="str">
        <x:f>IF(B217="","",IFERROR(INDEX('05_BAO_CAO_NGAY'!$M$6:$M$505,MATCH(B217,'05_BAO_CAO_NGAY'!$A$6:$A$505,0)),""))</x:f>
      </x:c>
      <x:c r="J217" s="21"/>
      <x:c r="K217" s="29" t="str">
        <x:f>IF(J217="","",IFERROR(INDEX(DM_LY_DO_DUNG!$C$6:$C$105,MATCH(J217,DM_LY_DO_DUNG!$A$6:$A$105,0)),""))</x:f>
      </x:c>
      <x:c r="L217" s="21"/>
      <x:c r="M217" s="21"/>
      <x:c r="N217" s="21"/>
      <x:c r="O217" s="21"/>
      <x:c r="P217" s="21"/>
      <x:c r="Q217" s="43"/>
      <x:c r="R217" s="29" t="str">
        <x:f>IF(A217="","",IF(OR(B217="",C217="",D217="",J217=""),"Thiếu dữ liệu",IF(D217&lt;C217,"Sai thời gian",IF(AND(P217="Đã đóng",Q217=""),"Thiếu thời điểm đóng","Hợp lệ"))))</x:f>
      </x:c>
    </x:row>
    <x:row r="218">
      <x:c r="A218" s="21"/>
      <x:c r="B218" s="21"/>
      <x:c r="C218" s="43"/>
      <x:c r="D218" s="43"/>
      <x:c r="E218" s="39" t="str">
        <x:f>IF(A218="","",MAX(0,(D218-C218)*1440))</x:f>
      </x:c>
      <x:c r="F218" s="29" t="str">
        <x:f>IF(B218="","",IFERROR(INDEX('05_BAO_CAO_NGAY'!$D$6:$D$505,MATCH(B218,'05_BAO_CAO_NGAY'!$A$6:$A$505,0)),""))</x:f>
      </x:c>
      <x:c r="G218" s="29" t="str">
        <x:f>IF(B218="","",IFERROR(INDEX('05_BAO_CAO_NGAY'!$E$6:$E$505,MATCH(B218,'05_BAO_CAO_NGAY'!$A$6:$A$505,0)),""))</x:f>
      </x:c>
      <x:c r="H218" s="29" t="str">
        <x:f>IF(B218="","",IFERROR(INDEX('05_BAO_CAO_NGAY'!$J$6:$J$505,MATCH(B218,'05_BAO_CAO_NGAY'!$A$6:$A$505,0)),""))</x:f>
      </x:c>
      <x:c r="I218" s="29" t="str">
        <x:f>IF(B218="","",IFERROR(INDEX('05_BAO_CAO_NGAY'!$M$6:$M$505,MATCH(B218,'05_BAO_CAO_NGAY'!$A$6:$A$505,0)),""))</x:f>
      </x:c>
      <x:c r="J218" s="21"/>
      <x:c r="K218" s="29" t="str">
        <x:f>IF(J218="","",IFERROR(INDEX(DM_LY_DO_DUNG!$C$6:$C$105,MATCH(J218,DM_LY_DO_DUNG!$A$6:$A$105,0)),""))</x:f>
      </x:c>
      <x:c r="L218" s="21"/>
      <x:c r="M218" s="21"/>
      <x:c r="N218" s="21"/>
      <x:c r="O218" s="21"/>
      <x:c r="P218" s="21"/>
      <x:c r="Q218" s="43"/>
      <x:c r="R218" s="29" t="str">
        <x:f>IF(A218="","",IF(OR(B218="",C218="",D218="",J218=""),"Thiếu dữ liệu",IF(D218&lt;C218,"Sai thời gian",IF(AND(P218="Đã đóng",Q218=""),"Thiếu thời điểm đóng","Hợp lệ"))))</x:f>
      </x:c>
    </x:row>
    <x:row r="219">
      <x:c r="A219" s="21"/>
      <x:c r="B219" s="21"/>
      <x:c r="C219" s="43"/>
      <x:c r="D219" s="43"/>
      <x:c r="E219" s="39" t="str">
        <x:f>IF(A219="","",MAX(0,(D219-C219)*1440))</x:f>
      </x:c>
      <x:c r="F219" s="29" t="str">
        <x:f>IF(B219="","",IFERROR(INDEX('05_BAO_CAO_NGAY'!$D$6:$D$505,MATCH(B219,'05_BAO_CAO_NGAY'!$A$6:$A$505,0)),""))</x:f>
      </x:c>
      <x:c r="G219" s="29" t="str">
        <x:f>IF(B219="","",IFERROR(INDEX('05_BAO_CAO_NGAY'!$E$6:$E$505,MATCH(B219,'05_BAO_CAO_NGAY'!$A$6:$A$505,0)),""))</x:f>
      </x:c>
      <x:c r="H219" s="29" t="str">
        <x:f>IF(B219="","",IFERROR(INDEX('05_BAO_CAO_NGAY'!$J$6:$J$505,MATCH(B219,'05_BAO_CAO_NGAY'!$A$6:$A$505,0)),""))</x:f>
      </x:c>
      <x:c r="I219" s="29" t="str">
        <x:f>IF(B219="","",IFERROR(INDEX('05_BAO_CAO_NGAY'!$M$6:$M$505,MATCH(B219,'05_BAO_CAO_NGAY'!$A$6:$A$505,0)),""))</x:f>
      </x:c>
      <x:c r="J219" s="21"/>
      <x:c r="K219" s="29" t="str">
        <x:f>IF(J219="","",IFERROR(INDEX(DM_LY_DO_DUNG!$C$6:$C$105,MATCH(J219,DM_LY_DO_DUNG!$A$6:$A$105,0)),""))</x:f>
      </x:c>
      <x:c r="L219" s="21"/>
      <x:c r="M219" s="21"/>
      <x:c r="N219" s="21"/>
      <x:c r="O219" s="21"/>
      <x:c r="P219" s="21"/>
      <x:c r="Q219" s="43"/>
      <x:c r="R219" s="29" t="str">
        <x:f>IF(A219="","",IF(OR(B219="",C219="",D219="",J219=""),"Thiếu dữ liệu",IF(D219&lt;C219,"Sai thời gian",IF(AND(P219="Đã đóng",Q219=""),"Thiếu thời điểm đóng","Hợp lệ"))))</x:f>
      </x:c>
    </x:row>
    <x:row r="220">
      <x:c r="A220" s="21"/>
      <x:c r="B220" s="21"/>
      <x:c r="C220" s="43"/>
      <x:c r="D220" s="43"/>
      <x:c r="E220" s="39" t="str">
        <x:f>IF(A220="","",MAX(0,(D220-C220)*1440))</x:f>
      </x:c>
      <x:c r="F220" s="29" t="str">
        <x:f>IF(B220="","",IFERROR(INDEX('05_BAO_CAO_NGAY'!$D$6:$D$505,MATCH(B220,'05_BAO_CAO_NGAY'!$A$6:$A$505,0)),""))</x:f>
      </x:c>
      <x:c r="G220" s="29" t="str">
        <x:f>IF(B220="","",IFERROR(INDEX('05_BAO_CAO_NGAY'!$E$6:$E$505,MATCH(B220,'05_BAO_CAO_NGAY'!$A$6:$A$505,0)),""))</x:f>
      </x:c>
      <x:c r="H220" s="29" t="str">
        <x:f>IF(B220="","",IFERROR(INDEX('05_BAO_CAO_NGAY'!$J$6:$J$505,MATCH(B220,'05_BAO_CAO_NGAY'!$A$6:$A$505,0)),""))</x:f>
      </x:c>
      <x:c r="I220" s="29" t="str">
        <x:f>IF(B220="","",IFERROR(INDEX('05_BAO_CAO_NGAY'!$M$6:$M$505,MATCH(B220,'05_BAO_CAO_NGAY'!$A$6:$A$505,0)),""))</x:f>
      </x:c>
      <x:c r="J220" s="21"/>
      <x:c r="K220" s="29" t="str">
        <x:f>IF(J220="","",IFERROR(INDEX(DM_LY_DO_DUNG!$C$6:$C$105,MATCH(J220,DM_LY_DO_DUNG!$A$6:$A$105,0)),""))</x:f>
      </x:c>
      <x:c r="L220" s="21"/>
      <x:c r="M220" s="21"/>
      <x:c r="N220" s="21"/>
      <x:c r="O220" s="21"/>
      <x:c r="P220" s="21"/>
      <x:c r="Q220" s="43"/>
      <x:c r="R220" s="29" t="str">
        <x:f>IF(A220="","",IF(OR(B220="",C220="",D220="",J220=""),"Thiếu dữ liệu",IF(D220&lt;C220,"Sai thời gian",IF(AND(P220="Đã đóng",Q220=""),"Thiếu thời điểm đóng","Hợp lệ"))))</x:f>
      </x:c>
    </x:row>
    <x:row r="221">
      <x:c r="A221" s="21"/>
      <x:c r="B221" s="21"/>
      <x:c r="C221" s="43"/>
      <x:c r="D221" s="43"/>
      <x:c r="E221" s="39" t="str">
        <x:f>IF(A221="","",MAX(0,(D221-C221)*1440))</x:f>
      </x:c>
      <x:c r="F221" s="29" t="str">
        <x:f>IF(B221="","",IFERROR(INDEX('05_BAO_CAO_NGAY'!$D$6:$D$505,MATCH(B221,'05_BAO_CAO_NGAY'!$A$6:$A$505,0)),""))</x:f>
      </x:c>
      <x:c r="G221" s="29" t="str">
        <x:f>IF(B221="","",IFERROR(INDEX('05_BAO_CAO_NGAY'!$E$6:$E$505,MATCH(B221,'05_BAO_CAO_NGAY'!$A$6:$A$505,0)),""))</x:f>
      </x:c>
      <x:c r="H221" s="29" t="str">
        <x:f>IF(B221="","",IFERROR(INDEX('05_BAO_CAO_NGAY'!$J$6:$J$505,MATCH(B221,'05_BAO_CAO_NGAY'!$A$6:$A$505,0)),""))</x:f>
      </x:c>
      <x:c r="I221" s="29" t="str">
        <x:f>IF(B221="","",IFERROR(INDEX('05_BAO_CAO_NGAY'!$M$6:$M$505,MATCH(B221,'05_BAO_CAO_NGAY'!$A$6:$A$505,0)),""))</x:f>
      </x:c>
      <x:c r="J221" s="21"/>
      <x:c r="K221" s="29" t="str">
        <x:f>IF(J221="","",IFERROR(INDEX(DM_LY_DO_DUNG!$C$6:$C$105,MATCH(J221,DM_LY_DO_DUNG!$A$6:$A$105,0)),""))</x:f>
      </x:c>
      <x:c r="L221" s="21"/>
      <x:c r="M221" s="21"/>
      <x:c r="N221" s="21"/>
      <x:c r="O221" s="21"/>
      <x:c r="P221" s="21"/>
      <x:c r="Q221" s="43"/>
      <x:c r="R221" s="29" t="str">
        <x:f>IF(A221="","",IF(OR(B221="",C221="",D221="",J221=""),"Thiếu dữ liệu",IF(D221&lt;C221,"Sai thời gian",IF(AND(P221="Đã đóng",Q221=""),"Thiếu thời điểm đóng","Hợp lệ"))))</x:f>
      </x:c>
    </x:row>
    <x:row r="222">
      <x:c r="A222" s="21"/>
      <x:c r="B222" s="21"/>
      <x:c r="C222" s="43"/>
      <x:c r="D222" s="43"/>
      <x:c r="E222" s="39" t="str">
        <x:f>IF(A222="","",MAX(0,(D222-C222)*1440))</x:f>
      </x:c>
      <x:c r="F222" s="29" t="str">
        <x:f>IF(B222="","",IFERROR(INDEX('05_BAO_CAO_NGAY'!$D$6:$D$505,MATCH(B222,'05_BAO_CAO_NGAY'!$A$6:$A$505,0)),""))</x:f>
      </x:c>
      <x:c r="G222" s="29" t="str">
        <x:f>IF(B222="","",IFERROR(INDEX('05_BAO_CAO_NGAY'!$E$6:$E$505,MATCH(B222,'05_BAO_CAO_NGAY'!$A$6:$A$505,0)),""))</x:f>
      </x:c>
      <x:c r="H222" s="29" t="str">
        <x:f>IF(B222="","",IFERROR(INDEX('05_BAO_CAO_NGAY'!$J$6:$J$505,MATCH(B222,'05_BAO_CAO_NGAY'!$A$6:$A$505,0)),""))</x:f>
      </x:c>
      <x:c r="I222" s="29" t="str">
        <x:f>IF(B222="","",IFERROR(INDEX('05_BAO_CAO_NGAY'!$M$6:$M$505,MATCH(B222,'05_BAO_CAO_NGAY'!$A$6:$A$505,0)),""))</x:f>
      </x:c>
      <x:c r="J222" s="21"/>
      <x:c r="K222" s="29" t="str">
        <x:f>IF(J222="","",IFERROR(INDEX(DM_LY_DO_DUNG!$C$6:$C$105,MATCH(J222,DM_LY_DO_DUNG!$A$6:$A$105,0)),""))</x:f>
      </x:c>
      <x:c r="L222" s="21"/>
      <x:c r="M222" s="21"/>
      <x:c r="N222" s="21"/>
      <x:c r="O222" s="21"/>
      <x:c r="P222" s="21"/>
      <x:c r="Q222" s="43"/>
      <x:c r="R222" s="29" t="str">
        <x:f>IF(A222="","",IF(OR(B222="",C222="",D222="",J222=""),"Thiếu dữ liệu",IF(D222&lt;C222,"Sai thời gian",IF(AND(P222="Đã đóng",Q222=""),"Thiếu thời điểm đóng","Hợp lệ"))))</x:f>
      </x:c>
    </x:row>
    <x:row r="223">
      <x:c r="A223" s="21"/>
      <x:c r="B223" s="21"/>
      <x:c r="C223" s="43"/>
      <x:c r="D223" s="43"/>
      <x:c r="E223" s="39" t="str">
        <x:f>IF(A223="","",MAX(0,(D223-C223)*1440))</x:f>
      </x:c>
      <x:c r="F223" s="29" t="str">
        <x:f>IF(B223="","",IFERROR(INDEX('05_BAO_CAO_NGAY'!$D$6:$D$505,MATCH(B223,'05_BAO_CAO_NGAY'!$A$6:$A$505,0)),""))</x:f>
      </x:c>
      <x:c r="G223" s="29" t="str">
        <x:f>IF(B223="","",IFERROR(INDEX('05_BAO_CAO_NGAY'!$E$6:$E$505,MATCH(B223,'05_BAO_CAO_NGAY'!$A$6:$A$505,0)),""))</x:f>
      </x:c>
      <x:c r="H223" s="29" t="str">
        <x:f>IF(B223="","",IFERROR(INDEX('05_BAO_CAO_NGAY'!$J$6:$J$505,MATCH(B223,'05_BAO_CAO_NGAY'!$A$6:$A$505,0)),""))</x:f>
      </x:c>
      <x:c r="I223" s="29" t="str">
        <x:f>IF(B223="","",IFERROR(INDEX('05_BAO_CAO_NGAY'!$M$6:$M$505,MATCH(B223,'05_BAO_CAO_NGAY'!$A$6:$A$505,0)),""))</x:f>
      </x:c>
      <x:c r="J223" s="21"/>
      <x:c r="K223" s="29" t="str">
        <x:f>IF(J223="","",IFERROR(INDEX(DM_LY_DO_DUNG!$C$6:$C$105,MATCH(J223,DM_LY_DO_DUNG!$A$6:$A$105,0)),""))</x:f>
      </x:c>
      <x:c r="L223" s="21"/>
      <x:c r="M223" s="21"/>
      <x:c r="N223" s="21"/>
      <x:c r="O223" s="21"/>
      <x:c r="P223" s="21"/>
      <x:c r="Q223" s="43"/>
      <x:c r="R223" s="29" t="str">
        <x:f>IF(A223="","",IF(OR(B223="",C223="",D223="",J223=""),"Thiếu dữ liệu",IF(D223&lt;C223,"Sai thời gian",IF(AND(P223="Đã đóng",Q223=""),"Thiếu thời điểm đóng","Hợp lệ"))))</x:f>
      </x:c>
    </x:row>
    <x:row r="224">
      <x:c r="A224" s="21"/>
      <x:c r="B224" s="21"/>
      <x:c r="C224" s="43"/>
      <x:c r="D224" s="43"/>
      <x:c r="E224" s="39" t="str">
        <x:f>IF(A224="","",MAX(0,(D224-C224)*1440))</x:f>
      </x:c>
      <x:c r="F224" s="29" t="str">
        <x:f>IF(B224="","",IFERROR(INDEX('05_BAO_CAO_NGAY'!$D$6:$D$505,MATCH(B224,'05_BAO_CAO_NGAY'!$A$6:$A$505,0)),""))</x:f>
      </x:c>
      <x:c r="G224" s="29" t="str">
        <x:f>IF(B224="","",IFERROR(INDEX('05_BAO_CAO_NGAY'!$E$6:$E$505,MATCH(B224,'05_BAO_CAO_NGAY'!$A$6:$A$505,0)),""))</x:f>
      </x:c>
      <x:c r="H224" s="29" t="str">
        <x:f>IF(B224="","",IFERROR(INDEX('05_BAO_CAO_NGAY'!$J$6:$J$505,MATCH(B224,'05_BAO_CAO_NGAY'!$A$6:$A$505,0)),""))</x:f>
      </x:c>
      <x:c r="I224" s="29" t="str">
        <x:f>IF(B224="","",IFERROR(INDEX('05_BAO_CAO_NGAY'!$M$6:$M$505,MATCH(B224,'05_BAO_CAO_NGAY'!$A$6:$A$505,0)),""))</x:f>
      </x:c>
      <x:c r="J224" s="21"/>
      <x:c r="K224" s="29" t="str">
        <x:f>IF(J224="","",IFERROR(INDEX(DM_LY_DO_DUNG!$C$6:$C$105,MATCH(J224,DM_LY_DO_DUNG!$A$6:$A$105,0)),""))</x:f>
      </x:c>
      <x:c r="L224" s="21"/>
      <x:c r="M224" s="21"/>
      <x:c r="N224" s="21"/>
      <x:c r="O224" s="21"/>
      <x:c r="P224" s="21"/>
      <x:c r="Q224" s="43"/>
      <x:c r="R224" s="29" t="str">
        <x:f>IF(A224="","",IF(OR(B224="",C224="",D224="",J224=""),"Thiếu dữ liệu",IF(D224&lt;C224,"Sai thời gian",IF(AND(P224="Đã đóng",Q224=""),"Thiếu thời điểm đóng","Hợp lệ"))))</x:f>
      </x:c>
    </x:row>
    <x:row r="225">
      <x:c r="A225" s="21"/>
      <x:c r="B225" s="21"/>
      <x:c r="C225" s="43"/>
      <x:c r="D225" s="43"/>
      <x:c r="E225" s="39" t="str">
        <x:f>IF(A225="","",MAX(0,(D225-C225)*1440))</x:f>
      </x:c>
      <x:c r="F225" s="29" t="str">
        <x:f>IF(B225="","",IFERROR(INDEX('05_BAO_CAO_NGAY'!$D$6:$D$505,MATCH(B225,'05_BAO_CAO_NGAY'!$A$6:$A$505,0)),""))</x:f>
      </x:c>
      <x:c r="G225" s="29" t="str">
        <x:f>IF(B225="","",IFERROR(INDEX('05_BAO_CAO_NGAY'!$E$6:$E$505,MATCH(B225,'05_BAO_CAO_NGAY'!$A$6:$A$505,0)),""))</x:f>
      </x:c>
      <x:c r="H225" s="29" t="str">
        <x:f>IF(B225="","",IFERROR(INDEX('05_BAO_CAO_NGAY'!$J$6:$J$505,MATCH(B225,'05_BAO_CAO_NGAY'!$A$6:$A$505,0)),""))</x:f>
      </x:c>
      <x:c r="I225" s="29" t="str">
        <x:f>IF(B225="","",IFERROR(INDEX('05_BAO_CAO_NGAY'!$M$6:$M$505,MATCH(B225,'05_BAO_CAO_NGAY'!$A$6:$A$505,0)),""))</x:f>
      </x:c>
      <x:c r="J225" s="21"/>
      <x:c r="K225" s="29" t="str">
        <x:f>IF(J225="","",IFERROR(INDEX(DM_LY_DO_DUNG!$C$6:$C$105,MATCH(J225,DM_LY_DO_DUNG!$A$6:$A$105,0)),""))</x:f>
      </x:c>
      <x:c r="L225" s="21"/>
      <x:c r="M225" s="21"/>
      <x:c r="N225" s="21"/>
      <x:c r="O225" s="21"/>
      <x:c r="P225" s="21"/>
      <x:c r="Q225" s="43"/>
      <x:c r="R225" s="29" t="str">
        <x:f>IF(A225="","",IF(OR(B225="",C225="",D225="",J225=""),"Thiếu dữ liệu",IF(D225&lt;C225,"Sai thời gian",IF(AND(P225="Đã đóng",Q225=""),"Thiếu thời điểm đóng","Hợp lệ"))))</x:f>
      </x:c>
    </x:row>
    <x:row r="226">
      <x:c r="A226" s="21"/>
      <x:c r="B226" s="21"/>
      <x:c r="C226" s="43"/>
      <x:c r="D226" s="43"/>
      <x:c r="E226" s="39" t="str">
        <x:f>IF(A226="","",MAX(0,(D226-C226)*1440))</x:f>
      </x:c>
      <x:c r="F226" s="29" t="str">
        <x:f>IF(B226="","",IFERROR(INDEX('05_BAO_CAO_NGAY'!$D$6:$D$505,MATCH(B226,'05_BAO_CAO_NGAY'!$A$6:$A$505,0)),""))</x:f>
      </x:c>
      <x:c r="G226" s="29" t="str">
        <x:f>IF(B226="","",IFERROR(INDEX('05_BAO_CAO_NGAY'!$E$6:$E$505,MATCH(B226,'05_BAO_CAO_NGAY'!$A$6:$A$505,0)),""))</x:f>
      </x:c>
      <x:c r="H226" s="29" t="str">
        <x:f>IF(B226="","",IFERROR(INDEX('05_BAO_CAO_NGAY'!$J$6:$J$505,MATCH(B226,'05_BAO_CAO_NGAY'!$A$6:$A$505,0)),""))</x:f>
      </x:c>
      <x:c r="I226" s="29" t="str">
        <x:f>IF(B226="","",IFERROR(INDEX('05_BAO_CAO_NGAY'!$M$6:$M$505,MATCH(B226,'05_BAO_CAO_NGAY'!$A$6:$A$505,0)),""))</x:f>
      </x:c>
      <x:c r="J226" s="21"/>
      <x:c r="K226" s="29" t="str">
        <x:f>IF(J226="","",IFERROR(INDEX(DM_LY_DO_DUNG!$C$6:$C$105,MATCH(J226,DM_LY_DO_DUNG!$A$6:$A$105,0)),""))</x:f>
      </x:c>
      <x:c r="L226" s="21"/>
      <x:c r="M226" s="21"/>
      <x:c r="N226" s="21"/>
      <x:c r="O226" s="21"/>
      <x:c r="P226" s="21"/>
      <x:c r="Q226" s="43"/>
      <x:c r="R226" s="29" t="str">
        <x:f>IF(A226="","",IF(OR(B226="",C226="",D226="",J226=""),"Thiếu dữ liệu",IF(D226&lt;C226,"Sai thời gian",IF(AND(P226="Đã đóng",Q226=""),"Thiếu thời điểm đóng","Hợp lệ"))))</x:f>
      </x:c>
    </x:row>
    <x:row r="227">
      <x:c r="A227" s="21"/>
      <x:c r="B227" s="21"/>
      <x:c r="C227" s="43"/>
      <x:c r="D227" s="43"/>
      <x:c r="E227" s="39" t="str">
        <x:f>IF(A227="","",MAX(0,(D227-C227)*1440))</x:f>
      </x:c>
      <x:c r="F227" s="29" t="str">
        <x:f>IF(B227="","",IFERROR(INDEX('05_BAO_CAO_NGAY'!$D$6:$D$505,MATCH(B227,'05_BAO_CAO_NGAY'!$A$6:$A$505,0)),""))</x:f>
      </x:c>
      <x:c r="G227" s="29" t="str">
        <x:f>IF(B227="","",IFERROR(INDEX('05_BAO_CAO_NGAY'!$E$6:$E$505,MATCH(B227,'05_BAO_CAO_NGAY'!$A$6:$A$505,0)),""))</x:f>
      </x:c>
      <x:c r="H227" s="29" t="str">
        <x:f>IF(B227="","",IFERROR(INDEX('05_BAO_CAO_NGAY'!$J$6:$J$505,MATCH(B227,'05_BAO_CAO_NGAY'!$A$6:$A$505,0)),""))</x:f>
      </x:c>
      <x:c r="I227" s="29" t="str">
        <x:f>IF(B227="","",IFERROR(INDEX('05_BAO_CAO_NGAY'!$M$6:$M$505,MATCH(B227,'05_BAO_CAO_NGAY'!$A$6:$A$505,0)),""))</x:f>
      </x:c>
      <x:c r="J227" s="21"/>
      <x:c r="K227" s="29" t="str">
        <x:f>IF(J227="","",IFERROR(INDEX(DM_LY_DO_DUNG!$C$6:$C$105,MATCH(J227,DM_LY_DO_DUNG!$A$6:$A$105,0)),""))</x:f>
      </x:c>
      <x:c r="L227" s="21"/>
      <x:c r="M227" s="21"/>
      <x:c r="N227" s="21"/>
      <x:c r="O227" s="21"/>
      <x:c r="P227" s="21"/>
      <x:c r="Q227" s="43"/>
      <x:c r="R227" s="29" t="str">
        <x:f>IF(A227="","",IF(OR(B227="",C227="",D227="",J227=""),"Thiếu dữ liệu",IF(D227&lt;C227,"Sai thời gian",IF(AND(P227="Đã đóng",Q227=""),"Thiếu thời điểm đóng","Hợp lệ"))))</x:f>
      </x:c>
    </x:row>
    <x:row r="228">
      <x:c r="A228" s="21"/>
      <x:c r="B228" s="21"/>
      <x:c r="C228" s="43"/>
      <x:c r="D228" s="43"/>
      <x:c r="E228" s="39" t="str">
        <x:f>IF(A228="","",MAX(0,(D228-C228)*1440))</x:f>
      </x:c>
      <x:c r="F228" s="29" t="str">
        <x:f>IF(B228="","",IFERROR(INDEX('05_BAO_CAO_NGAY'!$D$6:$D$505,MATCH(B228,'05_BAO_CAO_NGAY'!$A$6:$A$505,0)),""))</x:f>
      </x:c>
      <x:c r="G228" s="29" t="str">
        <x:f>IF(B228="","",IFERROR(INDEX('05_BAO_CAO_NGAY'!$E$6:$E$505,MATCH(B228,'05_BAO_CAO_NGAY'!$A$6:$A$505,0)),""))</x:f>
      </x:c>
      <x:c r="H228" s="29" t="str">
        <x:f>IF(B228="","",IFERROR(INDEX('05_BAO_CAO_NGAY'!$J$6:$J$505,MATCH(B228,'05_BAO_CAO_NGAY'!$A$6:$A$505,0)),""))</x:f>
      </x:c>
      <x:c r="I228" s="29" t="str">
        <x:f>IF(B228="","",IFERROR(INDEX('05_BAO_CAO_NGAY'!$M$6:$M$505,MATCH(B228,'05_BAO_CAO_NGAY'!$A$6:$A$505,0)),""))</x:f>
      </x:c>
      <x:c r="J228" s="21"/>
      <x:c r="K228" s="29" t="str">
        <x:f>IF(J228="","",IFERROR(INDEX(DM_LY_DO_DUNG!$C$6:$C$105,MATCH(J228,DM_LY_DO_DUNG!$A$6:$A$105,0)),""))</x:f>
      </x:c>
      <x:c r="L228" s="21"/>
      <x:c r="M228" s="21"/>
      <x:c r="N228" s="21"/>
      <x:c r="O228" s="21"/>
      <x:c r="P228" s="21"/>
      <x:c r="Q228" s="43"/>
      <x:c r="R228" s="29" t="str">
        <x:f>IF(A228="","",IF(OR(B228="",C228="",D228="",J228=""),"Thiếu dữ liệu",IF(D228&lt;C228,"Sai thời gian",IF(AND(P228="Đã đóng",Q228=""),"Thiếu thời điểm đóng","Hợp lệ"))))</x:f>
      </x:c>
    </x:row>
    <x:row r="229">
      <x:c r="A229" s="21"/>
      <x:c r="B229" s="21"/>
      <x:c r="C229" s="43"/>
      <x:c r="D229" s="43"/>
      <x:c r="E229" s="39" t="str">
        <x:f>IF(A229="","",MAX(0,(D229-C229)*1440))</x:f>
      </x:c>
      <x:c r="F229" s="29" t="str">
        <x:f>IF(B229="","",IFERROR(INDEX('05_BAO_CAO_NGAY'!$D$6:$D$505,MATCH(B229,'05_BAO_CAO_NGAY'!$A$6:$A$505,0)),""))</x:f>
      </x:c>
      <x:c r="G229" s="29" t="str">
        <x:f>IF(B229="","",IFERROR(INDEX('05_BAO_CAO_NGAY'!$E$6:$E$505,MATCH(B229,'05_BAO_CAO_NGAY'!$A$6:$A$505,0)),""))</x:f>
      </x:c>
      <x:c r="H229" s="29" t="str">
        <x:f>IF(B229="","",IFERROR(INDEX('05_BAO_CAO_NGAY'!$J$6:$J$505,MATCH(B229,'05_BAO_CAO_NGAY'!$A$6:$A$505,0)),""))</x:f>
      </x:c>
      <x:c r="I229" s="29" t="str">
        <x:f>IF(B229="","",IFERROR(INDEX('05_BAO_CAO_NGAY'!$M$6:$M$505,MATCH(B229,'05_BAO_CAO_NGAY'!$A$6:$A$505,0)),""))</x:f>
      </x:c>
      <x:c r="J229" s="21"/>
      <x:c r="K229" s="29" t="str">
        <x:f>IF(J229="","",IFERROR(INDEX(DM_LY_DO_DUNG!$C$6:$C$105,MATCH(J229,DM_LY_DO_DUNG!$A$6:$A$105,0)),""))</x:f>
      </x:c>
      <x:c r="L229" s="21"/>
      <x:c r="M229" s="21"/>
      <x:c r="N229" s="21"/>
      <x:c r="O229" s="21"/>
      <x:c r="P229" s="21"/>
      <x:c r="Q229" s="43"/>
      <x:c r="R229" s="29" t="str">
        <x:f>IF(A229="","",IF(OR(B229="",C229="",D229="",J229=""),"Thiếu dữ liệu",IF(D229&lt;C229,"Sai thời gian",IF(AND(P229="Đã đóng",Q229=""),"Thiếu thời điểm đóng","Hợp lệ"))))</x:f>
      </x:c>
    </x:row>
    <x:row r="230">
      <x:c r="A230" s="21"/>
      <x:c r="B230" s="21"/>
      <x:c r="C230" s="43"/>
      <x:c r="D230" s="43"/>
      <x:c r="E230" s="39" t="str">
        <x:f>IF(A230="","",MAX(0,(D230-C230)*1440))</x:f>
      </x:c>
      <x:c r="F230" s="29" t="str">
        <x:f>IF(B230="","",IFERROR(INDEX('05_BAO_CAO_NGAY'!$D$6:$D$505,MATCH(B230,'05_BAO_CAO_NGAY'!$A$6:$A$505,0)),""))</x:f>
      </x:c>
      <x:c r="G230" s="29" t="str">
        <x:f>IF(B230="","",IFERROR(INDEX('05_BAO_CAO_NGAY'!$E$6:$E$505,MATCH(B230,'05_BAO_CAO_NGAY'!$A$6:$A$505,0)),""))</x:f>
      </x:c>
      <x:c r="H230" s="29" t="str">
        <x:f>IF(B230="","",IFERROR(INDEX('05_BAO_CAO_NGAY'!$J$6:$J$505,MATCH(B230,'05_BAO_CAO_NGAY'!$A$6:$A$505,0)),""))</x:f>
      </x:c>
      <x:c r="I230" s="29" t="str">
        <x:f>IF(B230="","",IFERROR(INDEX('05_BAO_CAO_NGAY'!$M$6:$M$505,MATCH(B230,'05_BAO_CAO_NGAY'!$A$6:$A$505,0)),""))</x:f>
      </x:c>
      <x:c r="J230" s="21"/>
      <x:c r="K230" s="29" t="str">
        <x:f>IF(J230="","",IFERROR(INDEX(DM_LY_DO_DUNG!$C$6:$C$105,MATCH(J230,DM_LY_DO_DUNG!$A$6:$A$105,0)),""))</x:f>
      </x:c>
      <x:c r="L230" s="21"/>
      <x:c r="M230" s="21"/>
      <x:c r="N230" s="21"/>
      <x:c r="O230" s="21"/>
      <x:c r="P230" s="21"/>
      <x:c r="Q230" s="43"/>
      <x:c r="R230" s="29" t="str">
        <x:f>IF(A230="","",IF(OR(B230="",C230="",D230="",J230=""),"Thiếu dữ liệu",IF(D230&lt;C230,"Sai thời gian",IF(AND(P230="Đã đóng",Q230=""),"Thiếu thời điểm đóng","Hợp lệ"))))</x:f>
      </x:c>
    </x:row>
    <x:row r="231">
      <x:c r="A231" s="21"/>
      <x:c r="B231" s="21"/>
      <x:c r="C231" s="43"/>
      <x:c r="D231" s="43"/>
      <x:c r="E231" s="39" t="str">
        <x:f>IF(A231="","",MAX(0,(D231-C231)*1440))</x:f>
      </x:c>
      <x:c r="F231" s="29" t="str">
        <x:f>IF(B231="","",IFERROR(INDEX('05_BAO_CAO_NGAY'!$D$6:$D$505,MATCH(B231,'05_BAO_CAO_NGAY'!$A$6:$A$505,0)),""))</x:f>
      </x:c>
      <x:c r="G231" s="29" t="str">
        <x:f>IF(B231="","",IFERROR(INDEX('05_BAO_CAO_NGAY'!$E$6:$E$505,MATCH(B231,'05_BAO_CAO_NGAY'!$A$6:$A$505,0)),""))</x:f>
      </x:c>
      <x:c r="H231" s="29" t="str">
        <x:f>IF(B231="","",IFERROR(INDEX('05_BAO_CAO_NGAY'!$J$6:$J$505,MATCH(B231,'05_BAO_CAO_NGAY'!$A$6:$A$505,0)),""))</x:f>
      </x:c>
      <x:c r="I231" s="29" t="str">
        <x:f>IF(B231="","",IFERROR(INDEX('05_BAO_CAO_NGAY'!$M$6:$M$505,MATCH(B231,'05_BAO_CAO_NGAY'!$A$6:$A$505,0)),""))</x:f>
      </x:c>
      <x:c r="J231" s="21"/>
      <x:c r="K231" s="29" t="str">
        <x:f>IF(J231="","",IFERROR(INDEX(DM_LY_DO_DUNG!$C$6:$C$105,MATCH(J231,DM_LY_DO_DUNG!$A$6:$A$105,0)),""))</x:f>
      </x:c>
      <x:c r="L231" s="21"/>
      <x:c r="M231" s="21"/>
      <x:c r="N231" s="21"/>
      <x:c r="O231" s="21"/>
      <x:c r="P231" s="21"/>
      <x:c r="Q231" s="43"/>
      <x:c r="R231" s="29" t="str">
        <x:f>IF(A231="","",IF(OR(B231="",C231="",D231="",J231=""),"Thiếu dữ liệu",IF(D231&lt;C231,"Sai thời gian",IF(AND(P231="Đã đóng",Q231=""),"Thiếu thời điểm đóng","Hợp lệ"))))</x:f>
      </x:c>
    </x:row>
    <x:row r="232">
      <x:c r="A232" s="21"/>
      <x:c r="B232" s="21"/>
      <x:c r="C232" s="43"/>
      <x:c r="D232" s="43"/>
      <x:c r="E232" s="39" t="str">
        <x:f>IF(A232="","",MAX(0,(D232-C232)*1440))</x:f>
      </x:c>
      <x:c r="F232" s="29" t="str">
        <x:f>IF(B232="","",IFERROR(INDEX('05_BAO_CAO_NGAY'!$D$6:$D$505,MATCH(B232,'05_BAO_CAO_NGAY'!$A$6:$A$505,0)),""))</x:f>
      </x:c>
      <x:c r="G232" s="29" t="str">
        <x:f>IF(B232="","",IFERROR(INDEX('05_BAO_CAO_NGAY'!$E$6:$E$505,MATCH(B232,'05_BAO_CAO_NGAY'!$A$6:$A$505,0)),""))</x:f>
      </x:c>
      <x:c r="H232" s="29" t="str">
        <x:f>IF(B232="","",IFERROR(INDEX('05_BAO_CAO_NGAY'!$J$6:$J$505,MATCH(B232,'05_BAO_CAO_NGAY'!$A$6:$A$505,0)),""))</x:f>
      </x:c>
      <x:c r="I232" s="29" t="str">
        <x:f>IF(B232="","",IFERROR(INDEX('05_BAO_CAO_NGAY'!$M$6:$M$505,MATCH(B232,'05_BAO_CAO_NGAY'!$A$6:$A$505,0)),""))</x:f>
      </x:c>
      <x:c r="J232" s="21"/>
      <x:c r="K232" s="29" t="str">
        <x:f>IF(J232="","",IFERROR(INDEX(DM_LY_DO_DUNG!$C$6:$C$105,MATCH(J232,DM_LY_DO_DUNG!$A$6:$A$105,0)),""))</x:f>
      </x:c>
      <x:c r="L232" s="21"/>
      <x:c r="M232" s="21"/>
      <x:c r="N232" s="21"/>
      <x:c r="O232" s="21"/>
      <x:c r="P232" s="21"/>
      <x:c r="Q232" s="43"/>
      <x:c r="R232" s="29" t="str">
        <x:f>IF(A232="","",IF(OR(B232="",C232="",D232="",J232=""),"Thiếu dữ liệu",IF(D232&lt;C232,"Sai thời gian",IF(AND(P232="Đã đóng",Q232=""),"Thiếu thời điểm đóng","Hợp lệ"))))</x:f>
      </x:c>
    </x:row>
    <x:row r="233">
      <x:c r="A233" s="21"/>
      <x:c r="B233" s="21"/>
      <x:c r="C233" s="43"/>
      <x:c r="D233" s="43"/>
      <x:c r="E233" s="39" t="str">
        <x:f>IF(A233="","",MAX(0,(D233-C233)*1440))</x:f>
      </x:c>
      <x:c r="F233" s="29" t="str">
        <x:f>IF(B233="","",IFERROR(INDEX('05_BAO_CAO_NGAY'!$D$6:$D$505,MATCH(B233,'05_BAO_CAO_NGAY'!$A$6:$A$505,0)),""))</x:f>
      </x:c>
      <x:c r="G233" s="29" t="str">
        <x:f>IF(B233="","",IFERROR(INDEX('05_BAO_CAO_NGAY'!$E$6:$E$505,MATCH(B233,'05_BAO_CAO_NGAY'!$A$6:$A$505,0)),""))</x:f>
      </x:c>
      <x:c r="H233" s="29" t="str">
        <x:f>IF(B233="","",IFERROR(INDEX('05_BAO_CAO_NGAY'!$J$6:$J$505,MATCH(B233,'05_BAO_CAO_NGAY'!$A$6:$A$505,0)),""))</x:f>
      </x:c>
      <x:c r="I233" s="29" t="str">
        <x:f>IF(B233="","",IFERROR(INDEX('05_BAO_CAO_NGAY'!$M$6:$M$505,MATCH(B233,'05_BAO_CAO_NGAY'!$A$6:$A$505,0)),""))</x:f>
      </x:c>
      <x:c r="J233" s="21"/>
      <x:c r="K233" s="29" t="str">
        <x:f>IF(J233="","",IFERROR(INDEX(DM_LY_DO_DUNG!$C$6:$C$105,MATCH(J233,DM_LY_DO_DUNG!$A$6:$A$105,0)),""))</x:f>
      </x:c>
      <x:c r="L233" s="21"/>
      <x:c r="M233" s="21"/>
      <x:c r="N233" s="21"/>
      <x:c r="O233" s="21"/>
      <x:c r="P233" s="21"/>
      <x:c r="Q233" s="43"/>
      <x:c r="R233" s="29" t="str">
        <x:f>IF(A233="","",IF(OR(B233="",C233="",D233="",J233=""),"Thiếu dữ liệu",IF(D233&lt;C233,"Sai thời gian",IF(AND(P233="Đã đóng",Q233=""),"Thiếu thời điểm đóng","Hợp lệ"))))</x:f>
      </x:c>
    </x:row>
    <x:row r="234">
      <x:c r="A234" s="21"/>
      <x:c r="B234" s="21"/>
      <x:c r="C234" s="43"/>
      <x:c r="D234" s="43"/>
      <x:c r="E234" s="39" t="str">
        <x:f>IF(A234="","",MAX(0,(D234-C234)*1440))</x:f>
      </x:c>
      <x:c r="F234" s="29" t="str">
        <x:f>IF(B234="","",IFERROR(INDEX('05_BAO_CAO_NGAY'!$D$6:$D$505,MATCH(B234,'05_BAO_CAO_NGAY'!$A$6:$A$505,0)),""))</x:f>
      </x:c>
      <x:c r="G234" s="29" t="str">
        <x:f>IF(B234="","",IFERROR(INDEX('05_BAO_CAO_NGAY'!$E$6:$E$505,MATCH(B234,'05_BAO_CAO_NGAY'!$A$6:$A$505,0)),""))</x:f>
      </x:c>
      <x:c r="H234" s="29" t="str">
        <x:f>IF(B234="","",IFERROR(INDEX('05_BAO_CAO_NGAY'!$J$6:$J$505,MATCH(B234,'05_BAO_CAO_NGAY'!$A$6:$A$505,0)),""))</x:f>
      </x:c>
      <x:c r="I234" s="29" t="str">
        <x:f>IF(B234="","",IFERROR(INDEX('05_BAO_CAO_NGAY'!$M$6:$M$505,MATCH(B234,'05_BAO_CAO_NGAY'!$A$6:$A$505,0)),""))</x:f>
      </x:c>
      <x:c r="J234" s="21"/>
      <x:c r="K234" s="29" t="str">
        <x:f>IF(J234="","",IFERROR(INDEX(DM_LY_DO_DUNG!$C$6:$C$105,MATCH(J234,DM_LY_DO_DUNG!$A$6:$A$105,0)),""))</x:f>
      </x:c>
      <x:c r="L234" s="21"/>
      <x:c r="M234" s="21"/>
      <x:c r="N234" s="21"/>
      <x:c r="O234" s="21"/>
      <x:c r="P234" s="21"/>
      <x:c r="Q234" s="43"/>
      <x:c r="R234" s="29" t="str">
        <x:f>IF(A234="","",IF(OR(B234="",C234="",D234="",J234=""),"Thiếu dữ liệu",IF(D234&lt;C234,"Sai thời gian",IF(AND(P234="Đã đóng",Q234=""),"Thiếu thời điểm đóng","Hợp lệ"))))</x:f>
      </x:c>
    </x:row>
    <x:row r="235">
      <x:c r="A235" s="21"/>
      <x:c r="B235" s="21"/>
      <x:c r="C235" s="43"/>
      <x:c r="D235" s="43"/>
      <x:c r="E235" s="39" t="str">
        <x:f>IF(A235="","",MAX(0,(D235-C235)*1440))</x:f>
      </x:c>
      <x:c r="F235" s="29" t="str">
        <x:f>IF(B235="","",IFERROR(INDEX('05_BAO_CAO_NGAY'!$D$6:$D$505,MATCH(B235,'05_BAO_CAO_NGAY'!$A$6:$A$505,0)),""))</x:f>
      </x:c>
      <x:c r="G235" s="29" t="str">
        <x:f>IF(B235="","",IFERROR(INDEX('05_BAO_CAO_NGAY'!$E$6:$E$505,MATCH(B235,'05_BAO_CAO_NGAY'!$A$6:$A$505,0)),""))</x:f>
      </x:c>
      <x:c r="H235" s="29" t="str">
        <x:f>IF(B235="","",IFERROR(INDEX('05_BAO_CAO_NGAY'!$J$6:$J$505,MATCH(B235,'05_BAO_CAO_NGAY'!$A$6:$A$505,0)),""))</x:f>
      </x:c>
      <x:c r="I235" s="29" t="str">
        <x:f>IF(B235="","",IFERROR(INDEX('05_BAO_CAO_NGAY'!$M$6:$M$505,MATCH(B235,'05_BAO_CAO_NGAY'!$A$6:$A$505,0)),""))</x:f>
      </x:c>
      <x:c r="J235" s="21"/>
      <x:c r="K235" s="29" t="str">
        <x:f>IF(J235="","",IFERROR(INDEX(DM_LY_DO_DUNG!$C$6:$C$105,MATCH(J235,DM_LY_DO_DUNG!$A$6:$A$105,0)),""))</x:f>
      </x:c>
      <x:c r="L235" s="21"/>
      <x:c r="M235" s="21"/>
      <x:c r="N235" s="21"/>
      <x:c r="O235" s="21"/>
      <x:c r="P235" s="21"/>
      <x:c r="Q235" s="43"/>
      <x:c r="R235" s="29" t="str">
        <x:f>IF(A235="","",IF(OR(B235="",C235="",D235="",J235=""),"Thiếu dữ liệu",IF(D235&lt;C235,"Sai thời gian",IF(AND(P235="Đã đóng",Q235=""),"Thiếu thời điểm đóng","Hợp lệ"))))</x:f>
      </x:c>
    </x:row>
    <x:row r="236">
      <x:c r="A236" s="21"/>
      <x:c r="B236" s="21"/>
      <x:c r="C236" s="43"/>
      <x:c r="D236" s="43"/>
      <x:c r="E236" s="39" t="str">
        <x:f>IF(A236="","",MAX(0,(D236-C236)*1440))</x:f>
      </x:c>
      <x:c r="F236" s="29" t="str">
        <x:f>IF(B236="","",IFERROR(INDEX('05_BAO_CAO_NGAY'!$D$6:$D$505,MATCH(B236,'05_BAO_CAO_NGAY'!$A$6:$A$505,0)),""))</x:f>
      </x:c>
      <x:c r="G236" s="29" t="str">
        <x:f>IF(B236="","",IFERROR(INDEX('05_BAO_CAO_NGAY'!$E$6:$E$505,MATCH(B236,'05_BAO_CAO_NGAY'!$A$6:$A$505,0)),""))</x:f>
      </x:c>
      <x:c r="H236" s="29" t="str">
        <x:f>IF(B236="","",IFERROR(INDEX('05_BAO_CAO_NGAY'!$J$6:$J$505,MATCH(B236,'05_BAO_CAO_NGAY'!$A$6:$A$505,0)),""))</x:f>
      </x:c>
      <x:c r="I236" s="29" t="str">
        <x:f>IF(B236="","",IFERROR(INDEX('05_BAO_CAO_NGAY'!$M$6:$M$505,MATCH(B236,'05_BAO_CAO_NGAY'!$A$6:$A$505,0)),""))</x:f>
      </x:c>
      <x:c r="J236" s="21"/>
      <x:c r="K236" s="29" t="str">
        <x:f>IF(J236="","",IFERROR(INDEX(DM_LY_DO_DUNG!$C$6:$C$105,MATCH(J236,DM_LY_DO_DUNG!$A$6:$A$105,0)),""))</x:f>
      </x:c>
      <x:c r="L236" s="21"/>
      <x:c r="M236" s="21"/>
      <x:c r="N236" s="21"/>
      <x:c r="O236" s="21"/>
      <x:c r="P236" s="21"/>
      <x:c r="Q236" s="43"/>
      <x:c r="R236" s="29" t="str">
        <x:f>IF(A236="","",IF(OR(B236="",C236="",D236="",J236=""),"Thiếu dữ liệu",IF(D236&lt;C236,"Sai thời gian",IF(AND(P236="Đã đóng",Q236=""),"Thiếu thời điểm đóng","Hợp lệ"))))</x:f>
      </x:c>
    </x:row>
    <x:row r="237">
      <x:c r="A237" s="21"/>
      <x:c r="B237" s="21"/>
      <x:c r="C237" s="43"/>
      <x:c r="D237" s="43"/>
      <x:c r="E237" s="39" t="str">
        <x:f>IF(A237="","",MAX(0,(D237-C237)*1440))</x:f>
      </x:c>
      <x:c r="F237" s="29" t="str">
        <x:f>IF(B237="","",IFERROR(INDEX('05_BAO_CAO_NGAY'!$D$6:$D$505,MATCH(B237,'05_BAO_CAO_NGAY'!$A$6:$A$505,0)),""))</x:f>
      </x:c>
      <x:c r="G237" s="29" t="str">
        <x:f>IF(B237="","",IFERROR(INDEX('05_BAO_CAO_NGAY'!$E$6:$E$505,MATCH(B237,'05_BAO_CAO_NGAY'!$A$6:$A$505,0)),""))</x:f>
      </x:c>
      <x:c r="H237" s="29" t="str">
        <x:f>IF(B237="","",IFERROR(INDEX('05_BAO_CAO_NGAY'!$J$6:$J$505,MATCH(B237,'05_BAO_CAO_NGAY'!$A$6:$A$505,0)),""))</x:f>
      </x:c>
      <x:c r="I237" s="29" t="str">
        <x:f>IF(B237="","",IFERROR(INDEX('05_BAO_CAO_NGAY'!$M$6:$M$505,MATCH(B237,'05_BAO_CAO_NGAY'!$A$6:$A$505,0)),""))</x:f>
      </x:c>
      <x:c r="J237" s="21"/>
      <x:c r="K237" s="29" t="str">
        <x:f>IF(J237="","",IFERROR(INDEX(DM_LY_DO_DUNG!$C$6:$C$105,MATCH(J237,DM_LY_DO_DUNG!$A$6:$A$105,0)),""))</x:f>
      </x:c>
      <x:c r="L237" s="21"/>
      <x:c r="M237" s="21"/>
      <x:c r="N237" s="21"/>
      <x:c r="O237" s="21"/>
      <x:c r="P237" s="21"/>
      <x:c r="Q237" s="43"/>
      <x:c r="R237" s="29" t="str">
        <x:f>IF(A237="","",IF(OR(B237="",C237="",D237="",J237=""),"Thiếu dữ liệu",IF(D237&lt;C237,"Sai thời gian",IF(AND(P237="Đã đóng",Q237=""),"Thiếu thời điểm đóng","Hợp lệ"))))</x:f>
      </x:c>
    </x:row>
    <x:row r="238">
      <x:c r="A238" s="21"/>
      <x:c r="B238" s="21"/>
      <x:c r="C238" s="43"/>
      <x:c r="D238" s="43"/>
      <x:c r="E238" s="39" t="str">
        <x:f>IF(A238="","",MAX(0,(D238-C238)*1440))</x:f>
      </x:c>
      <x:c r="F238" s="29" t="str">
        <x:f>IF(B238="","",IFERROR(INDEX('05_BAO_CAO_NGAY'!$D$6:$D$505,MATCH(B238,'05_BAO_CAO_NGAY'!$A$6:$A$505,0)),""))</x:f>
      </x:c>
      <x:c r="G238" s="29" t="str">
        <x:f>IF(B238="","",IFERROR(INDEX('05_BAO_CAO_NGAY'!$E$6:$E$505,MATCH(B238,'05_BAO_CAO_NGAY'!$A$6:$A$505,0)),""))</x:f>
      </x:c>
      <x:c r="H238" s="29" t="str">
        <x:f>IF(B238="","",IFERROR(INDEX('05_BAO_CAO_NGAY'!$J$6:$J$505,MATCH(B238,'05_BAO_CAO_NGAY'!$A$6:$A$505,0)),""))</x:f>
      </x:c>
      <x:c r="I238" s="29" t="str">
        <x:f>IF(B238="","",IFERROR(INDEX('05_BAO_CAO_NGAY'!$M$6:$M$505,MATCH(B238,'05_BAO_CAO_NGAY'!$A$6:$A$505,0)),""))</x:f>
      </x:c>
      <x:c r="J238" s="21"/>
      <x:c r="K238" s="29" t="str">
        <x:f>IF(J238="","",IFERROR(INDEX(DM_LY_DO_DUNG!$C$6:$C$105,MATCH(J238,DM_LY_DO_DUNG!$A$6:$A$105,0)),""))</x:f>
      </x:c>
      <x:c r="L238" s="21"/>
      <x:c r="M238" s="21"/>
      <x:c r="N238" s="21"/>
      <x:c r="O238" s="21"/>
      <x:c r="P238" s="21"/>
      <x:c r="Q238" s="43"/>
      <x:c r="R238" s="29" t="str">
        <x:f>IF(A238="","",IF(OR(B238="",C238="",D238="",J238=""),"Thiếu dữ liệu",IF(D238&lt;C238,"Sai thời gian",IF(AND(P238="Đã đóng",Q238=""),"Thiếu thời điểm đóng","Hợp lệ"))))</x:f>
      </x:c>
    </x:row>
    <x:row r="239">
      <x:c r="A239" s="21"/>
      <x:c r="B239" s="21"/>
      <x:c r="C239" s="43"/>
      <x:c r="D239" s="43"/>
      <x:c r="E239" s="39" t="str">
        <x:f>IF(A239="","",MAX(0,(D239-C239)*1440))</x:f>
      </x:c>
      <x:c r="F239" s="29" t="str">
        <x:f>IF(B239="","",IFERROR(INDEX('05_BAO_CAO_NGAY'!$D$6:$D$505,MATCH(B239,'05_BAO_CAO_NGAY'!$A$6:$A$505,0)),""))</x:f>
      </x:c>
      <x:c r="G239" s="29" t="str">
        <x:f>IF(B239="","",IFERROR(INDEX('05_BAO_CAO_NGAY'!$E$6:$E$505,MATCH(B239,'05_BAO_CAO_NGAY'!$A$6:$A$505,0)),""))</x:f>
      </x:c>
      <x:c r="H239" s="29" t="str">
        <x:f>IF(B239="","",IFERROR(INDEX('05_BAO_CAO_NGAY'!$J$6:$J$505,MATCH(B239,'05_BAO_CAO_NGAY'!$A$6:$A$505,0)),""))</x:f>
      </x:c>
      <x:c r="I239" s="29" t="str">
        <x:f>IF(B239="","",IFERROR(INDEX('05_BAO_CAO_NGAY'!$M$6:$M$505,MATCH(B239,'05_BAO_CAO_NGAY'!$A$6:$A$505,0)),""))</x:f>
      </x:c>
      <x:c r="J239" s="21"/>
      <x:c r="K239" s="29" t="str">
        <x:f>IF(J239="","",IFERROR(INDEX(DM_LY_DO_DUNG!$C$6:$C$105,MATCH(J239,DM_LY_DO_DUNG!$A$6:$A$105,0)),""))</x:f>
      </x:c>
      <x:c r="L239" s="21"/>
      <x:c r="M239" s="21"/>
      <x:c r="N239" s="21"/>
      <x:c r="O239" s="21"/>
      <x:c r="P239" s="21"/>
      <x:c r="Q239" s="43"/>
      <x:c r="R239" s="29" t="str">
        <x:f>IF(A239="","",IF(OR(B239="",C239="",D239="",J239=""),"Thiếu dữ liệu",IF(D239&lt;C239,"Sai thời gian",IF(AND(P239="Đã đóng",Q239=""),"Thiếu thời điểm đóng","Hợp lệ"))))</x:f>
      </x:c>
    </x:row>
    <x:row r="240">
      <x:c r="A240" s="21"/>
      <x:c r="B240" s="21"/>
      <x:c r="C240" s="43"/>
      <x:c r="D240" s="43"/>
      <x:c r="E240" s="39" t="str">
        <x:f>IF(A240="","",MAX(0,(D240-C240)*1440))</x:f>
      </x:c>
      <x:c r="F240" s="29" t="str">
        <x:f>IF(B240="","",IFERROR(INDEX('05_BAO_CAO_NGAY'!$D$6:$D$505,MATCH(B240,'05_BAO_CAO_NGAY'!$A$6:$A$505,0)),""))</x:f>
      </x:c>
      <x:c r="G240" s="29" t="str">
        <x:f>IF(B240="","",IFERROR(INDEX('05_BAO_CAO_NGAY'!$E$6:$E$505,MATCH(B240,'05_BAO_CAO_NGAY'!$A$6:$A$505,0)),""))</x:f>
      </x:c>
      <x:c r="H240" s="29" t="str">
        <x:f>IF(B240="","",IFERROR(INDEX('05_BAO_CAO_NGAY'!$J$6:$J$505,MATCH(B240,'05_BAO_CAO_NGAY'!$A$6:$A$505,0)),""))</x:f>
      </x:c>
      <x:c r="I240" s="29" t="str">
        <x:f>IF(B240="","",IFERROR(INDEX('05_BAO_CAO_NGAY'!$M$6:$M$505,MATCH(B240,'05_BAO_CAO_NGAY'!$A$6:$A$505,0)),""))</x:f>
      </x:c>
      <x:c r="J240" s="21"/>
      <x:c r="K240" s="29" t="str">
        <x:f>IF(J240="","",IFERROR(INDEX(DM_LY_DO_DUNG!$C$6:$C$105,MATCH(J240,DM_LY_DO_DUNG!$A$6:$A$105,0)),""))</x:f>
      </x:c>
      <x:c r="L240" s="21"/>
      <x:c r="M240" s="21"/>
      <x:c r="N240" s="21"/>
      <x:c r="O240" s="21"/>
      <x:c r="P240" s="21"/>
      <x:c r="Q240" s="43"/>
      <x:c r="R240" s="29" t="str">
        <x:f>IF(A240="","",IF(OR(B240="",C240="",D240="",J240=""),"Thiếu dữ liệu",IF(D240&lt;C240,"Sai thời gian",IF(AND(P240="Đã đóng",Q240=""),"Thiếu thời điểm đóng","Hợp lệ"))))</x:f>
      </x:c>
    </x:row>
    <x:row r="241">
      <x:c r="A241" s="21"/>
      <x:c r="B241" s="21"/>
      <x:c r="C241" s="43"/>
      <x:c r="D241" s="43"/>
      <x:c r="E241" s="39" t="str">
        <x:f>IF(A241="","",MAX(0,(D241-C241)*1440))</x:f>
      </x:c>
      <x:c r="F241" s="29" t="str">
        <x:f>IF(B241="","",IFERROR(INDEX('05_BAO_CAO_NGAY'!$D$6:$D$505,MATCH(B241,'05_BAO_CAO_NGAY'!$A$6:$A$505,0)),""))</x:f>
      </x:c>
      <x:c r="G241" s="29" t="str">
        <x:f>IF(B241="","",IFERROR(INDEX('05_BAO_CAO_NGAY'!$E$6:$E$505,MATCH(B241,'05_BAO_CAO_NGAY'!$A$6:$A$505,0)),""))</x:f>
      </x:c>
      <x:c r="H241" s="29" t="str">
        <x:f>IF(B241="","",IFERROR(INDEX('05_BAO_CAO_NGAY'!$J$6:$J$505,MATCH(B241,'05_BAO_CAO_NGAY'!$A$6:$A$505,0)),""))</x:f>
      </x:c>
      <x:c r="I241" s="29" t="str">
        <x:f>IF(B241="","",IFERROR(INDEX('05_BAO_CAO_NGAY'!$M$6:$M$505,MATCH(B241,'05_BAO_CAO_NGAY'!$A$6:$A$505,0)),""))</x:f>
      </x:c>
      <x:c r="J241" s="21"/>
      <x:c r="K241" s="29" t="str">
        <x:f>IF(J241="","",IFERROR(INDEX(DM_LY_DO_DUNG!$C$6:$C$105,MATCH(J241,DM_LY_DO_DUNG!$A$6:$A$105,0)),""))</x:f>
      </x:c>
      <x:c r="L241" s="21"/>
      <x:c r="M241" s="21"/>
      <x:c r="N241" s="21"/>
      <x:c r="O241" s="21"/>
      <x:c r="P241" s="21"/>
      <x:c r="Q241" s="43"/>
      <x:c r="R241" s="29" t="str">
        <x:f>IF(A241="","",IF(OR(B241="",C241="",D241="",J241=""),"Thiếu dữ liệu",IF(D241&lt;C241,"Sai thời gian",IF(AND(P241="Đã đóng",Q241=""),"Thiếu thời điểm đóng","Hợp lệ"))))</x:f>
      </x:c>
    </x:row>
    <x:row r="242">
      <x:c r="A242" s="21"/>
      <x:c r="B242" s="21"/>
      <x:c r="C242" s="43"/>
      <x:c r="D242" s="43"/>
      <x:c r="E242" s="39" t="str">
        <x:f>IF(A242="","",MAX(0,(D242-C242)*1440))</x:f>
      </x:c>
      <x:c r="F242" s="29" t="str">
        <x:f>IF(B242="","",IFERROR(INDEX('05_BAO_CAO_NGAY'!$D$6:$D$505,MATCH(B242,'05_BAO_CAO_NGAY'!$A$6:$A$505,0)),""))</x:f>
      </x:c>
      <x:c r="G242" s="29" t="str">
        <x:f>IF(B242="","",IFERROR(INDEX('05_BAO_CAO_NGAY'!$E$6:$E$505,MATCH(B242,'05_BAO_CAO_NGAY'!$A$6:$A$505,0)),""))</x:f>
      </x:c>
      <x:c r="H242" s="29" t="str">
        <x:f>IF(B242="","",IFERROR(INDEX('05_BAO_CAO_NGAY'!$J$6:$J$505,MATCH(B242,'05_BAO_CAO_NGAY'!$A$6:$A$505,0)),""))</x:f>
      </x:c>
      <x:c r="I242" s="29" t="str">
        <x:f>IF(B242="","",IFERROR(INDEX('05_BAO_CAO_NGAY'!$M$6:$M$505,MATCH(B242,'05_BAO_CAO_NGAY'!$A$6:$A$505,0)),""))</x:f>
      </x:c>
      <x:c r="J242" s="21"/>
      <x:c r="K242" s="29" t="str">
        <x:f>IF(J242="","",IFERROR(INDEX(DM_LY_DO_DUNG!$C$6:$C$105,MATCH(J242,DM_LY_DO_DUNG!$A$6:$A$105,0)),""))</x:f>
      </x:c>
      <x:c r="L242" s="21"/>
      <x:c r="M242" s="21"/>
      <x:c r="N242" s="21"/>
      <x:c r="O242" s="21"/>
      <x:c r="P242" s="21"/>
      <x:c r="Q242" s="43"/>
      <x:c r="R242" s="29" t="str">
        <x:f>IF(A242="","",IF(OR(B242="",C242="",D242="",J242=""),"Thiếu dữ liệu",IF(D242&lt;C242,"Sai thời gian",IF(AND(P242="Đã đóng",Q242=""),"Thiếu thời điểm đóng","Hợp lệ"))))</x:f>
      </x:c>
    </x:row>
    <x:row r="243">
      <x:c r="A243" s="21"/>
      <x:c r="B243" s="21"/>
      <x:c r="C243" s="43"/>
      <x:c r="D243" s="43"/>
      <x:c r="E243" s="39" t="str">
        <x:f>IF(A243="","",MAX(0,(D243-C243)*1440))</x:f>
      </x:c>
      <x:c r="F243" s="29" t="str">
        <x:f>IF(B243="","",IFERROR(INDEX('05_BAO_CAO_NGAY'!$D$6:$D$505,MATCH(B243,'05_BAO_CAO_NGAY'!$A$6:$A$505,0)),""))</x:f>
      </x:c>
      <x:c r="G243" s="29" t="str">
        <x:f>IF(B243="","",IFERROR(INDEX('05_BAO_CAO_NGAY'!$E$6:$E$505,MATCH(B243,'05_BAO_CAO_NGAY'!$A$6:$A$505,0)),""))</x:f>
      </x:c>
      <x:c r="H243" s="29" t="str">
        <x:f>IF(B243="","",IFERROR(INDEX('05_BAO_CAO_NGAY'!$J$6:$J$505,MATCH(B243,'05_BAO_CAO_NGAY'!$A$6:$A$505,0)),""))</x:f>
      </x:c>
      <x:c r="I243" s="29" t="str">
        <x:f>IF(B243="","",IFERROR(INDEX('05_BAO_CAO_NGAY'!$M$6:$M$505,MATCH(B243,'05_BAO_CAO_NGAY'!$A$6:$A$505,0)),""))</x:f>
      </x:c>
      <x:c r="J243" s="21"/>
      <x:c r="K243" s="29" t="str">
        <x:f>IF(J243="","",IFERROR(INDEX(DM_LY_DO_DUNG!$C$6:$C$105,MATCH(J243,DM_LY_DO_DUNG!$A$6:$A$105,0)),""))</x:f>
      </x:c>
      <x:c r="L243" s="21"/>
      <x:c r="M243" s="21"/>
      <x:c r="N243" s="21"/>
      <x:c r="O243" s="21"/>
      <x:c r="P243" s="21"/>
      <x:c r="Q243" s="43"/>
      <x:c r="R243" s="29" t="str">
        <x:f>IF(A243="","",IF(OR(B243="",C243="",D243="",J243=""),"Thiếu dữ liệu",IF(D243&lt;C243,"Sai thời gian",IF(AND(P243="Đã đóng",Q243=""),"Thiếu thời điểm đóng","Hợp lệ"))))</x:f>
      </x:c>
    </x:row>
    <x:row r="244">
      <x:c r="A244" s="21"/>
      <x:c r="B244" s="21"/>
      <x:c r="C244" s="43"/>
      <x:c r="D244" s="43"/>
      <x:c r="E244" s="39" t="str">
        <x:f>IF(A244="","",MAX(0,(D244-C244)*1440))</x:f>
      </x:c>
      <x:c r="F244" s="29" t="str">
        <x:f>IF(B244="","",IFERROR(INDEX('05_BAO_CAO_NGAY'!$D$6:$D$505,MATCH(B244,'05_BAO_CAO_NGAY'!$A$6:$A$505,0)),""))</x:f>
      </x:c>
      <x:c r="G244" s="29" t="str">
        <x:f>IF(B244="","",IFERROR(INDEX('05_BAO_CAO_NGAY'!$E$6:$E$505,MATCH(B244,'05_BAO_CAO_NGAY'!$A$6:$A$505,0)),""))</x:f>
      </x:c>
      <x:c r="H244" s="29" t="str">
        <x:f>IF(B244="","",IFERROR(INDEX('05_BAO_CAO_NGAY'!$J$6:$J$505,MATCH(B244,'05_BAO_CAO_NGAY'!$A$6:$A$505,0)),""))</x:f>
      </x:c>
      <x:c r="I244" s="29" t="str">
        <x:f>IF(B244="","",IFERROR(INDEX('05_BAO_CAO_NGAY'!$M$6:$M$505,MATCH(B244,'05_BAO_CAO_NGAY'!$A$6:$A$505,0)),""))</x:f>
      </x:c>
      <x:c r="J244" s="21"/>
      <x:c r="K244" s="29" t="str">
        <x:f>IF(J244="","",IFERROR(INDEX(DM_LY_DO_DUNG!$C$6:$C$105,MATCH(J244,DM_LY_DO_DUNG!$A$6:$A$105,0)),""))</x:f>
      </x:c>
      <x:c r="L244" s="21"/>
      <x:c r="M244" s="21"/>
      <x:c r="N244" s="21"/>
      <x:c r="O244" s="21"/>
      <x:c r="P244" s="21"/>
      <x:c r="Q244" s="43"/>
      <x:c r="R244" s="29" t="str">
        <x:f>IF(A244="","",IF(OR(B244="",C244="",D244="",J244=""),"Thiếu dữ liệu",IF(D244&lt;C244,"Sai thời gian",IF(AND(P244="Đã đóng",Q244=""),"Thiếu thời điểm đóng","Hợp lệ"))))</x:f>
      </x:c>
    </x:row>
    <x:row r="245">
      <x:c r="A245" s="21"/>
      <x:c r="B245" s="21"/>
      <x:c r="C245" s="43"/>
      <x:c r="D245" s="43"/>
      <x:c r="E245" s="39" t="str">
        <x:f>IF(A245="","",MAX(0,(D245-C245)*1440))</x:f>
      </x:c>
      <x:c r="F245" s="29" t="str">
        <x:f>IF(B245="","",IFERROR(INDEX('05_BAO_CAO_NGAY'!$D$6:$D$505,MATCH(B245,'05_BAO_CAO_NGAY'!$A$6:$A$505,0)),""))</x:f>
      </x:c>
      <x:c r="G245" s="29" t="str">
        <x:f>IF(B245="","",IFERROR(INDEX('05_BAO_CAO_NGAY'!$E$6:$E$505,MATCH(B245,'05_BAO_CAO_NGAY'!$A$6:$A$505,0)),""))</x:f>
      </x:c>
      <x:c r="H245" s="29" t="str">
        <x:f>IF(B245="","",IFERROR(INDEX('05_BAO_CAO_NGAY'!$J$6:$J$505,MATCH(B245,'05_BAO_CAO_NGAY'!$A$6:$A$505,0)),""))</x:f>
      </x:c>
      <x:c r="I245" s="29" t="str">
        <x:f>IF(B245="","",IFERROR(INDEX('05_BAO_CAO_NGAY'!$M$6:$M$505,MATCH(B245,'05_BAO_CAO_NGAY'!$A$6:$A$505,0)),""))</x:f>
      </x:c>
      <x:c r="J245" s="21"/>
      <x:c r="K245" s="29" t="str">
        <x:f>IF(J245="","",IFERROR(INDEX(DM_LY_DO_DUNG!$C$6:$C$105,MATCH(J245,DM_LY_DO_DUNG!$A$6:$A$105,0)),""))</x:f>
      </x:c>
      <x:c r="L245" s="21"/>
      <x:c r="M245" s="21"/>
      <x:c r="N245" s="21"/>
      <x:c r="O245" s="21"/>
      <x:c r="P245" s="21"/>
      <x:c r="Q245" s="43"/>
      <x:c r="R245" s="29" t="str">
        <x:f>IF(A245="","",IF(OR(B245="",C245="",D245="",J245=""),"Thiếu dữ liệu",IF(D245&lt;C245,"Sai thời gian",IF(AND(P245="Đã đóng",Q245=""),"Thiếu thời điểm đóng","Hợp lệ"))))</x:f>
      </x:c>
    </x:row>
    <x:row r="246">
      <x:c r="A246" s="21"/>
      <x:c r="B246" s="21"/>
      <x:c r="C246" s="43"/>
      <x:c r="D246" s="43"/>
      <x:c r="E246" s="39" t="str">
        <x:f>IF(A246="","",MAX(0,(D246-C246)*1440))</x:f>
      </x:c>
      <x:c r="F246" s="29" t="str">
        <x:f>IF(B246="","",IFERROR(INDEX('05_BAO_CAO_NGAY'!$D$6:$D$505,MATCH(B246,'05_BAO_CAO_NGAY'!$A$6:$A$505,0)),""))</x:f>
      </x:c>
      <x:c r="G246" s="29" t="str">
        <x:f>IF(B246="","",IFERROR(INDEX('05_BAO_CAO_NGAY'!$E$6:$E$505,MATCH(B246,'05_BAO_CAO_NGAY'!$A$6:$A$505,0)),""))</x:f>
      </x:c>
      <x:c r="H246" s="29" t="str">
        <x:f>IF(B246="","",IFERROR(INDEX('05_BAO_CAO_NGAY'!$J$6:$J$505,MATCH(B246,'05_BAO_CAO_NGAY'!$A$6:$A$505,0)),""))</x:f>
      </x:c>
      <x:c r="I246" s="29" t="str">
        <x:f>IF(B246="","",IFERROR(INDEX('05_BAO_CAO_NGAY'!$M$6:$M$505,MATCH(B246,'05_BAO_CAO_NGAY'!$A$6:$A$505,0)),""))</x:f>
      </x:c>
      <x:c r="J246" s="21"/>
      <x:c r="K246" s="29" t="str">
        <x:f>IF(J246="","",IFERROR(INDEX(DM_LY_DO_DUNG!$C$6:$C$105,MATCH(J246,DM_LY_DO_DUNG!$A$6:$A$105,0)),""))</x:f>
      </x:c>
      <x:c r="L246" s="21"/>
      <x:c r="M246" s="21"/>
      <x:c r="N246" s="21"/>
      <x:c r="O246" s="21"/>
      <x:c r="P246" s="21"/>
      <x:c r="Q246" s="43"/>
      <x:c r="R246" s="29" t="str">
        <x:f>IF(A246="","",IF(OR(B246="",C246="",D246="",J246=""),"Thiếu dữ liệu",IF(D246&lt;C246,"Sai thời gian",IF(AND(P246="Đã đóng",Q246=""),"Thiếu thời điểm đóng","Hợp lệ"))))</x:f>
      </x:c>
    </x:row>
    <x:row r="247">
      <x:c r="A247" s="21"/>
      <x:c r="B247" s="21"/>
      <x:c r="C247" s="43"/>
      <x:c r="D247" s="43"/>
      <x:c r="E247" s="39" t="str">
        <x:f>IF(A247="","",MAX(0,(D247-C247)*1440))</x:f>
      </x:c>
      <x:c r="F247" s="29" t="str">
        <x:f>IF(B247="","",IFERROR(INDEX('05_BAO_CAO_NGAY'!$D$6:$D$505,MATCH(B247,'05_BAO_CAO_NGAY'!$A$6:$A$505,0)),""))</x:f>
      </x:c>
      <x:c r="G247" s="29" t="str">
        <x:f>IF(B247="","",IFERROR(INDEX('05_BAO_CAO_NGAY'!$E$6:$E$505,MATCH(B247,'05_BAO_CAO_NGAY'!$A$6:$A$505,0)),""))</x:f>
      </x:c>
      <x:c r="H247" s="29" t="str">
        <x:f>IF(B247="","",IFERROR(INDEX('05_BAO_CAO_NGAY'!$J$6:$J$505,MATCH(B247,'05_BAO_CAO_NGAY'!$A$6:$A$505,0)),""))</x:f>
      </x:c>
      <x:c r="I247" s="29" t="str">
        <x:f>IF(B247="","",IFERROR(INDEX('05_BAO_CAO_NGAY'!$M$6:$M$505,MATCH(B247,'05_BAO_CAO_NGAY'!$A$6:$A$505,0)),""))</x:f>
      </x:c>
      <x:c r="J247" s="21"/>
      <x:c r="K247" s="29" t="str">
        <x:f>IF(J247="","",IFERROR(INDEX(DM_LY_DO_DUNG!$C$6:$C$105,MATCH(J247,DM_LY_DO_DUNG!$A$6:$A$105,0)),""))</x:f>
      </x:c>
      <x:c r="L247" s="21"/>
      <x:c r="M247" s="21"/>
      <x:c r="N247" s="21"/>
      <x:c r="O247" s="21"/>
      <x:c r="P247" s="21"/>
      <x:c r="Q247" s="43"/>
      <x:c r="R247" s="29" t="str">
        <x:f>IF(A247="","",IF(OR(B247="",C247="",D247="",J247=""),"Thiếu dữ liệu",IF(D247&lt;C247,"Sai thời gian",IF(AND(P247="Đã đóng",Q247=""),"Thiếu thời điểm đóng","Hợp lệ"))))</x:f>
      </x:c>
    </x:row>
    <x:row r="248">
      <x:c r="A248" s="21"/>
      <x:c r="B248" s="21"/>
      <x:c r="C248" s="43"/>
      <x:c r="D248" s="43"/>
      <x:c r="E248" s="39" t="str">
        <x:f>IF(A248="","",MAX(0,(D248-C248)*1440))</x:f>
      </x:c>
      <x:c r="F248" s="29" t="str">
        <x:f>IF(B248="","",IFERROR(INDEX('05_BAO_CAO_NGAY'!$D$6:$D$505,MATCH(B248,'05_BAO_CAO_NGAY'!$A$6:$A$505,0)),""))</x:f>
      </x:c>
      <x:c r="G248" s="29" t="str">
        <x:f>IF(B248="","",IFERROR(INDEX('05_BAO_CAO_NGAY'!$E$6:$E$505,MATCH(B248,'05_BAO_CAO_NGAY'!$A$6:$A$505,0)),""))</x:f>
      </x:c>
      <x:c r="H248" s="29" t="str">
        <x:f>IF(B248="","",IFERROR(INDEX('05_BAO_CAO_NGAY'!$J$6:$J$505,MATCH(B248,'05_BAO_CAO_NGAY'!$A$6:$A$505,0)),""))</x:f>
      </x:c>
      <x:c r="I248" s="29" t="str">
        <x:f>IF(B248="","",IFERROR(INDEX('05_BAO_CAO_NGAY'!$M$6:$M$505,MATCH(B248,'05_BAO_CAO_NGAY'!$A$6:$A$505,0)),""))</x:f>
      </x:c>
      <x:c r="J248" s="21"/>
      <x:c r="K248" s="29" t="str">
        <x:f>IF(J248="","",IFERROR(INDEX(DM_LY_DO_DUNG!$C$6:$C$105,MATCH(J248,DM_LY_DO_DUNG!$A$6:$A$105,0)),""))</x:f>
      </x:c>
      <x:c r="L248" s="21"/>
      <x:c r="M248" s="21"/>
      <x:c r="N248" s="21"/>
      <x:c r="O248" s="21"/>
      <x:c r="P248" s="21"/>
      <x:c r="Q248" s="43"/>
      <x:c r="R248" s="29" t="str">
        <x:f>IF(A248="","",IF(OR(B248="",C248="",D248="",J248=""),"Thiếu dữ liệu",IF(D248&lt;C248,"Sai thời gian",IF(AND(P248="Đã đóng",Q248=""),"Thiếu thời điểm đóng","Hợp lệ"))))</x:f>
      </x:c>
    </x:row>
    <x:row r="249">
      <x:c r="A249" s="21"/>
      <x:c r="B249" s="21"/>
      <x:c r="C249" s="43"/>
      <x:c r="D249" s="43"/>
      <x:c r="E249" s="39" t="str">
        <x:f>IF(A249="","",MAX(0,(D249-C249)*1440))</x:f>
      </x:c>
      <x:c r="F249" s="29" t="str">
        <x:f>IF(B249="","",IFERROR(INDEX('05_BAO_CAO_NGAY'!$D$6:$D$505,MATCH(B249,'05_BAO_CAO_NGAY'!$A$6:$A$505,0)),""))</x:f>
      </x:c>
      <x:c r="G249" s="29" t="str">
        <x:f>IF(B249="","",IFERROR(INDEX('05_BAO_CAO_NGAY'!$E$6:$E$505,MATCH(B249,'05_BAO_CAO_NGAY'!$A$6:$A$505,0)),""))</x:f>
      </x:c>
      <x:c r="H249" s="29" t="str">
        <x:f>IF(B249="","",IFERROR(INDEX('05_BAO_CAO_NGAY'!$J$6:$J$505,MATCH(B249,'05_BAO_CAO_NGAY'!$A$6:$A$505,0)),""))</x:f>
      </x:c>
      <x:c r="I249" s="29" t="str">
        <x:f>IF(B249="","",IFERROR(INDEX('05_BAO_CAO_NGAY'!$M$6:$M$505,MATCH(B249,'05_BAO_CAO_NGAY'!$A$6:$A$505,0)),""))</x:f>
      </x:c>
      <x:c r="J249" s="21"/>
      <x:c r="K249" s="29" t="str">
        <x:f>IF(J249="","",IFERROR(INDEX(DM_LY_DO_DUNG!$C$6:$C$105,MATCH(J249,DM_LY_DO_DUNG!$A$6:$A$105,0)),""))</x:f>
      </x:c>
      <x:c r="L249" s="21"/>
      <x:c r="M249" s="21"/>
      <x:c r="N249" s="21"/>
      <x:c r="O249" s="21"/>
      <x:c r="P249" s="21"/>
      <x:c r="Q249" s="43"/>
      <x:c r="R249" s="29" t="str">
        <x:f>IF(A249="","",IF(OR(B249="",C249="",D249="",J249=""),"Thiếu dữ liệu",IF(D249&lt;C249,"Sai thời gian",IF(AND(P249="Đã đóng",Q249=""),"Thiếu thời điểm đóng","Hợp lệ"))))</x:f>
      </x:c>
    </x:row>
    <x:row r="250">
      <x:c r="A250" s="21"/>
      <x:c r="B250" s="21"/>
      <x:c r="C250" s="43"/>
      <x:c r="D250" s="43"/>
      <x:c r="E250" s="39" t="str">
        <x:f>IF(A250="","",MAX(0,(D250-C250)*1440))</x:f>
      </x:c>
      <x:c r="F250" s="29" t="str">
        <x:f>IF(B250="","",IFERROR(INDEX('05_BAO_CAO_NGAY'!$D$6:$D$505,MATCH(B250,'05_BAO_CAO_NGAY'!$A$6:$A$505,0)),""))</x:f>
      </x:c>
      <x:c r="G250" s="29" t="str">
        <x:f>IF(B250="","",IFERROR(INDEX('05_BAO_CAO_NGAY'!$E$6:$E$505,MATCH(B250,'05_BAO_CAO_NGAY'!$A$6:$A$505,0)),""))</x:f>
      </x:c>
      <x:c r="H250" s="29" t="str">
        <x:f>IF(B250="","",IFERROR(INDEX('05_BAO_CAO_NGAY'!$J$6:$J$505,MATCH(B250,'05_BAO_CAO_NGAY'!$A$6:$A$505,0)),""))</x:f>
      </x:c>
      <x:c r="I250" s="29" t="str">
        <x:f>IF(B250="","",IFERROR(INDEX('05_BAO_CAO_NGAY'!$M$6:$M$505,MATCH(B250,'05_BAO_CAO_NGAY'!$A$6:$A$505,0)),""))</x:f>
      </x:c>
      <x:c r="J250" s="21"/>
      <x:c r="K250" s="29" t="str">
        <x:f>IF(J250="","",IFERROR(INDEX(DM_LY_DO_DUNG!$C$6:$C$105,MATCH(J250,DM_LY_DO_DUNG!$A$6:$A$105,0)),""))</x:f>
      </x:c>
      <x:c r="L250" s="21"/>
      <x:c r="M250" s="21"/>
      <x:c r="N250" s="21"/>
      <x:c r="O250" s="21"/>
      <x:c r="P250" s="21"/>
      <x:c r="Q250" s="43"/>
      <x:c r="R250" s="29" t="str">
        <x:f>IF(A250="","",IF(OR(B250="",C250="",D250="",J250=""),"Thiếu dữ liệu",IF(D250&lt;C250,"Sai thời gian",IF(AND(P250="Đã đóng",Q250=""),"Thiếu thời điểm đóng","Hợp lệ"))))</x:f>
      </x:c>
    </x:row>
    <x:row r="251">
      <x:c r="A251" s="21"/>
      <x:c r="B251" s="21"/>
      <x:c r="C251" s="43"/>
      <x:c r="D251" s="43"/>
      <x:c r="E251" s="39" t="str">
        <x:f>IF(A251="","",MAX(0,(D251-C251)*1440))</x:f>
      </x:c>
      <x:c r="F251" s="29" t="str">
        <x:f>IF(B251="","",IFERROR(INDEX('05_BAO_CAO_NGAY'!$D$6:$D$505,MATCH(B251,'05_BAO_CAO_NGAY'!$A$6:$A$505,0)),""))</x:f>
      </x:c>
      <x:c r="G251" s="29" t="str">
        <x:f>IF(B251="","",IFERROR(INDEX('05_BAO_CAO_NGAY'!$E$6:$E$505,MATCH(B251,'05_BAO_CAO_NGAY'!$A$6:$A$505,0)),""))</x:f>
      </x:c>
      <x:c r="H251" s="29" t="str">
        <x:f>IF(B251="","",IFERROR(INDEX('05_BAO_CAO_NGAY'!$J$6:$J$505,MATCH(B251,'05_BAO_CAO_NGAY'!$A$6:$A$505,0)),""))</x:f>
      </x:c>
      <x:c r="I251" s="29" t="str">
        <x:f>IF(B251="","",IFERROR(INDEX('05_BAO_CAO_NGAY'!$M$6:$M$505,MATCH(B251,'05_BAO_CAO_NGAY'!$A$6:$A$505,0)),""))</x:f>
      </x:c>
      <x:c r="J251" s="21"/>
      <x:c r="K251" s="29" t="str">
        <x:f>IF(J251="","",IFERROR(INDEX(DM_LY_DO_DUNG!$C$6:$C$105,MATCH(J251,DM_LY_DO_DUNG!$A$6:$A$105,0)),""))</x:f>
      </x:c>
      <x:c r="L251" s="21"/>
      <x:c r="M251" s="21"/>
      <x:c r="N251" s="21"/>
      <x:c r="O251" s="21"/>
      <x:c r="P251" s="21"/>
      <x:c r="Q251" s="43"/>
      <x:c r="R251" s="29" t="str">
        <x:f>IF(A251="","",IF(OR(B251="",C251="",D251="",J251=""),"Thiếu dữ liệu",IF(D251&lt;C251,"Sai thời gian",IF(AND(P251="Đã đóng",Q251=""),"Thiếu thời điểm đóng","Hợp lệ"))))</x:f>
      </x:c>
    </x:row>
    <x:row r="252">
      <x:c r="A252" s="21"/>
      <x:c r="B252" s="21"/>
      <x:c r="C252" s="43"/>
      <x:c r="D252" s="43"/>
      <x:c r="E252" s="39" t="str">
        <x:f>IF(A252="","",MAX(0,(D252-C252)*1440))</x:f>
      </x:c>
      <x:c r="F252" s="29" t="str">
        <x:f>IF(B252="","",IFERROR(INDEX('05_BAO_CAO_NGAY'!$D$6:$D$505,MATCH(B252,'05_BAO_CAO_NGAY'!$A$6:$A$505,0)),""))</x:f>
      </x:c>
      <x:c r="G252" s="29" t="str">
        <x:f>IF(B252="","",IFERROR(INDEX('05_BAO_CAO_NGAY'!$E$6:$E$505,MATCH(B252,'05_BAO_CAO_NGAY'!$A$6:$A$505,0)),""))</x:f>
      </x:c>
      <x:c r="H252" s="29" t="str">
        <x:f>IF(B252="","",IFERROR(INDEX('05_BAO_CAO_NGAY'!$J$6:$J$505,MATCH(B252,'05_BAO_CAO_NGAY'!$A$6:$A$505,0)),""))</x:f>
      </x:c>
      <x:c r="I252" s="29" t="str">
        <x:f>IF(B252="","",IFERROR(INDEX('05_BAO_CAO_NGAY'!$M$6:$M$505,MATCH(B252,'05_BAO_CAO_NGAY'!$A$6:$A$505,0)),""))</x:f>
      </x:c>
      <x:c r="J252" s="21"/>
      <x:c r="K252" s="29" t="str">
        <x:f>IF(J252="","",IFERROR(INDEX(DM_LY_DO_DUNG!$C$6:$C$105,MATCH(J252,DM_LY_DO_DUNG!$A$6:$A$105,0)),""))</x:f>
      </x:c>
      <x:c r="L252" s="21"/>
      <x:c r="M252" s="21"/>
      <x:c r="N252" s="21"/>
      <x:c r="O252" s="21"/>
      <x:c r="P252" s="21"/>
      <x:c r="Q252" s="43"/>
      <x:c r="R252" s="29" t="str">
        <x:f>IF(A252="","",IF(OR(B252="",C252="",D252="",J252=""),"Thiếu dữ liệu",IF(D252&lt;C252,"Sai thời gian",IF(AND(P252="Đã đóng",Q252=""),"Thiếu thời điểm đóng","Hợp lệ"))))</x:f>
      </x:c>
    </x:row>
    <x:row r="253">
      <x:c r="A253" s="21"/>
      <x:c r="B253" s="21"/>
      <x:c r="C253" s="43"/>
      <x:c r="D253" s="43"/>
      <x:c r="E253" s="39" t="str">
        <x:f>IF(A253="","",MAX(0,(D253-C253)*1440))</x:f>
      </x:c>
      <x:c r="F253" s="29" t="str">
        <x:f>IF(B253="","",IFERROR(INDEX('05_BAO_CAO_NGAY'!$D$6:$D$505,MATCH(B253,'05_BAO_CAO_NGAY'!$A$6:$A$505,0)),""))</x:f>
      </x:c>
      <x:c r="G253" s="29" t="str">
        <x:f>IF(B253="","",IFERROR(INDEX('05_BAO_CAO_NGAY'!$E$6:$E$505,MATCH(B253,'05_BAO_CAO_NGAY'!$A$6:$A$505,0)),""))</x:f>
      </x:c>
      <x:c r="H253" s="29" t="str">
        <x:f>IF(B253="","",IFERROR(INDEX('05_BAO_CAO_NGAY'!$J$6:$J$505,MATCH(B253,'05_BAO_CAO_NGAY'!$A$6:$A$505,0)),""))</x:f>
      </x:c>
      <x:c r="I253" s="29" t="str">
        <x:f>IF(B253="","",IFERROR(INDEX('05_BAO_CAO_NGAY'!$M$6:$M$505,MATCH(B253,'05_BAO_CAO_NGAY'!$A$6:$A$505,0)),""))</x:f>
      </x:c>
      <x:c r="J253" s="21"/>
      <x:c r="K253" s="29" t="str">
        <x:f>IF(J253="","",IFERROR(INDEX(DM_LY_DO_DUNG!$C$6:$C$105,MATCH(J253,DM_LY_DO_DUNG!$A$6:$A$105,0)),""))</x:f>
      </x:c>
      <x:c r="L253" s="21"/>
      <x:c r="M253" s="21"/>
      <x:c r="N253" s="21"/>
      <x:c r="O253" s="21"/>
      <x:c r="P253" s="21"/>
      <x:c r="Q253" s="43"/>
      <x:c r="R253" s="29" t="str">
        <x:f>IF(A253="","",IF(OR(B253="",C253="",D253="",J253=""),"Thiếu dữ liệu",IF(D253&lt;C253,"Sai thời gian",IF(AND(P253="Đã đóng",Q253=""),"Thiếu thời điểm đóng","Hợp lệ"))))</x:f>
      </x:c>
    </x:row>
    <x:row r="254">
      <x:c r="A254" s="21"/>
      <x:c r="B254" s="21"/>
      <x:c r="C254" s="43"/>
      <x:c r="D254" s="43"/>
      <x:c r="E254" s="39" t="str">
        <x:f>IF(A254="","",MAX(0,(D254-C254)*1440))</x:f>
      </x:c>
      <x:c r="F254" s="29" t="str">
        <x:f>IF(B254="","",IFERROR(INDEX('05_BAO_CAO_NGAY'!$D$6:$D$505,MATCH(B254,'05_BAO_CAO_NGAY'!$A$6:$A$505,0)),""))</x:f>
      </x:c>
      <x:c r="G254" s="29" t="str">
        <x:f>IF(B254="","",IFERROR(INDEX('05_BAO_CAO_NGAY'!$E$6:$E$505,MATCH(B254,'05_BAO_CAO_NGAY'!$A$6:$A$505,0)),""))</x:f>
      </x:c>
      <x:c r="H254" s="29" t="str">
        <x:f>IF(B254="","",IFERROR(INDEX('05_BAO_CAO_NGAY'!$J$6:$J$505,MATCH(B254,'05_BAO_CAO_NGAY'!$A$6:$A$505,0)),""))</x:f>
      </x:c>
      <x:c r="I254" s="29" t="str">
        <x:f>IF(B254="","",IFERROR(INDEX('05_BAO_CAO_NGAY'!$M$6:$M$505,MATCH(B254,'05_BAO_CAO_NGAY'!$A$6:$A$505,0)),""))</x:f>
      </x:c>
      <x:c r="J254" s="21"/>
      <x:c r="K254" s="29" t="str">
        <x:f>IF(J254="","",IFERROR(INDEX(DM_LY_DO_DUNG!$C$6:$C$105,MATCH(J254,DM_LY_DO_DUNG!$A$6:$A$105,0)),""))</x:f>
      </x:c>
      <x:c r="L254" s="21"/>
      <x:c r="M254" s="21"/>
      <x:c r="N254" s="21"/>
      <x:c r="O254" s="21"/>
      <x:c r="P254" s="21"/>
      <x:c r="Q254" s="43"/>
      <x:c r="R254" s="29" t="str">
        <x:f>IF(A254="","",IF(OR(B254="",C254="",D254="",J254=""),"Thiếu dữ liệu",IF(D254&lt;C254,"Sai thời gian",IF(AND(P254="Đã đóng",Q254=""),"Thiếu thời điểm đóng","Hợp lệ"))))</x:f>
      </x:c>
    </x:row>
    <x:row r="255">
      <x:c r="A255" s="21"/>
      <x:c r="B255" s="21"/>
      <x:c r="C255" s="43"/>
      <x:c r="D255" s="43"/>
      <x:c r="E255" s="39" t="str">
        <x:f>IF(A255="","",MAX(0,(D255-C255)*1440))</x:f>
      </x:c>
      <x:c r="F255" s="29" t="str">
        <x:f>IF(B255="","",IFERROR(INDEX('05_BAO_CAO_NGAY'!$D$6:$D$505,MATCH(B255,'05_BAO_CAO_NGAY'!$A$6:$A$505,0)),""))</x:f>
      </x:c>
      <x:c r="G255" s="29" t="str">
        <x:f>IF(B255="","",IFERROR(INDEX('05_BAO_CAO_NGAY'!$E$6:$E$505,MATCH(B255,'05_BAO_CAO_NGAY'!$A$6:$A$505,0)),""))</x:f>
      </x:c>
      <x:c r="H255" s="29" t="str">
        <x:f>IF(B255="","",IFERROR(INDEX('05_BAO_CAO_NGAY'!$J$6:$J$505,MATCH(B255,'05_BAO_CAO_NGAY'!$A$6:$A$505,0)),""))</x:f>
      </x:c>
      <x:c r="I255" s="29" t="str">
        <x:f>IF(B255="","",IFERROR(INDEX('05_BAO_CAO_NGAY'!$M$6:$M$505,MATCH(B255,'05_BAO_CAO_NGAY'!$A$6:$A$505,0)),""))</x:f>
      </x:c>
      <x:c r="J255" s="21"/>
      <x:c r="K255" s="29" t="str">
        <x:f>IF(J255="","",IFERROR(INDEX(DM_LY_DO_DUNG!$C$6:$C$105,MATCH(J255,DM_LY_DO_DUNG!$A$6:$A$105,0)),""))</x:f>
      </x:c>
      <x:c r="L255" s="21"/>
      <x:c r="M255" s="21"/>
      <x:c r="N255" s="21"/>
      <x:c r="O255" s="21"/>
      <x:c r="P255" s="21"/>
      <x:c r="Q255" s="43"/>
      <x:c r="R255" s="29" t="str">
        <x:f>IF(A255="","",IF(OR(B255="",C255="",D255="",J255=""),"Thiếu dữ liệu",IF(D255&lt;C255,"Sai thời gian",IF(AND(P255="Đã đóng",Q255=""),"Thiếu thời điểm đóng","Hợp lệ"))))</x:f>
      </x:c>
    </x:row>
    <x:row r="256">
      <x:c r="A256" s="21"/>
      <x:c r="B256" s="21"/>
      <x:c r="C256" s="43"/>
      <x:c r="D256" s="43"/>
      <x:c r="E256" s="39" t="str">
        <x:f>IF(A256="","",MAX(0,(D256-C256)*1440))</x:f>
      </x:c>
      <x:c r="F256" s="29" t="str">
        <x:f>IF(B256="","",IFERROR(INDEX('05_BAO_CAO_NGAY'!$D$6:$D$505,MATCH(B256,'05_BAO_CAO_NGAY'!$A$6:$A$505,0)),""))</x:f>
      </x:c>
      <x:c r="G256" s="29" t="str">
        <x:f>IF(B256="","",IFERROR(INDEX('05_BAO_CAO_NGAY'!$E$6:$E$505,MATCH(B256,'05_BAO_CAO_NGAY'!$A$6:$A$505,0)),""))</x:f>
      </x:c>
      <x:c r="H256" s="29" t="str">
        <x:f>IF(B256="","",IFERROR(INDEX('05_BAO_CAO_NGAY'!$J$6:$J$505,MATCH(B256,'05_BAO_CAO_NGAY'!$A$6:$A$505,0)),""))</x:f>
      </x:c>
      <x:c r="I256" s="29" t="str">
        <x:f>IF(B256="","",IFERROR(INDEX('05_BAO_CAO_NGAY'!$M$6:$M$505,MATCH(B256,'05_BAO_CAO_NGAY'!$A$6:$A$505,0)),""))</x:f>
      </x:c>
      <x:c r="J256" s="21"/>
      <x:c r="K256" s="29" t="str">
        <x:f>IF(J256="","",IFERROR(INDEX(DM_LY_DO_DUNG!$C$6:$C$105,MATCH(J256,DM_LY_DO_DUNG!$A$6:$A$105,0)),""))</x:f>
      </x:c>
      <x:c r="L256" s="21"/>
      <x:c r="M256" s="21"/>
      <x:c r="N256" s="21"/>
      <x:c r="O256" s="21"/>
      <x:c r="P256" s="21"/>
      <x:c r="Q256" s="43"/>
      <x:c r="R256" s="29" t="str">
        <x:f>IF(A256="","",IF(OR(B256="",C256="",D256="",J256=""),"Thiếu dữ liệu",IF(D256&lt;C256,"Sai thời gian",IF(AND(P256="Đã đóng",Q256=""),"Thiếu thời điểm đóng","Hợp lệ"))))</x:f>
      </x:c>
    </x:row>
    <x:row r="257">
      <x:c r="A257" s="21"/>
      <x:c r="B257" s="21"/>
      <x:c r="C257" s="43"/>
      <x:c r="D257" s="43"/>
      <x:c r="E257" s="39" t="str">
        <x:f>IF(A257="","",MAX(0,(D257-C257)*1440))</x:f>
      </x:c>
      <x:c r="F257" s="29" t="str">
        <x:f>IF(B257="","",IFERROR(INDEX('05_BAO_CAO_NGAY'!$D$6:$D$505,MATCH(B257,'05_BAO_CAO_NGAY'!$A$6:$A$505,0)),""))</x:f>
      </x:c>
      <x:c r="G257" s="29" t="str">
        <x:f>IF(B257="","",IFERROR(INDEX('05_BAO_CAO_NGAY'!$E$6:$E$505,MATCH(B257,'05_BAO_CAO_NGAY'!$A$6:$A$505,0)),""))</x:f>
      </x:c>
      <x:c r="H257" s="29" t="str">
        <x:f>IF(B257="","",IFERROR(INDEX('05_BAO_CAO_NGAY'!$J$6:$J$505,MATCH(B257,'05_BAO_CAO_NGAY'!$A$6:$A$505,0)),""))</x:f>
      </x:c>
      <x:c r="I257" s="29" t="str">
        <x:f>IF(B257="","",IFERROR(INDEX('05_BAO_CAO_NGAY'!$M$6:$M$505,MATCH(B257,'05_BAO_CAO_NGAY'!$A$6:$A$505,0)),""))</x:f>
      </x:c>
      <x:c r="J257" s="21"/>
      <x:c r="K257" s="29" t="str">
        <x:f>IF(J257="","",IFERROR(INDEX(DM_LY_DO_DUNG!$C$6:$C$105,MATCH(J257,DM_LY_DO_DUNG!$A$6:$A$105,0)),""))</x:f>
      </x:c>
      <x:c r="L257" s="21"/>
      <x:c r="M257" s="21"/>
      <x:c r="N257" s="21"/>
      <x:c r="O257" s="21"/>
      <x:c r="P257" s="21"/>
      <x:c r="Q257" s="43"/>
      <x:c r="R257" s="29" t="str">
        <x:f>IF(A257="","",IF(OR(B257="",C257="",D257="",J257=""),"Thiếu dữ liệu",IF(D257&lt;C257,"Sai thời gian",IF(AND(P257="Đã đóng",Q257=""),"Thiếu thời điểm đóng","Hợp lệ"))))</x:f>
      </x:c>
    </x:row>
    <x:row r="258">
      <x:c r="A258" s="21"/>
      <x:c r="B258" s="21"/>
      <x:c r="C258" s="43"/>
      <x:c r="D258" s="43"/>
      <x:c r="E258" s="39" t="str">
        <x:f>IF(A258="","",MAX(0,(D258-C258)*1440))</x:f>
      </x:c>
      <x:c r="F258" s="29" t="str">
        <x:f>IF(B258="","",IFERROR(INDEX('05_BAO_CAO_NGAY'!$D$6:$D$505,MATCH(B258,'05_BAO_CAO_NGAY'!$A$6:$A$505,0)),""))</x:f>
      </x:c>
      <x:c r="G258" s="29" t="str">
        <x:f>IF(B258="","",IFERROR(INDEX('05_BAO_CAO_NGAY'!$E$6:$E$505,MATCH(B258,'05_BAO_CAO_NGAY'!$A$6:$A$505,0)),""))</x:f>
      </x:c>
      <x:c r="H258" s="29" t="str">
        <x:f>IF(B258="","",IFERROR(INDEX('05_BAO_CAO_NGAY'!$J$6:$J$505,MATCH(B258,'05_BAO_CAO_NGAY'!$A$6:$A$505,0)),""))</x:f>
      </x:c>
      <x:c r="I258" s="29" t="str">
        <x:f>IF(B258="","",IFERROR(INDEX('05_BAO_CAO_NGAY'!$M$6:$M$505,MATCH(B258,'05_BAO_CAO_NGAY'!$A$6:$A$505,0)),""))</x:f>
      </x:c>
      <x:c r="J258" s="21"/>
      <x:c r="K258" s="29" t="str">
        <x:f>IF(J258="","",IFERROR(INDEX(DM_LY_DO_DUNG!$C$6:$C$105,MATCH(J258,DM_LY_DO_DUNG!$A$6:$A$105,0)),""))</x:f>
      </x:c>
      <x:c r="L258" s="21"/>
      <x:c r="M258" s="21"/>
      <x:c r="N258" s="21"/>
      <x:c r="O258" s="21"/>
      <x:c r="P258" s="21"/>
      <x:c r="Q258" s="43"/>
      <x:c r="R258" s="29" t="str">
        <x:f>IF(A258="","",IF(OR(B258="",C258="",D258="",J258=""),"Thiếu dữ liệu",IF(D258&lt;C258,"Sai thời gian",IF(AND(P258="Đã đóng",Q258=""),"Thiếu thời điểm đóng","Hợp lệ"))))</x:f>
      </x:c>
    </x:row>
    <x:row r="259">
      <x:c r="A259" s="21"/>
      <x:c r="B259" s="21"/>
      <x:c r="C259" s="43"/>
      <x:c r="D259" s="43"/>
      <x:c r="E259" s="39" t="str">
        <x:f>IF(A259="","",MAX(0,(D259-C259)*1440))</x:f>
      </x:c>
      <x:c r="F259" s="29" t="str">
        <x:f>IF(B259="","",IFERROR(INDEX('05_BAO_CAO_NGAY'!$D$6:$D$505,MATCH(B259,'05_BAO_CAO_NGAY'!$A$6:$A$505,0)),""))</x:f>
      </x:c>
      <x:c r="G259" s="29" t="str">
        <x:f>IF(B259="","",IFERROR(INDEX('05_BAO_CAO_NGAY'!$E$6:$E$505,MATCH(B259,'05_BAO_CAO_NGAY'!$A$6:$A$505,0)),""))</x:f>
      </x:c>
      <x:c r="H259" s="29" t="str">
        <x:f>IF(B259="","",IFERROR(INDEX('05_BAO_CAO_NGAY'!$J$6:$J$505,MATCH(B259,'05_BAO_CAO_NGAY'!$A$6:$A$505,0)),""))</x:f>
      </x:c>
      <x:c r="I259" s="29" t="str">
        <x:f>IF(B259="","",IFERROR(INDEX('05_BAO_CAO_NGAY'!$M$6:$M$505,MATCH(B259,'05_BAO_CAO_NGAY'!$A$6:$A$505,0)),""))</x:f>
      </x:c>
      <x:c r="J259" s="21"/>
      <x:c r="K259" s="29" t="str">
        <x:f>IF(J259="","",IFERROR(INDEX(DM_LY_DO_DUNG!$C$6:$C$105,MATCH(J259,DM_LY_DO_DUNG!$A$6:$A$105,0)),""))</x:f>
      </x:c>
      <x:c r="L259" s="21"/>
      <x:c r="M259" s="21"/>
      <x:c r="N259" s="21"/>
      <x:c r="O259" s="21"/>
      <x:c r="P259" s="21"/>
      <x:c r="Q259" s="43"/>
      <x:c r="R259" s="29" t="str">
        <x:f>IF(A259="","",IF(OR(B259="",C259="",D259="",J259=""),"Thiếu dữ liệu",IF(D259&lt;C259,"Sai thời gian",IF(AND(P259="Đã đóng",Q259=""),"Thiếu thời điểm đóng","Hợp lệ"))))</x:f>
      </x:c>
    </x:row>
    <x:row r="260">
      <x:c r="A260" s="21"/>
      <x:c r="B260" s="21"/>
      <x:c r="C260" s="43"/>
      <x:c r="D260" s="43"/>
      <x:c r="E260" s="39" t="str">
        <x:f>IF(A260="","",MAX(0,(D260-C260)*1440))</x:f>
      </x:c>
      <x:c r="F260" s="29" t="str">
        <x:f>IF(B260="","",IFERROR(INDEX('05_BAO_CAO_NGAY'!$D$6:$D$505,MATCH(B260,'05_BAO_CAO_NGAY'!$A$6:$A$505,0)),""))</x:f>
      </x:c>
      <x:c r="G260" s="29" t="str">
        <x:f>IF(B260="","",IFERROR(INDEX('05_BAO_CAO_NGAY'!$E$6:$E$505,MATCH(B260,'05_BAO_CAO_NGAY'!$A$6:$A$505,0)),""))</x:f>
      </x:c>
      <x:c r="H260" s="29" t="str">
        <x:f>IF(B260="","",IFERROR(INDEX('05_BAO_CAO_NGAY'!$J$6:$J$505,MATCH(B260,'05_BAO_CAO_NGAY'!$A$6:$A$505,0)),""))</x:f>
      </x:c>
      <x:c r="I260" s="29" t="str">
        <x:f>IF(B260="","",IFERROR(INDEX('05_BAO_CAO_NGAY'!$M$6:$M$505,MATCH(B260,'05_BAO_CAO_NGAY'!$A$6:$A$505,0)),""))</x:f>
      </x:c>
      <x:c r="J260" s="21"/>
      <x:c r="K260" s="29" t="str">
        <x:f>IF(J260="","",IFERROR(INDEX(DM_LY_DO_DUNG!$C$6:$C$105,MATCH(J260,DM_LY_DO_DUNG!$A$6:$A$105,0)),""))</x:f>
      </x:c>
      <x:c r="L260" s="21"/>
      <x:c r="M260" s="21"/>
      <x:c r="N260" s="21"/>
      <x:c r="O260" s="21"/>
      <x:c r="P260" s="21"/>
      <x:c r="Q260" s="43"/>
      <x:c r="R260" s="29" t="str">
        <x:f>IF(A260="","",IF(OR(B260="",C260="",D260="",J260=""),"Thiếu dữ liệu",IF(D260&lt;C260,"Sai thời gian",IF(AND(P260="Đã đóng",Q260=""),"Thiếu thời điểm đóng","Hợp lệ"))))</x:f>
      </x:c>
    </x:row>
    <x:row r="261">
      <x:c r="A261" s="21"/>
      <x:c r="B261" s="21"/>
      <x:c r="C261" s="43"/>
      <x:c r="D261" s="43"/>
      <x:c r="E261" s="39" t="str">
        <x:f>IF(A261="","",MAX(0,(D261-C261)*1440))</x:f>
      </x:c>
      <x:c r="F261" s="29" t="str">
        <x:f>IF(B261="","",IFERROR(INDEX('05_BAO_CAO_NGAY'!$D$6:$D$505,MATCH(B261,'05_BAO_CAO_NGAY'!$A$6:$A$505,0)),""))</x:f>
      </x:c>
      <x:c r="G261" s="29" t="str">
        <x:f>IF(B261="","",IFERROR(INDEX('05_BAO_CAO_NGAY'!$E$6:$E$505,MATCH(B261,'05_BAO_CAO_NGAY'!$A$6:$A$505,0)),""))</x:f>
      </x:c>
      <x:c r="H261" s="29" t="str">
        <x:f>IF(B261="","",IFERROR(INDEX('05_BAO_CAO_NGAY'!$J$6:$J$505,MATCH(B261,'05_BAO_CAO_NGAY'!$A$6:$A$505,0)),""))</x:f>
      </x:c>
      <x:c r="I261" s="29" t="str">
        <x:f>IF(B261="","",IFERROR(INDEX('05_BAO_CAO_NGAY'!$M$6:$M$505,MATCH(B261,'05_BAO_CAO_NGAY'!$A$6:$A$505,0)),""))</x:f>
      </x:c>
      <x:c r="J261" s="21"/>
      <x:c r="K261" s="29" t="str">
        <x:f>IF(J261="","",IFERROR(INDEX(DM_LY_DO_DUNG!$C$6:$C$105,MATCH(J261,DM_LY_DO_DUNG!$A$6:$A$105,0)),""))</x:f>
      </x:c>
      <x:c r="L261" s="21"/>
      <x:c r="M261" s="21"/>
      <x:c r="N261" s="21"/>
      <x:c r="O261" s="21"/>
      <x:c r="P261" s="21"/>
      <x:c r="Q261" s="43"/>
      <x:c r="R261" s="29" t="str">
        <x:f>IF(A261="","",IF(OR(B261="",C261="",D261="",J261=""),"Thiếu dữ liệu",IF(D261&lt;C261,"Sai thời gian",IF(AND(P261="Đã đóng",Q261=""),"Thiếu thời điểm đóng","Hợp lệ"))))</x:f>
      </x:c>
    </x:row>
    <x:row r="262">
      <x:c r="A262" s="21"/>
      <x:c r="B262" s="21"/>
      <x:c r="C262" s="43"/>
      <x:c r="D262" s="43"/>
      <x:c r="E262" s="39" t="str">
        <x:f>IF(A262="","",MAX(0,(D262-C262)*1440))</x:f>
      </x:c>
      <x:c r="F262" s="29" t="str">
        <x:f>IF(B262="","",IFERROR(INDEX('05_BAO_CAO_NGAY'!$D$6:$D$505,MATCH(B262,'05_BAO_CAO_NGAY'!$A$6:$A$505,0)),""))</x:f>
      </x:c>
      <x:c r="G262" s="29" t="str">
        <x:f>IF(B262="","",IFERROR(INDEX('05_BAO_CAO_NGAY'!$E$6:$E$505,MATCH(B262,'05_BAO_CAO_NGAY'!$A$6:$A$505,0)),""))</x:f>
      </x:c>
      <x:c r="H262" s="29" t="str">
        <x:f>IF(B262="","",IFERROR(INDEX('05_BAO_CAO_NGAY'!$J$6:$J$505,MATCH(B262,'05_BAO_CAO_NGAY'!$A$6:$A$505,0)),""))</x:f>
      </x:c>
      <x:c r="I262" s="29" t="str">
        <x:f>IF(B262="","",IFERROR(INDEX('05_BAO_CAO_NGAY'!$M$6:$M$505,MATCH(B262,'05_BAO_CAO_NGAY'!$A$6:$A$505,0)),""))</x:f>
      </x:c>
      <x:c r="J262" s="21"/>
      <x:c r="K262" s="29" t="str">
        <x:f>IF(J262="","",IFERROR(INDEX(DM_LY_DO_DUNG!$C$6:$C$105,MATCH(J262,DM_LY_DO_DUNG!$A$6:$A$105,0)),""))</x:f>
      </x:c>
      <x:c r="L262" s="21"/>
      <x:c r="M262" s="21"/>
      <x:c r="N262" s="21"/>
      <x:c r="O262" s="21"/>
      <x:c r="P262" s="21"/>
      <x:c r="Q262" s="43"/>
      <x:c r="R262" s="29" t="str">
        <x:f>IF(A262="","",IF(OR(B262="",C262="",D262="",J262=""),"Thiếu dữ liệu",IF(D262&lt;C262,"Sai thời gian",IF(AND(P262="Đã đóng",Q262=""),"Thiếu thời điểm đóng","Hợp lệ"))))</x:f>
      </x:c>
    </x:row>
    <x:row r="263">
      <x:c r="A263" s="21"/>
      <x:c r="B263" s="21"/>
      <x:c r="C263" s="43"/>
      <x:c r="D263" s="43"/>
      <x:c r="E263" s="39" t="str">
        <x:f>IF(A263="","",MAX(0,(D263-C263)*1440))</x:f>
      </x:c>
      <x:c r="F263" s="29" t="str">
        <x:f>IF(B263="","",IFERROR(INDEX('05_BAO_CAO_NGAY'!$D$6:$D$505,MATCH(B263,'05_BAO_CAO_NGAY'!$A$6:$A$505,0)),""))</x:f>
      </x:c>
      <x:c r="G263" s="29" t="str">
        <x:f>IF(B263="","",IFERROR(INDEX('05_BAO_CAO_NGAY'!$E$6:$E$505,MATCH(B263,'05_BAO_CAO_NGAY'!$A$6:$A$505,0)),""))</x:f>
      </x:c>
      <x:c r="H263" s="29" t="str">
        <x:f>IF(B263="","",IFERROR(INDEX('05_BAO_CAO_NGAY'!$J$6:$J$505,MATCH(B263,'05_BAO_CAO_NGAY'!$A$6:$A$505,0)),""))</x:f>
      </x:c>
      <x:c r="I263" s="29" t="str">
        <x:f>IF(B263="","",IFERROR(INDEX('05_BAO_CAO_NGAY'!$M$6:$M$505,MATCH(B263,'05_BAO_CAO_NGAY'!$A$6:$A$505,0)),""))</x:f>
      </x:c>
      <x:c r="J263" s="21"/>
      <x:c r="K263" s="29" t="str">
        <x:f>IF(J263="","",IFERROR(INDEX(DM_LY_DO_DUNG!$C$6:$C$105,MATCH(J263,DM_LY_DO_DUNG!$A$6:$A$105,0)),""))</x:f>
      </x:c>
      <x:c r="L263" s="21"/>
      <x:c r="M263" s="21"/>
      <x:c r="N263" s="21"/>
      <x:c r="O263" s="21"/>
      <x:c r="P263" s="21"/>
      <x:c r="Q263" s="43"/>
      <x:c r="R263" s="29" t="str">
        <x:f>IF(A263="","",IF(OR(B263="",C263="",D263="",J263=""),"Thiếu dữ liệu",IF(D263&lt;C263,"Sai thời gian",IF(AND(P263="Đã đóng",Q263=""),"Thiếu thời điểm đóng","Hợp lệ"))))</x:f>
      </x:c>
    </x:row>
    <x:row r="264">
      <x:c r="A264" s="21"/>
      <x:c r="B264" s="21"/>
      <x:c r="C264" s="43"/>
      <x:c r="D264" s="43"/>
      <x:c r="E264" s="39" t="str">
        <x:f>IF(A264="","",MAX(0,(D264-C264)*1440))</x:f>
      </x:c>
      <x:c r="F264" s="29" t="str">
        <x:f>IF(B264="","",IFERROR(INDEX('05_BAO_CAO_NGAY'!$D$6:$D$505,MATCH(B264,'05_BAO_CAO_NGAY'!$A$6:$A$505,0)),""))</x:f>
      </x:c>
      <x:c r="G264" s="29" t="str">
        <x:f>IF(B264="","",IFERROR(INDEX('05_BAO_CAO_NGAY'!$E$6:$E$505,MATCH(B264,'05_BAO_CAO_NGAY'!$A$6:$A$505,0)),""))</x:f>
      </x:c>
      <x:c r="H264" s="29" t="str">
        <x:f>IF(B264="","",IFERROR(INDEX('05_BAO_CAO_NGAY'!$J$6:$J$505,MATCH(B264,'05_BAO_CAO_NGAY'!$A$6:$A$505,0)),""))</x:f>
      </x:c>
      <x:c r="I264" s="29" t="str">
        <x:f>IF(B264="","",IFERROR(INDEX('05_BAO_CAO_NGAY'!$M$6:$M$505,MATCH(B264,'05_BAO_CAO_NGAY'!$A$6:$A$505,0)),""))</x:f>
      </x:c>
      <x:c r="J264" s="21"/>
      <x:c r="K264" s="29" t="str">
        <x:f>IF(J264="","",IFERROR(INDEX(DM_LY_DO_DUNG!$C$6:$C$105,MATCH(J264,DM_LY_DO_DUNG!$A$6:$A$105,0)),""))</x:f>
      </x:c>
      <x:c r="L264" s="21"/>
      <x:c r="M264" s="21"/>
      <x:c r="N264" s="21"/>
      <x:c r="O264" s="21"/>
      <x:c r="P264" s="21"/>
      <x:c r="Q264" s="43"/>
      <x:c r="R264" s="29" t="str">
        <x:f>IF(A264="","",IF(OR(B264="",C264="",D264="",J264=""),"Thiếu dữ liệu",IF(D264&lt;C264,"Sai thời gian",IF(AND(P264="Đã đóng",Q264=""),"Thiếu thời điểm đóng","Hợp lệ"))))</x:f>
      </x:c>
    </x:row>
    <x:row r="265">
      <x:c r="A265" s="21"/>
      <x:c r="B265" s="21"/>
      <x:c r="C265" s="43"/>
      <x:c r="D265" s="43"/>
      <x:c r="E265" s="39" t="str">
        <x:f>IF(A265="","",MAX(0,(D265-C265)*1440))</x:f>
      </x:c>
      <x:c r="F265" s="29" t="str">
        <x:f>IF(B265="","",IFERROR(INDEX('05_BAO_CAO_NGAY'!$D$6:$D$505,MATCH(B265,'05_BAO_CAO_NGAY'!$A$6:$A$505,0)),""))</x:f>
      </x:c>
      <x:c r="G265" s="29" t="str">
        <x:f>IF(B265="","",IFERROR(INDEX('05_BAO_CAO_NGAY'!$E$6:$E$505,MATCH(B265,'05_BAO_CAO_NGAY'!$A$6:$A$505,0)),""))</x:f>
      </x:c>
      <x:c r="H265" s="29" t="str">
        <x:f>IF(B265="","",IFERROR(INDEX('05_BAO_CAO_NGAY'!$J$6:$J$505,MATCH(B265,'05_BAO_CAO_NGAY'!$A$6:$A$505,0)),""))</x:f>
      </x:c>
      <x:c r="I265" s="29" t="str">
        <x:f>IF(B265="","",IFERROR(INDEX('05_BAO_CAO_NGAY'!$M$6:$M$505,MATCH(B265,'05_BAO_CAO_NGAY'!$A$6:$A$505,0)),""))</x:f>
      </x:c>
      <x:c r="J265" s="21"/>
      <x:c r="K265" s="29" t="str">
        <x:f>IF(J265="","",IFERROR(INDEX(DM_LY_DO_DUNG!$C$6:$C$105,MATCH(J265,DM_LY_DO_DUNG!$A$6:$A$105,0)),""))</x:f>
      </x:c>
      <x:c r="L265" s="21"/>
      <x:c r="M265" s="21"/>
      <x:c r="N265" s="21"/>
      <x:c r="O265" s="21"/>
      <x:c r="P265" s="21"/>
      <x:c r="Q265" s="43"/>
      <x:c r="R265" s="29" t="str">
        <x:f>IF(A265="","",IF(OR(B265="",C265="",D265="",J265=""),"Thiếu dữ liệu",IF(D265&lt;C265,"Sai thời gian",IF(AND(P265="Đã đóng",Q265=""),"Thiếu thời điểm đóng","Hợp lệ"))))</x:f>
      </x:c>
    </x:row>
    <x:row r="266">
      <x:c r="A266" s="21"/>
      <x:c r="B266" s="21"/>
      <x:c r="C266" s="43"/>
      <x:c r="D266" s="43"/>
      <x:c r="E266" s="39" t="str">
        <x:f>IF(A266="","",MAX(0,(D266-C266)*1440))</x:f>
      </x:c>
      <x:c r="F266" s="29" t="str">
        <x:f>IF(B266="","",IFERROR(INDEX('05_BAO_CAO_NGAY'!$D$6:$D$505,MATCH(B266,'05_BAO_CAO_NGAY'!$A$6:$A$505,0)),""))</x:f>
      </x:c>
      <x:c r="G266" s="29" t="str">
        <x:f>IF(B266="","",IFERROR(INDEX('05_BAO_CAO_NGAY'!$E$6:$E$505,MATCH(B266,'05_BAO_CAO_NGAY'!$A$6:$A$505,0)),""))</x:f>
      </x:c>
      <x:c r="H266" s="29" t="str">
        <x:f>IF(B266="","",IFERROR(INDEX('05_BAO_CAO_NGAY'!$J$6:$J$505,MATCH(B266,'05_BAO_CAO_NGAY'!$A$6:$A$505,0)),""))</x:f>
      </x:c>
      <x:c r="I266" s="29" t="str">
        <x:f>IF(B266="","",IFERROR(INDEX('05_BAO_CAO_NGAY'!$M$6:$M$505,MATCH(B266,'05_BAO_CAO_NGAY'!$A$6:$A$505,0)),""))</x:f>
      </x:c>
      <x:c r="J266" s="21"/>
      <x:c r="K266" s="29" t="str">
        <x:f>IF(J266="","",IFERROR(INDEX(DM_LY_DO_DUNG!$C$6:$C$105,MATCH(J266,DM_LY_DO_DUNG!$A$6:$A$105,0)),""))</x:f>
      </x:c>
      <x:c r="L266" s="21"/>
      <x:c r="M266" s="21"/>
      <x:c r="N266" s="21"/>
      <x:c r="O266" s="21"/>
      <x:c r="P266" s="21"/>
      <x:c r="Q266" s="43"/>
      <x:c r="R266" s="29" t="str">
        <x:f>IF(A266="","",IF(OR(B266="",C266="",D266="",J266=""),"Thiếu dữ liệu",IF(D266&lt;C266,"Sai thời gian",IF(AND(P266="Đã đóng",Q266=""),"Thiếu thời điểm đóng","Hợp lệ"))))</x:f>
      </x:c>
    </x:row>
    <x:row r="267">
      <x:c r="A267" s="21"/>
      <x:c r="B267" s="21"/>
      <x:c r="C267" s="43"/>
      <x:c r="D267" s="43"/>
      <x:c r="E267" s="39" t="str">
        <x:f>IF(A267="","",MAX(0,(D267-C267)*1440))</x:f>
      </x:c>
      <x:c r="F267" s="29" t="str">
        <x:f>IF(B267="","",IFERROR(INDEX('05_BAO_CAO_NGAY'!$D$6:$D$505,MATCH(B267,'05_BAO_CAO_NGAY'!$A$6:$A$505,0)),""))</x:f>
      </x:c>
      <x:c r="G267" s="29" t="str">
        <x:f>IF(B267="","",IFERROR(INDEX('05_BAO_CAO_NGAY'!$E$6:$E$505,MATCH(B267,'05_BAO_CAO_NGAY'!$A$6:$A$505,0)),""))</x:f>
      </x:c>
      <x:c r="H267" s="29" t="str">
        <x:f>IF(B267="","",IFERROR(INDEX('05_BAO_CAO_NGAY'!$J$6:$J$505,MATCH(B267,'05_BAO_CAO_NGAY'!$A$6:$A$505,0)),""))</x:f>
      </x:c>
      <x:c r="I267" s="29" t="str">
        <x:f>IF(B267="","",IFERROR(INDEX('05_BAO_CAO_NGAY'!$M$6:$M$505,MATCH(B267,'05_BAO_CAO_NGAY'!$A$6:$A$505,0)),""))</x:f>
      </x:c>
      <x:c r="J267" s="21"/>
      <x:c r="K267" s="29" t="str">
        <x:f>IF(J267="","",IFERROR(INDEX(DM_LY_DO_DUNG!$C$6:$C$105,MATCH(J267,DM_LY_DO_DUNG!$A$6:$A$105,0)),""))</x:f>
      </x:c>
      <x:c r="L267" s="21"/>
      <x:c r="M267" s="21"/>
      <x:c r="N267" s="21"/>
      <x:c r="O267" s="21"/>
      <x:c r="P267" s="21"/>
      <x:c r="Q267" s="43"/>
      <x:c r="R267" s="29" t="str">
        <x:f>IF(A267="","",IF(OR(B267="",C267="",D267="",J267=""),"Thiếu dữ liệu",IF(D267&lt;C267,"Sai thời gian",IF(AND(P267="Đã đóng",Q267=""),"Thiếu thời điểm đóng","Hợp lệ"))))</x:f>
      </x:c>
    </x:row>
    <x:row r="268">
      <x:c r="A268" s="21"/>
      <x:c r="B268" s="21"/>
      <x:c r="C268" s="43"/>
      <x:c r="D268" s="43"/>
      <x:c r="E268" s="39" t="str">
        <x:f>IF(A268="","",MAX(0,(D268-C268)*1440))</x:f>
      </x:c>
      <x:c r="F268" s="29" t="str">
        <x:f>IF(B268="","",IFERROR(INDEX('05_BAO_CAO_NGAY'!$D$6:$D$505,MATCH(B268,'05_BAO_CAO_NGAY'!$A$6:$A$505,0)),""))</x:f>
      </x:c>
      <x:c r="G268" s="29" t="str">
        <x:f>IF(B268="","",IFERROR(INDEX('05_BAO_CAO_NGAY'!$E$6:$E$505,MATCH(B268,'05_BAO_CAO_NGAY'!$A$6:$A$505,0)),""))</x:f>
      </x:c>
      <x:c r="H268" s="29" t="str">
        <x:f>IF(B268="","",IFERROR(INDEX('05_BAO_CAO_NGAY'!$J$6:$J$505,MATCH(B268,'05_BAO_CAO_NGAY'!$A$6:$A$505,0)),""))</x:f>
      </x:c>
      <x:c r="I268" s="29" t="str">
        <x:f>IF(B268="","",IFERROR(INDEX('05_BAO_CAO_NGAY'!$M$6:$M$505,MATCH(B268,'05_BAO_CAO_NGAY'!$A$6:$A$505,0)),""))</x:f>
      </x:c>
      <x:c r="J268" s="21"/>
      <x:c r="K268" s="29" t="str">
        <x:f>IF(J268="","",IFERROR(INDEX(DM_LY_DO_DUNG!$C$6:$C$105,MATCH(J268,DM_LY_DO_DUNG!$A$6:$A$105,0)),""))</x:f>
      </x:c>
      <x:c r="L268" s="21"/>
      <x:c r="M268" s="21"/>
      <x:c r="N268" s="21"/>
      <x:c r="O268" s="21"/>
      <x:c r="P268" s="21"/>
      <x:c r="Q268" s="43"/>
      <x:c r="R268" s="29" t="str">
        <x:f>IF(A268="","",IF(OR(B268="",C268="",D268="",J268=""),"Thiếu dữ liệu",IF(D268&lt;C268,"Sai thời gian",IF(AND(P268="Đã đóng",Q268=""),"Thiếu thời điểm đóng","Hợp lệ"))))</x:f>
      </x:c>
    </x:row>
    <x:row r="269">
      <x:c r="A269" s="21"/>
      <x:c r="B269" s="21"/>
      <x:c r="C269" s="43"/>
      <x:c r="D269" s="43"/>
      <x:c r="E269" s="39" t="str">
        <x:f>IF(A269="","",MAX(0,(D269-C269)*1440))</x:f>
      </x:c>
      <x:c r="F269" s="29" t="str">
        <x:f>IF(B269="","",IFERROR(INDEX('05_BAO_CAO_NGAY'!$D$6:$D$505,MATCH(B269,'05_BAO_CAO_NGAY'!$A$6:$A$505,0)),""))</x:f>
      </x:c>
      <x:c r="G269" s="29" t="str">
        <x:f>IF(B269="","",IFERROR(INDEX('05_BAO_CAO_NGAY'!$E$6:$E$505,MATCH(B269,'05_BAO_CAO_NGAY'!$A$6:$A$505,0)),""))</x:f>
      </x:c>
      <x:c r="H269" s="29" t="str">
        <x:f>IF(B269="","",IFERROR(INDEX('05_BAO_CAO_NGAY'!$J$6:$J$505,MATCH(B269,'05_BAO_CAO_NGAY'!$A$6:$A$505,0)),""))</x:f>
      </x:c>
      <x:c r="I269" s="29" t="str">
        <x:f>IF(B269="","",IFERROR(INDEX('05_BAO_CAO_NGAY'!$M$6:$M$505,MATCH(B269,'05_BAO_CAO_NGAY'!$A$6:$A$505,0)),""))</x:f>
      </x:c>
      <x:c r="J269" s="21"/>
      <x:c r="K269" s="29" t="str">
        <x:f>IF(J269="","",IFERROR(INDEX(DM_LY_DO_DUNG!$C$6:$C$105,MATCH(J269,DM_LY_DO_DUNG!$A$6:$A$105,0)),""))</x:f>
      </x:c>
      <x:c r="L269" s="21"/>
      <x:c r="M269" s="21"/>
      <x:c r="N269" s="21"/>
      <x:c r="O269" s="21"/>
      <x:c r="P269" s="21"/>
      <x:c r="Q269" s="43"/>
      <x:c r="R269" s="29" t="str">
        <x:f>IF(A269="","",IF(OR(B269="",C269="",D269="",J269=""),"Thiếu dữ liệu",IF(D269&lt;C269,"Sai thời gian",IF(AND(P269="Đã đóng",Q269=""),"Thiếu thời điểm đóng","Hợp lệ"))))</x:f>
      </x:c>
    </x:row>
    <x:row r="270">
      <x:c r="A270" s="21"/>
      <x:c r="B270" s="21"/>
      <x:c r="C270" s="43"/>
      <x:c r="D270" s="43"/>
      <x:c r="E270" s="39" t="str">
        <x:f>IF(A270="","",MAX(0,(D270-C270)*1440))</x:f>
      </x:c>
      <x:c r="F270" s="29" t="str">
        <x:f>IF(B270="","",IFERROR(INDEX('05_BAO_CAO_NGAY'!$D$6:$D$505,MATCH(B270,'05_BAO_CAO_NGAY'!$A$6:$A$505,0)),""))</x:f>
      </x:c>
      <x:c r="G270" s="29" t="str">
        <x:f>IF(B270="","",IFERROR(INDEX('05_BAO_CAO_NGAY'!$E$6:$E$505,MATCH(B270,'05_BAO_CAO_NGAY'!$A$6:$A$505,0)),""))</x:f>
      </x:c>
      <x:c r="H270" s="29" t="str">
        <x:f>IF(B270="","",IFERROR(INDEX('05_BAO_CAO_NGAY'!$J$6:$J$505,MATCH(B270,'05_BAO_CAO_NGAY'!$A$6:$A$505,0)),""))</x:f>
      </x:c>
      <x:c r="I270" s="29" t="str">
        <x:f>IF(B270="","",IFERROR(INDEX('05_BAO_CAO_NGAY'!$M$6:$M$505,MATCH(B270,'05_BAO_CAO_NGAY'!$A$6:$A$505,0)),""))</x:f>
      </x:c>
      <x:c r="J270" s="21"/>
      <x:c r="K270" s="29" t="str">
        <x:f>IF(J270="","",IFERROR(INDEX(DM_LY_DO_DUNG!$C$6:$C$105,MATCH(J270,DM_LY_DO_DUNG!$A$6:$A$105,0)),""))</x:f>
      </x:c>
      <x:c r="L270" s="21"/>
      <x:c r="M270" s="21"/>
      <x:c r="N270" s="21"/>
      <x:c r="O270" s="21"/>
      <x:c r="P270" s="21"/>
      <x:c r="Q270" s="43"/>
      <x:c r="R270" s="29" t="str">
        <x:f>IF(A270="","",IF(OR(B270="",C270="",D270="",J270=""),"Thiếu dữ liệu",IF(D270&lt;C270,"Sai thời gian",IF(AND(P270="Đã đóng",Q270=""),"Thiếu thời điểm đóng","Hợp lệ"))))</x:f>
      </x:c>
    </x:row>
    <x:row r="271">
      <x:c r="A271" s="21"/>
      <x:c r="B271" s="21"/>
      <x:c r="C271" s="43"/>
      <x:c r="D271" s="43"/>
      <x:c r="E271" s="39" t="str">
        <x:f>IF(A271="","",MAX(0,(D271-C271)*1440))</x:f>
      </x:c>
      <x:c r="F271" s="29" t="str">
        <x:f>IF(B271="","",IFERROR(INDEX('05_BAO_CAO_NGAY'!$D$6:$D$505,MATCH(B271,'05_BAO_CAO_NGAY'!$A$6:$A$505,0)),""))</x:f>
      </x:c>
      <x:c r="G271" s="29" t="str">
        <x:f>IF(B271="","",IFERROR(INDEX('05_BAO_CAO_NGAY'!$E$6:$E$505,MATCH(B271,'05_BAO_CAO_NGAY'!$A$6:$A$505,0)),""))</x:f>
      </x:c>
      <x:c r="H271" s="29" t="str">
        <x:f>IF(B271="","",IFERROR(INDEX('05_BAO_CAO_NGAY'!$J$6:$J$505,MATCH(B271,'05_BAO_CAO_NGAY'!$A$6:$A$505,0)),""))</x:f>
      </x:c>
      <x:c r="I271" s="29" t="str">
        <x:f>IF(B271="","",IFERROR(INDEX('05_BAO_CAO_NGAY'!$M$6:$M$505,MATCH(B271,'05_BAO_CAO_NGAY'!$A$6:$A$505,0)),""))</x:f>
      </x:c>
      <x:c r="J271" s="21"/>
      <x:c r="K271" s="29" t="str">
        <x:f>IF(J271="","",IFERROR(INDEX(DM_LY_DO_DUNG!$C$6:$C$105,MATCH(J271,DM_LY_DO_DUNG!$A$6:$A$105,0)),""))</x:f>
      </x:c>
      <x:c r="L271" s="21"/>
      <x:c r="M271" s="21"/>
      <x:c r="N271" s="21"/>
      <x:c r="O271" s="21"/>
      <x:c r="P271" s="21"/>
      <x:c r="Q271" s="43"/>
      <x:c r="R271" s="29" t="str">
        <x:f>IF(A271="","",IF(OR(B271="",C271="",D271="",J271=""),"Thiếu dữ liệu",IF(D271&lt;C271,"Sai thời gian",IF(AND(P271="Đã đóng",Q271=""),"Thiếu thời điểm đóng","Hợp lệ"))))</x:f>
      </x:c>
    </x:row>
    <x:row r="272">
      <x:c r="A272" s="21"/>
      <x:c r="B272" s="21"/>
      <x:c r="C272" s="43"/>
      <x:c r="D272" s="43"/>
      <x:c r="E272" s="39" t="str">
        <x:f>IF(A272="","",MAX(0,(D272-C272)*1440))</x:f>
      </x:c>
      <x:c r="F272" s="29" t="str">
        <x:f>IF(B272="","",IFERROR(INDEX('05_BAO_CAO_NGAY'!$D$6:$D$505,MATCH(B272,'05_BAO_CAO_NGAY'!$A$6:$A$505,0)),""))</x:f>
      </x:c>
      <x:c r="G272" s="29" t="str">
        <x:f>IF(B272="","",IFERROR(INDEX('05_BAO_CAO_NGAY'!$E$6:$E$505,MATCH(B272,'05_BAO_CAO_NGAY'!$A$6:$A$505,0)),""))</x:f>
      </x:c>
      <x:c r="H272" s="29" t="str">
        <x:f>IF(B272="","",IFERROR(INDEX('05_BAO_CAO_NGAY'!$J$6:$J$505,MATCH(B272,'05_BAO_CAO_NGAY'!$A$6:$A$505,0)),""))</x:f>
      </x:c>
      <x:c r="I272" s="29" t="str">
        <x:f>IF(B272="","",IFERROR(INDEX('05_BAO_CAO_NGAY'!$M$6:$M$505,MATCH(B272,'05_BAO_CAO_NGAY'!$A$6:$A$505,0)),""))</x:f>
      </x:c>
      <x:c r="J272" s="21"/>
      <x:c r="K272" s="29" t="str">
        <x:f>IF(J272="","",IFERROR(INDEX(DM_LY_DO_DUNG!$C$6:$C$105,MATCH(J272,DM_LY_DO_DUNG!$A$6:$A$105,0)),""))</x:f>
      </x:c>
      <x:c r="L272" s="21"/>
      <x:c r="M272" s="21"/>
      <x:c r="N272" s="21"/>
      <x:c r="O272" s="21"/>
      <x:c r="P272" s="21"/>
      <x:c r="Q272" s="43"/>
      <x:c r="R272" s="29" t="str">
        <x:f>IF(A272="","",IF(OR(B272="",C272="",D272="",J272=""),"Thiếu dữ liệu",IF(D272&lt;C272,"Sai thời gian",IF(AND(P272="Đã đóng",Q272=""),"Thiếu thời điểm đóng","Hợp lệ"))))</x:f>
      </x:c>
    </x:row>
    <x:row r="273">
      <x:c r="A273" s="21"/>
      <x:c r="B273" s="21"/>
      <x:c r="C273" s="43"/>
      <x:c r="D273" s="43"/>
      <x:c r="E273" s="39" t="str">
        <x:f>IF(A273="","",MAX(0,(D273-C273)*1440))</x:f>
      </x:c>
      <x:c r="F273" s="29" t="str">
        <x:f>IF(B273="","",IFERROR(INDEX('05_BAO_CAO_NGAY'!$D$6:$D$505,MATCH(B273,'05_BAO_CAO_NGAY'!$A$6:$A$505,0)),""))</x:f>
      </x:c>
      <x:c r="G273" s="29" t="str">
        <x:f>IF(B273="","",IFERROR(INDEX('05_BAO_CAO_NGAY'!$E$6:$E$505,MATCH(B273,'05_BAO_CAO_NGAY'!$A$6:$A$505,0)),""))</x:f>
      </x:c>
      <x:c r="H273" s="29" t="str">
        <x:f>IF(B273="","",IFERROR(INDEX('05_BAO_CAO_NGAY'!$J$6:$J$505,MATCH(B273,'05_BAO_CAO_NGAY'!$A$6:$A$505,0)),""))</x:f>
      </x:c>
      <x:c r="I273" s="29" t="str">
        <x:f>IF(B273="","",IFERROR(INDEX('05_BAO_CAO_NGAY'!$M$6:$M$505,MATCH(B273,'05_BAO_CAO_NGAY'!$A$6:$A$505,0)),""))</x:f>
      </x:c>
      <x:c r="J273" s="21"/>
      <x:c r="K273" s="29" t="str">
        <x:f>IF(J273="","",IFERROR(INDEX(DM_LY_DO_DUNG!$C$6:$C$105,MATCH(J273,DM_LY_DO_DUNG!$A$6:$A$105,0)),""))</x:f>
      </x:c>
      <x:c r="L273" s="21"/>
      <x:c r="M273" s="21"/>
      <x:c r="N273" s="21"/>
      <x:c r="O273" s="21"/>
      <x:c r="P273" s="21"/>
      <x:c r="Q273" s="43"/>
      <x:c r="R273" s="29" t="str">
        <x:f>IF(A273="","",IF(OR(B273="",C273="",D273="",J273=""),"Thiếu dữ liệu",IF(D273&lt;C273,"Sai thời gian",IF(AND(P273="Đã đóng",Q273=""),"Thiếu thời điểm đóng","Hợp lệ"))))</x:f>
      </x:c>
    </x:row>
    <x:row r="274">
      <x:c r="A274" s="21"/>
      <x:c r="B274" s="21"/>
      <x:c r="C274" s="43"/>
      <x:c r="D274" s="43"/>
      <x:c r="E274" s="39" t="str">
        <x:f>IF(A274="","",MAX(0,(D274-C274)*1440))</x:f>
      </x:c>
      <x:c r="F274" s="29" t="str">
        <x:f>IF(B274="","",IFERROR(INDEX('05_BAO_CAO_NGAY'!$D$6:$D$505,MATCH(B274,'05_BAO_CAO_NGAY'!$A$6:$A$505,0)),""))</x:f>
      </x:c>
      <x:c r="G274" s="29" t="str">
        <x:f>IF(B274="","",IFERROR(INDEX('05_BAO_CAO_NGAY'!$E$6:$E$505,MATCH(B274,'05_BAO_CAO_NGAY'!$A$6:$A$505,0)),""))</x:f>
      </x:c>
      <x:c r="H274" s="29" t="str">
        <x:f>IF(B274="","",IFERROR(INDEX('05_BAO_CAO_NGAY'!$J$6:$J$505,MATCH(B274,'05_BAO_CAO_NGAY'!$A$6:$A$505,0)),""))</x:f>
      </x:c>
      <x:c r="I274" s="29" t="str">
        <x:f>IF(B274="","",IFERROR(INDEX('05_BAO_CAO_NGAY'!$M$6:$M$505,MATCH(B274,'05_BAO_CAO_NGAY'!$A$6:$A$505,0)),""))</x:f>
      </x:c>
      <x:c r="J274" s="21"/>
      <x:c r="K274" s="29" t="str">
        <x:f>IF(J274="","",IFERROR(INDEX(DM_LY_DO_DUNG!$C$6:$C$105,MATCH(J274,DM_LY_DO_DUNG!$A$6:$A$105,0)),""))</x:f>
      </x:c>
      <x:c r="L274" s="21"/>
      <x:c r="M274" s="21"/>
      <x:c r="N274" s="21"/>
      <x:c r="O274" s="21"/>
      <x:c r="P274" s="21"/>
      <x:c r="Q274" s="43"/>
      <x:c r="R274" s="29" t="str">
        <x:f>IF(A274="","",IF(OR(B274="",C274="",D274="",J274=""),"Thiếu dữ liệu",IF(D274&lt;C274,"Sai thời gian",IF(AND(P274="Đã đóng",Q274=""),"Thiếu thời điểm đóng","Hợp lệ"))))</x:f>
      </x:c>
    </x:row>
    <x:row r="275">
      <x:c r="A275" s="21"/>
      <x:c r="B275" s="21"/>
      <x:c r="C275" s="43"/>
      <x:c r="D275" s="43"/>
      <x:c r="E275" s="39" t="str">
        <x:f>IF(A275="","",MAX(0,(D275-C275)*1440))</x:f>
      </x:c>
      <x:c r="F275" s="29" t="str">
        <x:f>IF(B275="","",IFERROR(INDEX('05_BAO_CAO_NGAY'!$D$6:$D$505,MATCH(B275,'05_BAO_CAO_NGAY'!$A$6:$A$505,0)),""))</x:f>
      </x:c>
      <x:c r="G275" s="29" t="str">
        <x:f>IF(B275="","",IFERROR(INDEX('05_BAO_CAO_NGAY'!$E$6:$E$505,MATCH(B275,'05_BAO_CAO_NGAY'!$A$6:$A$505,0)),""))</x:f>
      </x:c>
      <x:c r="H275" s="29" t="str">
        <x:f>IF(B275="","",IFERROR(INDEX('05_BAO_CAO_NGAY'!$J$6:$J$505,MATCH(B275,'05_BAO_CAO_NGAY'!$A$6:$A$505,0)),""))</x:f>
      </x:c>
      <x:c r="I275" s="29" t="str">
        <x:f>IF(B275="","",IFERROR(INDEX('05_BAO_CAO_NGAY'!$M$6:$M$505,MATCH(B275,'05_BAO_CAO_NGAY'!$A$6:$A$505,0)),""))</x:f>
      </x:c>
      <x:c r="J275" s="21"/>
      <x:c r="K275" s="29" t="str">
        <x:f>IF(J275="","",IFERROR(INDEX(DM_LY_DO_DUNG!$C$6:$C$105,MATCH(J275,DM_LY_DO_DUNG!$A$6:$A$105,0)),""))</x:f>
      </x:c>
      <x:c r="L275" s="21"/>
      <x:c r="M275" s="21"/>
      <x:c r="N275" s="21"/>
      <x:c r="O275" s="21"/>
      <x:c r="P275" s="21"/>
      <x:c r="Q275" s="43"/>
      <x:c r="R275" s="29" t="str">
        <x:f>IF(A275="","",IF(OR(B275="",C275="",D275="",J275=""),"Thiếu dữ liệu",IF(D275&lt;C275,"Sai thời gian",IF(AND(P275="Đã đóng",Q275=""),"Thiếu thời điểm đóng","Hợp lệ"))))</x:f>
      </x:c>
    </x:row>
    <x:row r="276">
      <x:c r="A276" s="21"/>
      <x:c r="B276" s="21"/>
      <x:c r="C276" s="43"/>
      <x:c r="D276" s="43"/>
      <x:c r="E276" s="39" t="str">
        <x:f>IF(A276="","",MAX(0,(D276-C276)*1440))</x:f>
      </x:c>
      <x:c r="F276" s="29" t="str">
        <x:f>IF(B276="","",IFERROR(INDEX('05_BAO_CAO_NGAY'!$D$6:$D$505,MATCH(B276,'05_BAO_CAO_NGAY'!$A$6:$A$505,0)),""))</x:f>
      </x:c>
      <x:c r="G276" s="29" t="str">
        <x:f>IF(B276="","",IFERROR(INDEX('05_BAO_CAO_NGAY'!$E$6:$E$505,MATCH(B276,'05_BAO_CAO_NGAY'!$A$6:$A$505,0)),""))</x:f>
      </x:c>
      <x:c r="H276" s="29" t="str">
        <x:f>IF(B276="","",IFERROR(INDEX('05_BAO_CAO_NGAY'!$J$6:$J$505,MATCH(B276,'05_BAO_CAO_NGAY'!$A$6:$A$505,0)),""))</x:f>
      </x:c>
      <x:c r="I276" s="29" t="str">
        <x:f>IF(B276="","",IFERROR(INDEX('05_BAO_CAO_NGAY'!$M$6:$M$505,MATCH(B276,'05_BAO_CAO_NGAY'!$A$6:$A$505,0)),""))</x:f>
      </x:c>
      <x:c r="J276" s="21"/>
      <x:c r="K276" s="29" t="str">
        <x:f>IF(J276="","",IFERROR(INDEX(DM_LY_DO_DUNG!$C$6:$C$105,MATCH(J276,DM_LY_DO_DUNG!$A$6:$A$105,0)),""))</x:f>
      </x:c>
      <x:c r="L276" s="21"/>
      <x:c r="M276" s="21"/>
      <x:c r="N276" s="21"/>
      <x:c r="O276" s="21"/>
      <x:c r="P276" s="21"/>
      <x:c r="Q276" s="43"/>
      <x:c r="R276" s="29" t="str">
        <x:f>IF(A276="","",IF(OR(B276="",C276="",D276="",J276=""),"Thiếu dữ liệu",IF(D276&lt;C276,"Sai thời gian",IF(AND(P276="Đã đóng",Q276=""),"Thiếu thời điểm đóng","Hợp lệ"))))</x:f>
      </x:c>
    </x:row>
    <x:row r="277">
      <x:c r="A277" s="21"/>
      <x:c r="B277" s="21"/>
      <x:c r="C277" s="43"/>
      <x:c r="D277" s="43"/>
      <x:c r="E277" s="39" t="str">
        <x:f>IF(A277="","",MAX(0,(D277-C277)*1440))</x:f>
      </x:c>
      <x:c r="F277" s="29" t="str">
        <x:f>IF(B277="","",IFERROR(INDEX('05_BAO_CAO_NGAY'!$D$6:$D$505,MATCH(B277,'05_BAO_CAO_NGAY'!$A$6:$A$505,0)),""))</x:f>
      </x:c>
      <x:c r="G277" s="29" t="str">
        <x:f>IF(B277="","",IFERROR(INDEX('05_BAO_CAO_NGAY'!$E$6:$E$505,MATCH(B277,'05_BAO_CAO_NGAY'!$A$6:$A$505,0)),""))</x:f>
      </x:c>
      <x:c r="H277" s="29" t="str">
        <x:f>IF(B277="","",IFERROR(INDEX('05_BAO_CAO_NGAY'!$J$6:$J$505,MATCH(B277,'05_BAO_CAO_NGAY'!$A$6:$A$505,0)),""))</x:f>
      </x:c>
      <x:c r="I277" s="29" t="str">
        <x:f>IF(B277="","",IFERROR(INDEX('05_BAO_CAO_NGAY'!$M$6:$M$505,MATCH(B277,'05_BAO_CAO_NGAY'!$A$6:$A$505,0)),""))</x:f>
      </x:c>
      <x:c r="J277" s="21"/>
      <x:c r="K277" s="29" t="str">
        <x:f>IF(J277="","",IFERROR(INDEX(DM_LY_DO_DUNG!$C$6:$C$105,MATCH(J277,DM_LY_DO_DUNG!$A$6:$A$105,0)),""))</x:f>
      </x:c>
      <x:c r="L277" s="21"/>
      <x:c r="M277" s="21"/>
      <x:c r="N277" s="21"/>
      <x:c r="O277" s="21"/>
      <x:c r="P277" s="21"/>
      <x:c r="Q277" s="43"/>
      <x:c r="R277" s="29" t="str">
        <x:f>IF(A277="","",IF(OR(B277="",C277="",D277="",J277=""),"Thiếu dữ liệu",IF(D277&lt;C277,"Sai thời gian",IF(AND(P277="Đã đóng",Q277=""),"Thiếu thời điểm đóng","Hợp lệ"))))</x:f>
      </x:c>
    </x:row>
    <x:row r="278">
      <x:c r="A278" s="21"/>
      <x:c r="B278" s="21"/>
      <x:c r="C278" s="43"/>
      <x:c r="D278" s="43"/>
      <x:c r="E278" s="39" t="str">
        <x:f>IF(A278="","",MAX(0,(D278-C278)*1440))</x:f>
      </x:c>
      <x:c r="F278" s="29" t="str">
        <x:f>IF(B278="","",IFERROR(INDEX('05_BAO_CAO_NGAY'!$D$6:$D$505,MATCH(B278,'05_BAO_CAO_NGAY'!$A$6:$A$505,0)),""))</x:f>
      </x:c>
      <x:c r="G278" s="29" t="str">
        <x:f>IF(B278="","",IFERROR(INDEX('05_BAO_CAO_NGAY'!$E$6:$E$505,MATCH(B278,'05_BAO_CAO_NGAY'!$A$6:$A$505,0)),""))</x:f>
      </x:c>
      <x:c r="H278" s="29" t="str">
        <x:f>IF(B278="","",IFERROR(INDEX('05_BAO_CAO_NGAY'!$J$6:$J$505,MATCH(B278,'05_BAO_CAO_NGAY'!$A$6:$A$505,0)),""))</x:f>
      </x:c>
      <x:c r="I278" s="29" t="str">
        <x:f>IF(B278="","",IFERROR(INDEX('05_BAO_CAO_NGAY'!$M$6:$M$505,MATCH(B278,'05_BAO_CAO_NGAY'!$A$6:$A$505,0)),""))</x:f>
      </x:c>
      <x:c r="J278" s="21"/>
      <x:c r="K278" s="29" t="str">
        <x:f>IF(J278="","",IFERROR(INDEX(DM_LY_DO_DUNG!$C$6:$C$105,MATCH(J278,DM_LY_DO_DUNG!$A$6:$A$105,0)),""))</x:f>
      </x:c>
      <x:c r="L278" s="21"/>
      <x:c r="M278" s="21"/>
      <x:c r="N278" s="21"/>
      <x:c r="O278" s="21"/>
      <x:c r="P278" s="21"/>
      <x:c r="Q278" s="43"/>
      <x:c r="R278" s="29" t="str">
        <x:f>IF(A278="","",IF(OR(B278="",C278="",D278="",J278=""),"Thiếu dữ liệu",IF(D278&lt;C278,"Sai thời gian",IF(AND(P278="Đã đóng",Q278=""),"Thiếu thời điểm đóng","Hợp lệ"))))</x:f>
      </x:c>
    </x:row>
    <x:row r="279">
      <x:c r="A279" s="21"/>
      <x:c r="B279" s="21"/>
      <x:c r="C279" s="43"/>
      <x:c r="D279" s="43"/>
      <x:c r="E279" s="39" t="str">
        <x:f>IF(A279="","",MAX(0,(D279-C279)*1440))</x:f>
      </x:c>
      <x:c r="F279" s="29" t="str">
        <x:f>IF(B279="","",IFERROR(INDEX('05_BAO_CAO_NGAY'!$D$6:$D$505,MATCH(B279,'05_BAO_CAO_NGAY'!$A$6:$A$505,0)),""))</x:f>
      </x:c>
      <x:c r="G279" s="29" t="str">
        <x:f>IF(B279="","",IFERROR(INDEX('05_BAO_CAO_NGAY'!$E$6:$E$505,MATCH(B279,'05_BAO_CAO_NGAY'!$A$6:$A$505,0)),""))</x:f>
      </x:c>
      <x:c r="H279" s="29" t="str">
        <x:f>IF(B279="","",IFERROR(INDEX('05_BAO_CAO_NGAY'!$J$6:$J$505,MATCH(B279,'05_BAO_CAO_NGAY'!$A$6:$A$505,0)),""))</x:f>
      </x:c>
      <x:c r="I279" s="29" t="str">
        <x:f>IF(B279="","",IFERROR(INDEX('05_BAO_CAO_NGAY'!$M$6:$M$505,MATCH(B279,'05_BAO_CAO_NGAY'!$A$6:$A$505,0)),""))</x:f>
      </x:c>
      <x:c r="J279" s="21"/>
      <x:c r="K279" s="29" t="str">
        <x:f>IF(J279="","",IFERROR(INDEX(DM_LY_DO_DUNG!$C$6:$C$105,MATCH(J279,DM_LY_DO_DUNG!$A$6:$A$105,0)),""))</x:f>
      </x:c>
      <x:c r="L279" s="21"/>
      <x:c r="M279" s="21"/>
      <x:c r="N279" s="21"/>
      <x:c r="O279" s="21"/>
      <x:c r="P279" s="21"/>
      <x:c r="Q279" s="43"/>
      <x:c r="R279" s="29" t="str">
        <x:f>IF(A279="","",IF(OR(B279="",C279="",D279="",J279=""),"Thiếu dữ liệu",IF(D279&lt;C279,"Sai thời gian",IF(AND(P279="Đã đóng",Q279=""),"Thiếu thời điểm đóng","Hợp lệ"))))</x:f>
      </x:c>
    </x:row>
    <x:row r="280">
      <x:c r="A280" s="21"/>
      <x:c r="B280" s="21"/>
      <x:c r="C280" s="43"/>
      <x:c r="D280" s="43"/>
      <x:c r="E280" s="39" t="str">
        <x:f>IF(A280="","",MAX(0,(D280-C280)*1440))</x:f>
      </x:c>
      <x:c r="F280" s="29" t="str">
        <x:f>IF(B280="","",IFERROR(INDEX('05_BAO_CAO_NGAY'!$D$6:$D$505,MATCH(B280,'05_BAO_CAO_NGAY'!$A$6:$A$505,0)),""))</x:f>
      </x:c>
      <x:c r="G280" s="29" t="str">
        <x:f>IF(B280="","",IFERROR(INDEX('05_BAO_CAO_NGAY'!$E$6:$E$505,MATCH(B280,'05_BAO_CAO_NGAY'!$A$6:$A$505,0)),""))</x:f>
      </x:c>
      <x:c r="H280" s="29" t="str">
        <x:f>IF(B280="","",IFERROR(INDEX('05_BAO_CAO_NGAY'!$J$6:$J$505,MATCH(B280,'05_BAO_CAO_NGAY'!$A$6:$A$505,0)),""))</x:f>
      </x:c>
      <x:c r="I280" s="29" t="str">
        <x:f>IF(B280="","",IFERROR(INDEX('05_BAO_CAO_NGAY'!$M$6:$M$505,MATCH(B280,'05_BAO_CAO_NGAY'!$A$6:$A$505,0)),""))</x:f>
      </x:c>
      <x:c r="J280" s="21"/>
      <x:c r="K280" s="29" t="str">
        <x:f>IF(J280="","",IFERROR(INDEX(DM_LY_DO_DUNG!$C$6:$C$105,MATCH(J280,DM_LY_DO_DUNG!$A$6:$A$105,0)),""))</x:f>
      </x:c>
      <x:c r="L280" s="21"/>
      <x:c r="M280" s="21"/>
      <x:c r="N280" s="21"/>
      <x:c r="O280" s="21"/>
      <x:c r="P280" s="21"/>
      <x:c r="Q280" s="43"/>
      <x:c r="R280" s="29" t="str">
        <x:f>IF(A280="","",IF(OR(B280="",C280="",D280="",J280=""),"Thiếu dữ liệu",IF(D280&lt;C280,"Sai thời gian",IF(AND(P280="Đã đóng",Q280=""),"Thiếu thời điểm đóng","Hợp lệ"))))</x:f>
      </x:c>
    </x:row>
    <x:row r="281">
      <x:c r="A281" s="21"/>
      <x:c r="B281" s="21"/>
      <x:c r="C281" s="43"/>
      <x:c r="D281" s="43"/>
      <x:c r="E281" s="39" t="str">
        <x:f>IF(A281="","",MAX(0,(D281-C281)*1440))</x:f>
      </x:c>
      <x:c r="F281" s="29" t="str">
        <x:f>IF(B281="","",IFERROR(INDEX('05_BAO_CAO_NGAY'!$D$6:$D$505,MATCH(B281,'05_BAO_CAO_NGAY'!$A$6:$A$505,0)),""))</x:f>
      </x:c>
      <x:c r="G281" s="29" t="str">
        <x:f>IF(B281="","",IFERROR(INDEX('05_BAO_CAO_NGAY'!$E$6:$E$505,MATCH(B281,'05_BAO_CAO_NGAY'!$A$6:$A$505,0)),""))</x:f>
      </x:c>
      <x:c r="H281" s="29" t="str">
        <x:f>IF(B281="","",IFERROR(INDEX('05_BAO_CAO_NGAY'!$J$6:$J$505,MATCH(B281,'05_BAO_CAO_NGAY'!$A$6:$A$505,0)),""))</x:f>
      </x:c>
      <x:c r="I281" s="29" t="str">
        <x:f>IF(B281="","",IFERROR(INDEX('05_BAO_CAO_NGAY'!$M$6:$M$505,MATCH(B281,'05_BAO_CAO_NGAY'!$A$6:$A$505,0)),""))</x:f>
      </x:c>
      <x:c r="J281" s="21"/>
      <x:c r="K281" s="29" t="str">
        <x:f>IF(J281="","",IFERROR(INDEX(DM_LY_DO_DUNG!$C$6:$C$105,MATCH(J281,DM_LY_DO_DUNG!$A$6:$A$105,0)),""))</x:f>
      </x:c>
      <x:c r="L281" s="21"/>
      <x:c r="M281" s="21"/>
      <x:c r="N281" s="21"/>
      <x:c r="O281" s="21"/>
      <x:c r="P281" s="21"/>
      <x:c r="Q281" s="43"/>
      <x:c r="R281" s="29" t="str">
        <x:f>IF(A281="","",IF(OR(B281="",C281="",D281="",J281=""),"Thiếu dữ liệu",IF(D281&lt;C281,"Sai thời gian",IF(AND(P281="Đã đóng",Q281=""),"Thiếu thời điểm đóng","Hợp lệ"))))</x:f>
      </x:c>
    </x:row>
    <x:row r="282">
      <x:c r="A282" s="21"/>
      <x:c r="B282" s="21"/>
      <x:c r="C282" s="43"/>
      <x:c r="D282" s="43"/>
      <x:c r="E282" s="39" t="str">
        <x:f>IF(A282="","",MAX(0,(D282-C282)*1440))</x:f>
      </x:c>
      <x:c r="F282" s="29" t="str">
        <x:f>IF(B282="","",IFERROR(INDEX('05_BAO_CAO_NGAY'!$D$6:$D$505,MATCH(B282,'05_BAO_CAO_NGAY'!$A$6:$A$505,0)),""))</x:f>
      </x:c>
      <x:c r="G282" s="29" t="str">
        <x:f>IF(B282="","",IFERROR(INDEX('05_BAO_CAO_NGAY'!$E$6:$E$505,MATCH(B282,'05_BAO_CAO_NGAY'!$A$6:$A$505,0)),""))</x:f>
      </x:c>
      <x:c r="H282" s="29" t="str">
        <x:f>IF(B282="","",IFERROR(INDEX('05_BAO_CAO_NGAY'!$J$6:$J$505,MATCH(B282,'05_BAO_CAO_NGAY'!$A$6:$A$505,0)),""))</x:f>
      </x:c>
      <x:c r="I282" s="29" t="str">
        <x:f>IF(B282="","",IFERROR(INDEX('05_BAO_CAO_NGAY'!$M$6:$M$505,MATCH(B282,'05_BAO_CAO_NGAY'!$A$6:$A$505,0)),""))</x:f>
      </x:c>
      <x:c r="J282" s="21"/>
      <x:c r="K282" s="29" t="str">
        <x:f>IF(J282="","",IFERROR(INDEX(DM_LY_DO_DUNG!$C$6:$C$105,MATCH(J282,DM_LY_DO_DUNG!$A$6:$A$105,0)),""))</x:f>
      </x:c>
      <x:c r="L282" s="21"/>
      <x:c r="M282" s="21"/>
      <x:c r="N282" s="21"/>
      <x:c r="O282" s="21"/>
      <x:c r="P282" s="21"/>
      <x:c r="Q282" s="43"/>
      <x:c r="R282" s="29" t="str">
        <x:f>IF(A282="","",IF(OR(B282="",C282="",D282="",J282=""),"Thiếu dữ liệu",IF(D282&lt;C282,"Sai thời gian",IF(AND(P282="Đã đóng",Q282=""),"Thiếu thời điểm đóng","Hợp lệ"))))</x:f>
      </x:c>
    </x:row>
    <x:row r="283">
      <x:c r="A283" s="21"/>
      <x:c r="B283" s="21"/>
      <x:c r="C283" s="43"/>
      <x:c r="D283" s="43"/>
      <x:c r="E283" s="39" t="str">
        <x:f>IF(A283="","",MAX(0,(D283-C283)*1440))</x:f>
      </x:c>
      <x:c r="F283" s="29" t="str">
        <x:f>IF(B283="","",IFERROR(INDEX('05_BAO_CAO_NGAY'!$D$6:$D$505,MATCH(B283,'05_BAO_CAO_NGAY'!$A$6:$A$505,0)),""))</x:f>
      </x:c>
      <x:c r="G283" s="29" t="str">
        <x:f>IF(B283="","",IFERROR(INDEX('05_BAO_CAO_NGAY'!$E$6:$E$505,MATCH(B283,'05_BAO_CAO_NGAY'!$A$6:$A$505,0)),""))</x:f>
      </x:c>
      <x:c r="H283" s="29" t="str">
        <x:f>IF(B283="","",IFERROR(INDEX('05_BAO_CAO_NGAY'!$J$6:$J$505,MATCH(B283,'05_BAO_CAO_NGAY'!$A$6:$A$505,0)),""))</x:f>
      </x:c>
      <x:c r="I283" s="29" t="str">
        <x:f>IF(B283="","",IFERROR(INDEX('05_BAO_CAO_NGAY'!$M$6:$M$505,MATCH(B283,'05_BAO_CAO_NGAY'!$A$6:$A$505,0)),""))</x:f>
      </x:c>
      <x:c r="J283" s="21"/>
      <x:c r="K283" s="29" t="str">
        <x:f>IF(J283="","",IFERROR(INDEX(DM_LY_DO_DUNG!$C$6:$C$105,MATCH(J283,DM_LY_DO_DUNG!$A$6:$A$105,0)),""))</x:f>
      </x:c>
      <x:c r="L283" s="21"/>
      <x:c r="M283" s="21"/>
      <x:c r="N283" s="21"/>
      <x:c r="O283" s="21"/>
      <x:c r="P283" s="21"/>
      <x:c r="Q283" s="43"/>
      <x:c r="R283" s="29" t="str">
        <x:f>IF(A283="","",IF(OR(B283="",C283="",D283="",J283=""),"Thiếu dữ liệu",IF(D283&lt;C283,"Sai thời gian",IF(AND(P283="Đã đóng",Q283=""),"Thiếu thời điểm đóng","Hợp lệ"))))</x:f>
      </x:c>
    </x:row>
    <x:row r="284">
      <x:c r="A284" s="21"/>
      <x:c r="B284" s="21"/>
      <x:c r="C284" s="43"/>
      <x:c r="D284" s="43"/>
      <x:c r="E284" s="39" t="str">
        <x:f>IF(A284="","",MAX(0,(D284-C284)*1440))</x:f>
      </x:c>
      <x:c r="F284" s="29" t="str">
        <x:f>IF(B284="","",IFERROR(INDEX('05_BAO_CAO_NGAY'!$D$6:$D$505,MATCH(B284,'05_BAO_CAO_NGAY'!$A$6:$A$505,0)),""))</x:f>
      </x:c>
      <x:c r="G284" s="29" t="str">
        <x:f>IF(B284="","",IFERROR(INDEX('05_BAO_CAO_NGAY'!$E$6:$E$505,MATCH(B284,'05_BAO_CAO_NGAY'!$A$6:$A$505,0)),""))</x:f>
      </x:c>
      <x:c r="H284" s="29" t="str">
        <x:f>IF(B284="","",IFERROR(INDEX('05_BAO_CAO_NGAY'!$J$6:$J$505,MATCH(B284,'05_BAO_CAO_NGAY'!$A$6:$A$505,0)),""))</x:f>
      </x:c>
      <x:c r="I284" s="29" t="str">
        <x:f>IF(B284="","",IFERROR(INDEX('05_BAO_CAO_NGAY'!$M$6:$M$505,MATCH(B284,'05_BAO_CAO_NGAY'!$A$6:$A$505,0)),""))</x:f>
      </x:c>
      <x:c r="J284" s="21"/>
      <x:c r="K284" s="29" t="str">
        <x:f>IF(J284="","",IFERROR(INDEX(DM_LY_DO_DUNG!$C$6:$C$105,MATCH(J284,DM_LY_DO_DUNG!$A$6:$A$105,0)),""))</x:f>
      </x:c>
      <x:c r="L284" s="21"/>
      <x:c r="M284" s="21"/>
      <x:c r="N284" s="21"/>
      <x:c r="O284" s="21"/>
      <x:c r="P284" s="21"/>
      <x:c r="Q284" s="43"/>
      <x:c r="R284" s="29" t="str">
        <x:f>IF(A284="","",IF(OR(B284="",C284="",D284="",J284=""),"Thiếu dữ liệu",IF(D284&lt;C284,"Sai thời gian",IF(AND(P284="Đã đóng",Q284=""),"Thiếu thời điểm đóng","Hợp lệ"))))</x:f>
      </x:c>
    </x:row>
    <x:row r="285">
      <x:c r="A285" s="21"/>
      <x:c r="B285" s="21"/>
      <x:c r="C285" s="43"/>
      <x:c r="D285" s="43"/>
      <x:c r="E285" s="39" t="str">
        <x:f>IF(A285="","",MAX(0,(D285-C285)*1440))</x:f>
      </x:c>
      <x:c r="F285" s="29" t="str">
        <x:f>IF(B285="","",IFERROR(INDEX('05_BAO_CAO_NGAY'!$D$6:$D$505,MATCH(B285,'05_BAO_CAO_NGAY'!$A$6:$A$505,0)),""))</x:f>
      </x:c>
      <x:c r="G285" s="29" t="str">
        <x:f>IF(B285="","",IFERROR(INDEX('05_BAO_CAO_NGAY'!$E$6:$E$505,MATCH(B285,'05_BAO_CAO_NGAY'!$A$6:$A$505,0)),""))</x:f>
      </x:c>
      <x:c r="H285" s="29" t="str">
        <x:f>IF(B285="","",IFERROR(INDEX('05_BAO_CAO_NGAY'!$J$6:$J$505,MATCH(B285,'05_BAO_CAO_NGAY'!$A$6:$A$505,0)),""))</x:f>
      </x:c>
      <x:c r="I285" s="29" t="str">
        <x:f>IF(B285="","",IFERROR(INDEX('05_BAO_CAO_NGAY'!$M$6:$M$505,MATCH(B285,'05_BAO_CAO_NGAY'!$A$6:$A$505,0)),""))</x:f>
      </x:c>
      <x:c r="J285" s="21"/>
      <x:c r="K285" s="29" t="str">
        <x:f>IF(J285="","",IFERROR(INDEX(DM_LY_DO_DUNG!$C$6:$C$105,MATCH(J285,DM_LY_DO_DUNG!$A$6:$A$105,0)),""))</x:f>
      </x:c>
      <x:c r="L285" s="21"/>
      <x:c r="M285" s="21"/>
      <x:c r="N285" s="21"/>
      <x:c r="O285" s="21"/>
      <x:c r="P285" s="21"/>
      <x:c r="Q285" s="43"/>
      <x:c r="R285" s="29" t="str">
        <x:f>IF(A285="","",IF(OR(B285="",C285="",D285="",J285=""),"Thiếu dữ liệu",IF(D285&lt;C285,"Sai thời gian",IF(AND(P285="Đã đóng",Q285=""),"Thiếu thời điểm đóng","Hợp lệ"))))</x:f>
      </x:c>
    </x:row>
    <x:row r="286">
      <x:c r="A286" s="21"/>
      <x:c r="B286" s="21"/>
      <x:c r="C286" s="43"/>
      <x:c r="D286" s="43"/>
      <x:c r="E286" s="39" t="str">
        <x:f>IF(A286="","",MAX(0,(D286-C286)*1440))</x:f>
      </x:c>
      <x:c r="F286" s="29" t="str">
        <x:f>IF(B286="","",IFERROR(INDEX('05_BAO_CAO_NGAY'!$D$6:$D$505,MATCH(B286,'05_BAO_CAO_NGAY'!$A$6:$A$505,0)),""))</x:f>
      </x:c>
      <x:c r="G286" s="29" t="str">
        <x:f>IF(B286="","",IFERROR(INDEX('05_BAO_CAO_NGAY'!$E$6:$E$505,MATCH(B286,'05_BAO_CAO_NGAY'!$A$6:$A$505,0)),""))</x:f>
      </x:c>
      <x:c r="H286" s="29" t="str">
        <x:f>IF(B286="","",IFERROR(INDEX('05_BAO_CAO_NGAY'!$J$6:$J$505,MATCH(B286,'05_BAO_CAO_NGAY'!$A$6:$A$505,0)),""))</x:f>
      </x:c>
      <x:c r="I286" s="29" t="str">
        <x:f>IF(B286="","",IFERROR(INDEX('05_BAO_CAO_NGAY'!$M$6:$M$505,MATCH(B286,'05_BAO_CAO_NGAY'!$A$6:$A$505,0)),""))</x:f>
      </x:c>
      <x:c r="J286" s="21"/>
      <x:c r="K286" s="29" t="str">
        <x:f>IF(J286="","",IFERROR(INDEX(DM_LY_DO_DUNG!$C$6:$C$105,MATCH(J286,DM_LY_DO_DUNG!$A$6:$A$105,0)),""))</x:f>
      </x:c>
      <x:c r="L286" s="21"/>
      <x:c r="M286" s="21"/>
      <x:c r="N286" s="21"/>
      <x:c r="O286" s="21"/>
      <x:c r="P286" s="21"/>
      <x:c r="Q286" s="43"/>
      <x:c r="R286" s="29" t="str">
        <x:f>IF(A286="","",IF(OR(B286="",C286="",D286="",J286=""),"Thiếu dữ liệu",IF(D286&lt;C286,"Sai thời gian",IF(AND(P286="Đã đóng",Q286=""),"Thiếu thời điểm đóng","Hợp lệ"))))</x:f>
      </x:c>
    </x:row>
    <x:row r="287">
      <x:c r="A287" s="21"/>
      <x:c r="B287" s="21"/>
      <x:c r="C287" s="43"/>
      <x:c r="D287" s="43"/>
      <x:c r="E287" s="39" t="str">
        <x:f>IF(A287="","",MAX(0,(D287-C287)*1440))</x:f>
      </x:c>
      <x:c r="F287" s="29" t="str">
        <x:f>IF(B287="","",IFERROR(INDEX('05_BAO_CAO_NGAY'!$D$6:$D$505,MATCH(B287,'05_BAO_CAO_NGAY'!$A$6:$A$505,0)),""))</x:f>
      </x:c>
      <x:c r="G287" s="29" t="str">
        <x:f>IF(B287="","",IFERROR(INDEX('05_BAO_CAO_NGAY'!$E$6:$E$505,MATCH(B287,'05_BAO_CAO_NGAY'!$A$6:$A$505,0)),""))</x:f>
      </x:c>
      <x:c r="H287" s="29" t="str">
        <x:f>IF(B287="","",IFERROR(INDEX('05_BAO_CAO_NGAY'!$J$6:$J$505,MATCH(B287,'05_BAO_CAO_NGAY'!$A$6:$A$505,0)),""))</x:f>
      </x:c>
      <x:c r="I287" s="29" t="str">
        <x:f>IF(B287="","",IFERROR(INDEX('05_BAO_CAO_NGAY'!$M$6:$M$505,MATCH(B287,'05_BAO_CAO_NGAY'!$A$6:$A$505,0)),""))</x:f>
      </x:c>
      <x:c r="J287" s="21"/>
      <x:c r="K287" s="29" t="str">
        <x:f>IF(J287="","",IFERROR(INDEX(DM_LY_DO_DUNG!$C$6:$C$105,MATCH(J287,DM_LY_DO_DUNG!$A$6:$A$105,0)),""))</x:f>
      </x:c>
      <x:c r="L287" s="21"/>
      <x:c r="M287" s="21"/>
      <x:c r="N287" s="21"/>
      <x:c r="O287" s="21"/>
      <x:c r="P287" s="21"/>
      <x:c r="Q287" s="43"/>
      <x:c r="R287" s="29" t="str">
        <x:f>IF(A287="","",IF(OR(B287="",C287="",D287="",J287=""),"Thiếu dữ liệu",IF(D287&lt;C287,"Sai thời gian",IF(AND(P287="Đã đóng",Q287=""),"Thiếu thời điểm đóng","Hợp lệ"))))</x:f>
      </x:c>
    </x:row>
    <x:row r="288">
      <x:c r="A288" s="21"/>
      <x:c r="B288" s="21"/>
      <x:c r="C288" s="43"/>
      <x:c r="D288" s="43"/>
      <x:c r="E288" s="39" t="str">
        <x:f>IF(A288="","",MAX(0,(D288-C288)*1440))</x:f>
      </x:c>
      <x:c r="F288" s="29" t="str">
        <x:f>IF(B288="","",IFERROR(INDEX('05_BAO_CAO_NGAY'!$D$6:$D$505,MATCH(B288,'05_BAO_CAO_NGAY'!$A$6:$A$505,0)),""))</x:f>
      </x:c>
      <x:c r="G288" s="29" t="str">
        <x:f>IF(B288="","",IFERROR(INDEX('05_BAO_CAO_NGAY'!$E$6:$E$505,MATCH(B288,'05_BAO_CAO_NGAY'!$A$6:$A$505,0)),""))</x:f>
      </x:c>
      <x:c r="H288" s="29" t="str">
        <x:f>IF(B288="","",IFERROR(INDEX('05_BAO_CAO_NGAY'!$J$6:$J$505,MATCH(B288,'05_BAO_CAO_NGAY'!$A$6:$A$505,0)),""))</x:f>
      </x:c>
      <x:c r="I288" s="29" t="str">
        <x:f>IF(B288="","",IFERROR(INDEX('05_BAO_CAO_NGAY'!$M$6:$M$505,MATCH(B288,'05_BAO_CAO_NGAY'!$A$6:$A$505,0)),""))</x:f>
      </x:c>
      <x:c r="J288" s="21"/>
      <x:c r="K288" s="29" t="str">
        <x:f>IF(J288="","",IFERROR(INDEX(DM_LY_DO_DUNG!$C$6:$C$105,MATCH(J288,DM_LY_DO_DUNG!$A$6:$A$105,0)),""))</x:f>
      </x:c>
      <x:c r="L288" s="21"/>
      <x:c r="M288" s="21"/>
      <x:c r="N288" s="21"/>
      <x:c r="O288" s="21"/>
      <x:c r="P288" s="21"/>
      <x:c r="Q288" s="43"/>
      <x:c r="R288" s="29" t="str">
        <x:f>IF(A288="","",IF(OR(B288="",C288="",D288="",J288=""),"Thiếu dữ liệu",IF(D288&lt;C288,"Sai thời gian",IF(AND(P288="Đã đóng",Q288=""),"Thiếu thời điểm đóng","Hợp lệ"))))</x:f>
      </x:c>
    </x:row>
    <x:row r="289">
      <x:c r="A289" s="21"/>
      <x:c r="B289" s="21"/>
      <x:c r="C289" s="43"/>
      <x:c r="D289" s="43"/>
      <x:c r="E289" s="39" t="str">
        <x:f>IF(A289="","",MAX(0,(D289-C289)*1440))</x:f>
      </x:c>
      <x:c r="F289" s="29" t="str">
        <x:f>IF(B289="","",IFERROR(INDEX('05_BAO_CAO_NGAY'!$D$6:$D$505,MATCH(B289,'05_BAO_CAO_NGAY'!$A$6:$A$505,0)),""))</x:f>
      </x:c>
      <x:c r="G289" s="29" t="str">
        <x:f>IF(B289="","",IFERROR(INDEX('05_BAO_CAO_NGAY'!$E$6:$E$505,MATCH(B289,'05_BAO_CAO_NGAY'!$A$6:$A$505,0)),""))</x:f>
      </x:c>
      <x:c r="H289" s="29" t="str">
        <x:f>IF(B289="","",IFERROR(INDEX('05_BAO_CAO_NGAY'!$J$6:$J$505,MATCH(B289,'05_BAO_CAO_NGAY'!$A$6:$A$505,0)),""))</x:f>
      </x:c>
      <x:c r="I289" s="29" t="str">
        <x:f>IF(B289="","",IFERROR(INDEX('05_BAO_CAO_NGAY'!$M$6:$M$505,MATCH(B289,'05_BAO_CAO_NGAY'!$A$6:$A$505,0)),""))</x:f>
      </x:c>
      <x:c r="J289" s="21"/>
      <x:c r="K289" s="29" t="str">
        <x:f>IF(J289="","",IFERROR(INDEX(DM_LY_DO_DUNG!$C$6:$C$105,MATCH(J289,DM_LY_DO_DUNG!$A$6:$A$105,0)),""))</x:f>
      </x:c>
      <x:c r="L289" s="21"/>
      <x:c r="M289" s="21"/>
      <x:c r="N289" s="21"/>
      <x:c r="O289" s="21"/>
      <x:c r="P289" s="21"/>
      <x:c r="Q289" s="43"/>
      <x:c r="R289" s="29" t="str">
        <x:f>IF(A289="","",IF(OR(B289="",C289="",D289="",J289=""),"Thiếu dữ liệu",IF(D289&lt;C289,"Sai thời gian",IF(AND(P289="Đã đóng",Q289=""),"Thiếu thời điểm đóng","Hợp lệ"))))</x:f>
      </x:c>
    </x:row>
    <x:row r="290">
      <x:c r="A290" s="21"/>
      <x:c r="B290" s="21"/>
      <x:c r="C290" s="43"/>
      <x:c r="D290" s="43"/>
      <x:c r="E290" s="39" t="str">
        <x:f>IF(A290="","",MAX(0,(D290-C290)*1440))</x:f>
      </x:c>
      <x:c r="F290" s="29" t="str">
        <x:f>IF(B290="","",IFERROR(INDEX('05_BAO_CAO_NGAY'!$D$6:$D$505,MATCH(B290,'05_BAO_CAO_NGAY'!$A$6:$A$505,0)),""))</x:f>
      </x:c>
      <x:c r="G290" s="29" t="str">
        <x:f>IF(B290="","",IFERROR(INDEX('05_BAO_CAO_NGAY'!$E$6:$E$505,MATCH(B290,'05_BAO_CAO_NGAY'!$A$6:$A$505,0)),""))</x:f>
      </x:c>
      <x:c r="H290" s="29" t="str">
        <x:f>IF(B290="","",IFERROR(INDEX('05_BAO_CAO_NGAY'!$J$6:$J$505,MATCH(B290,'05_BAO_CAO_NGAY'!$A$6:$A$505,0)),""))</x:f>
      </x:c>
      <x:c r="I290" s="29" t="str">
        <x:f>IF(B290="","",IFERROR(INDEX('05_BAO_CAO_NGAY'!$M$6:$M$505,MATCH(B290,'05_BAO_CAO_NGAY'!$A$6:$A$505,0)),""))</x:f>
      </x:c>
      <x:c r="J290" s="21"/>
      <x:c r="K290" s="29" t="str">
        <x:f>IF(J290="","",IFERROR(INDEX(DM_LY_DO_DUNG!$C$6:$C$105,MATCH(J290,DM_LY_DO_DUNG!$A$6:$A$105,0)),""))</x:f>
      </x:c>
      <x:c r="L290" s="21"/>
      <x:c r="M290" s="21"/>
      <x:c r="N290" s="21"/>
      <x:c r="O290" s="21"/>
      <x:c r="P290" s="21"/>
      <x:c r="Q290" s="43"/>
      <x:c r="R290" s="29" t="str">
        <x:f>IF(A290="","",IF(OR(B290="",C290="",D290="",J290=""),"Thiếu dữ liệu",IF(D290&lt;C290,"Sai thời gian",IF(AND(P290="Đã đóng",Q290=""),"Thiếu thời điểm đóng","Hợp lệ"))))</x:f>
      </x:c>
    </x:row>
    <x:row r="291">
      <x:c r="A291" s="21"/>
      <x:c r="B291" s="21"/>
      <x:c r="C291" s="43"/>
      <x:c r="D291" s="43"/>
      <x:c r="E291" s="39" t="str">
        <x:f>IF(A291="","",MAX(0,(D291-C291)*1440))</x:f>
      </x:c>
      <x:c r="F291" s="29" t="str">
        <x:f>IF(B291="","",IFERROR(INDEX('05_BAO_CAO_NGAY'!$D$6:$D$505,MATCH(B291,'05_BAO_CAO_NGAY'!$A$6:$A$505,0)),""))</x:f>
      </x:c>
      <x:c r="G291" s="29" t="str">
        <x:f>IF(B291="","",IFERROR(INDEX('05_BAO_CAO_NGAY'!$E$6:$E$505,MATCH(B291,'05_BAO_CAO_NGAY'!$A$6:$A$505,0)),""))</x:f>
      </x:c>
      <x:c r="H291" s="29" t="str">
        <x:f>IF(B291="","",IFERROR(INDEX('05_BAO_CAO_NGAY'!$J$6:$J$505,MATCH(B291,'05_BAO_CAO_NGAY'!$A$6:$A$505,0)),""))</x:f>
      </x:c>
      <x:c r="I291" s="29" t="str">
        <x:f>IF(B291="","",IFERROR(INDEX('05_BAO_CAO_NGAY'!$M$6:$M$505,MATCH(B291,'05_BAO_CAO_NGAY'!$A$6:$A$505,0)),""))</x:f>
      </x:c>
      <x:c r="J291" s="21"/>
      <x:c r="K291" s="29" t="str">
        <x:f>IF(J291="","",IFERROR(INDEX(DM_LY_DO_DUNG!$C$6:$C$105,MATCH(J291,DM_LY_DO_DUNG!$A$6:$A$105,0)),""))</x:f>
      </x:c>
      <x:c r="L291" s="21"/>
      <x:c r="M291" s="21"/>
      <x:c r="N291" s="21"/>
      <x:c r="O291" s="21"/>
      <x:c r="P291" s="21"/>
      <x:c r="Q291" s="43"/>
      <x:c r="R291" s="29" t="str">
        <x:f>IF(A291="","",IF(OR(B291="",C291="",D291="",J291=""),"Thiếu dữ liệu",IF(D291&lt;C291,"Sai thời gian",IF(AND(P291="Đã đóng",Q291=""),"Thiếu thời điểm đóng","Hợp lệ"))))</x:f>
      </x:c>
    </x:row>
    <x:row r="292">
      <x:c r="A292" s="21"/>
      <x:c r="B292" s="21"/>
      <x:c r="C292" s="43"/>
      <x:c r="D292" s="43"/>
      <x:c r="E292" s="39" t="str">
        <x:f>IF(A292="","",MAX(0,(D292-C292)*1440))</x:f>
      </x:c>
      <x:c r="F292" s="29" t="str">
        <x:f>IF(B292="","",IFERROR(INDEX('05_BAO_CAO_NGAY'!$D$6:$D$505,MATCH(B292,'05_BAO_CAO_NGAY'!$A$6:$A$505,0)),""))</x:f>
      </x:c>
      <x:c r="G292" s="29" t="str">
        <x:f>IF(B292="","",IFERROR(INDEX('05_BAO_CAO_NGAY'!$E$6:$E$505,MATCH(B292,'05_BAO_CAO_NGAY'!$A$6:$A$505,0)),""))</x:f>
      </x:c>
      <x:c r="H292" s="29" t="str">
        <x:f>IF(B292="","",IFERROR(INDEX('05_BAO_CAO_NGAY'!$J$6:$J$505,MATCH(B292,'05_BAO_CAO_NGAY'!$A$6:$A$505,0)),""))</x:f>
      </x:c>
      <x:c r="I292" s="29" t="str">
        <x:f>IF(B292="","",IFERROR(INDEX('05_BAO_CAO_NGAY'!$M$6:$M$505,MATCH(B292,'05_BAO_CAO_NGAY'!$A$6:$A$505,0)),""))</x:f>
      </x:c>
      <x:c r="J292" s="21"/>
      <x:c r="K292" s="29" t="str">
        <x:f>IF(J292="","",IFERROR(INDEX(DM_LY_DO_DUNG!$C$6:$C$105,MATCH(J292,DM_LY_DO_DUNG!$A$6:$A$105,0)),""))</x:f>
      </x:c>
      <x:c r="L292" s="21"/>
      <x:c r="M292" s="21"/>
      <x:c r="N292" s="21"/>
      <x:c r="O292" s="21"/>
      <x:c r="P292" s="21"/>
      <x:c r="Q292" s="43"/>
      <x:c r="R292" s="29" t="str">
        <x:f>IF(A292="","",IF(OR(B292="",C292="",D292="",J292=""),"Thiếu dữ liệu",IF(D292&lt;C292,"Sai thời gian",IF(AND(P292="Đã đóng",Q292=""),"Thiếu thời điểm đóng","Hợp lệ"))))</x:f>
      </x:c>
    </x:row>
    <x:row r="293">
      <x:c r="A293" s="21"/>
      <x:c r="B293" s="21"/>
      <x:c r="C293" s="43"/>
      <x:c r="D293" s="43"/>
      <x:c r="E293" s="39" t="str">
        <x:f>IF(A293="","",MAX(0,(D293-C293)*1440))</x:f>
      </x:c>
      <x:c r="F293" s="29" t="str">
        <x:f>IF(B293="","",IFERROR(INDEX('05_BAO_CAO_NGAY'!$D$6:$D$505,MATCH(B293,'05_BAO_CAO_NGAY'!$A$6:$A$505,0)),""))</x:f>
      </x:c>
      <x:c r="G293" s="29" t="str">
        <x:f>IF(B293="","",IFERROR(INDEX('05_BAO_CAO_NGAY'!$E$6:$E$505,MATCH(B293,'05_BAO_CAO_NGAY'!$A$6:$A$505,0)),""))</x:f>
      </x:c>
      <x:c r="H293" s="29" t="str">
        <x:f>IF(B293="","",IFERROR(INDEX('05_BAO_CAO_NGAY'!$J$6:$J$505,MATCH(B293,'05_BAO_CAO_NGAY'!$A$6:$A$505,0)),""))</x:f>
      </x:c>
      <x:c r="I293" s="29" t="str">
        <x:f>IF(B293="","",IFERROR(INDEX('05_BAO_CAO_NGAY'!$M$6:$M$505,MATCH(B293,'05_BAO_CAO_NGAY'!$A$6:$A$505,0)),""))</x:f>
      </x:c>
      <x:c r="J293" s="21"/>
      <x:c r="K293" s="29" t="str">
        <x:f>IF(J293="","",IFERROR(INDEX(DM_LY_DO_DUNG!$C$6:$C$105,MATCH(J293,DM_LY_DO_DUNG!$A$6:$A$105,0)),""))</x:f>
      </x:c>
      <x:c r="L293" s="21"/>
      <x:c r="M293" s="21"/>
      <x:c r="N293" s="21"/>
      <x:c r="O293" s="21"/>
      <x:c r="P293" s="21"/>
      <x:c r="Q293" s="43"/>
      <x:c r="R293" s="29" t="str">
        <x:f>IF(A293="","",IF(OR(B293="",C293="",D293="",J293=""),"Thiếu dữ liệu",IF(D293&lt;C293,"Sai thời gian",IF(AND(P293="Đã đóng",Q293=""),"Thiếu thời điểm đóng","Hợp lệ"))))</x:f>
      </x:c>
    </x:row>
    <x:row r="294">
      <x:c r="A294" s="21"/>
      <x:c r="B294" s="21"/>
      <x:c r="C294" s="43"/>
      <x:c r="D294" s="43"/>
      <x:c r="E294" s="39" t="str">
        <x:f>IF(A294="","",MAX(0,(D294-C294)*1440))</x:f>
      </x:c>
      <x:c r="F294" s="29" t="str">
        <x:f>IF(B294="","",IFERROR(INDEX('05_BAO_CAO_NGAY'!$D$6:$D$505,MATCH(B294,'05_BAO_CAO_NGAY'!$A$6:$A$505,0)),""))</x:f>
      </x:c>
      <x:c r="G294" s="29" t="str">
        <x:f>IF(B294="","",IFERROR(INDEX('05_BAO_CAO_NGAY'!$E$6:$E$505,MATCH(B294,'05_BAO_CAO_NGAY'!$A$6:$A$505,0)),""))</x:f>
      </x:c>
      <x:c r="H294" s="29" t="str">
        <x:f>IF(B294="","",IFERROR(INDEX('05_BAO_CAO_NGAY'!$J$6:$J$505,MATCH(B294,'05_BAO_CAO_NGAY'!$A$6:$A$505,0)),""))</x:f>
      </x:c>
      <x:c r="I294" s="29" t="str">
        <x:f>IF(B294="","",IFERROR(INDEX('05_BAO_CAO_NGAY'!$M$6:$M$505,MATCH(B294,'05_BAO_CAO_NGAY'!$A$6:$A$505,0)),""))</x:f>
      </x:c>
      <x:c r="J294" s="21"/>
      <x:c r="K294" s="29" t="str">
        <x:f>IF(J294="","",IFERROR(INDEX(DM_LY_DO_DUNG!$C$6:$C$105,MATCH(J294,DM_LY_DO_DUNG!$A$6:$A$105,0)),""))</x:f>
      </x:c>
      <x:c r="L294" s="21"/>
      <x:c r="M294" s="21"/>
      <x:c r="N294" s="21"/>
      <x:c r="O294" s="21"/>
      <x:c r="P294" s="21"/>
      <x:c r="Q294" s="43"/>
      <x:c r="R294" s="29" t="str">
        <x:f>IF(A294="","",IF(OR(B294="",C294="",D294="",J294=""),"Thiếu dữ liệu",IF(D294&lt;C294,"Sai thời gian",IF(AND(P294="Đã đóng",Q294=""),"Thiếu thời điểm đóng","Hợp lệ"))))</x:f>
      </x:c>
    </x:row>
    <x:row r="295">
      <x:c r="A295" s="21"/>
      <x:c r="B295" s="21"/>
      <x:c r="C295" s="43"/>
      <x:c r="D295" s="43"/>
      <x:c r="E295" s="39" t="str">
        <x:f>IF(A295="","",MAX(0,(D295-C295)*1440))</x:f>
      </x:c>
      <x:c r="F295" s="29" t="str">
        <x:f>IF(B295="","",IFERROR(INDEX('05_BAO_CAO_NGAY'!$D$6:$D$505,MATCH(B295,'05_BAO_CAO_NGAY'!$A$6:$A$505,0)),""))</x:f>
      </x:c>
      <x:c r="G295" s="29" t="str">
        <x:f>IF(B295="","",IFERROR(INDEX('05_BAO_CAO_NGAY'!$E$6:$E$505,MATCH(B295,'05_BAO_CAO_NGAY'!$A$6:$A$505,0)),""))</x:f>
      </x:c>
      <x:c r="H295" s="29" t="str">
        <x:f>IF(B295="","",IFERROR(INDEX('05_BAO_CAO_NGAY'!$J$6:$J$505,MATCH(B295,'05_BAO_CAO_NGAY'!$A$6:$A$505,0)),""))</x:f>
      </x:c>
      <x:c r="I295" s="29" t="str">
        <x:f>IF(B295="","",IFERROR(INDEX('05_BAO_CAO_NGAY'!$M$6:$M$505,MATCH(B295,'05_BAO_CAO_NGAY'!$A$6:$A$505,0)),""))</x:f>
      </x:c>
      <x:c r="J295" s="21"/>
      <x:c r="K295" s="29" t="str">
        <x:f>IF(J295="","",IFERROR(INDEX(DM_LY_DO_DUNG!$C$6:$C$105,MATCH(J295,DM_LY_DO_DUNG!$A$6:$A$105,0)),""))</x:f>
      </x:c>
      <x:c r="L295" s="21"/>
      <x:c r="M295" s="21"/>
      <x:c r="N295" s="21"/>
      <x:c r="O295" s="21"/>
      <x:c r="P295" s="21"/>
      <x:c r="Q295" s="43"/>
      <x:c r="R295" s="29" t="str">
        <x:f>IF(A295="","",IF(OR(B295="",C295="",D295="",J295=""),"Thiếu dữ liệu",IF(D295&lt;C295,"Sai thời gian",IF(AND(P295="Đã đóng",Q295=""),"Thiếu thời điểm đóng","Hợp lệ"))))</x:f>
      </x:c>
    </x:row>
    <x:row r="296">
      <x:c r="A296" s="21"/>
      <x:c r="B296" s="21"/>
      <x:c r="C296" s="43"/>
      <x:c r="D296" s="43"/>
      <x:c r="E296" s="39" t="str">
        <x:f>IF(A296="","",MAX(0,(D296-C296)*1440))</x:f>
      </x:c>
      <x:c r="F296" s="29" t="str">
        <x:f>IF(B296="","",IFERROR(INDEX('05_BAO_CAO_NGAY'!$D$6:$D$505,MATCH(B296,'05_BAO_CAO_NGAY'!$A$6:$A$505,0)),""))</x:f>
      </x:c>
      <x:c r="G296" s="29" t="str">
        <x:f>IF(B296="","",IFERROR(INDEX('05_BAO_CAO_NGAY'!$E$6:$E$505,MATCH(B296,'05_BAO_CAO_NGAY'!$A$6:$A$505,0)),""))</x:f>
      </x:c>
      <x:c r="H296" s="29" t="str">
        <x:f>IF(B296="","",IFERROR(INDEX('05_BAO_CAO_NGAY'!$J$6:$J$505,MATCH(B296,'05_BAO_CAO_NGAY'!$A$6:$A$505,0)),""))</x:f>
      </x:c>
      <x:c r="I296" s="29" t="str">
        <x:f>IF(B296="","",IFERROR(INDEX('05_BAO_CAO_NGAY'!$M$6:$M$505,MATCH(B296,'05_BAO_CAO_NGAY'!$A$6:$A$505,0)),""))</x:f>
      </x:c>
      <x:c r="J296" s="21"/>
      <x:c r="K296" s="29" t="str">
        <x:f>IF(J296="","",IFERROR(INDEX(DM_LY_DO_DUNG!$C$6:$C$105,MATCH(J296,DM_LY_DO_DUNG!$A$6:$A$105,0)),""))</x:f>
      </x:c>
      <x:c r="L296" s="21"/>
      <x:c r="M296" s="21"/>
      <x:c r="N296" s="21"/>
      <x:c r="O296" s="21"/>
      <x:c r="P296" s="21"/>
      <x:c r="Q296" s="43"/>
      <x:c r="R296" s="29" t="str">
        <x:f>IF(A296="","",IF(OR(B296="",C296="",D296="",J296=""),"Thiếu dữ liệu",IF(D296&lt;C296,"Sai thời gian",IF(AND(P296="Đã đóng",Q296=""),"Thiếu thời điểm đóng","Hợp lệ"))))</x:f>
      </x:c>
    </x:row>
    <x:row r="297">
      <x:c r="A297" s="21"/>
      <x:c r="B297" s="21"/>
      <x:c r="C297" s="43"/>
      <x:c r="D297" s="43"/>
      <x:c r="E297" s="39" t="str">
        <x:f>IF(A297="","",MAX(0,(D297-C297)*1440))</x:f>
      </x:c>
      <x:c r="F297" s="29" t="str">
        <x:f>IF(B297="","",IFERROR(INDEX('05_BAO_CAO_NGAY'!$D$6:$D$505,MATCH(B297,'05_BAO_CAO_NGAY'!$A$6:$A$505,0)),""))</x:f>
      </x:c>
      <x:c r="G297" s="29" t="str">
        <x:f>IF(B297="","",IFERROR(INDEX('05_BAO_CAO_NGAY'!$E$6:$E$505,MATCH(B297,'05_BAO_CAO_NGAY'!$A$6:$A$505,0)),""))</x:f>
      </x:c>
      <x:c r="H297" s="29" t="str">
        <x:f>IF(B297="","",IFERROR(INDEX('05_BAO_CAO_NGAY'!$J$6:$J$505,MATCH(B297,'05_BAO_CAO_NGAY'!$A$6:$A$505,0)),""))</x:f>
      </x:c>
      <x:c r="I297" s="29" t="str">
        <x:f>IF(B297="","",IFERROR(INDEX('05_BAO_CAO_NGAY'!$M$6:$M$505,MATCH(B297,'05_BAO_CAO_NGAY'!$A$6:$A$505,0)),""))</x:f>
      </x:c>
      <x:c r="J297" s="21"/>
      <x:c r="K297" s="29" t="str">
        <x:f>IF(J297="","",IFERROR(INDEX(DM_LY_DO_DUNG!$C$6:$C$105,MATCH(J297,DM_LY_DO_DUNG!$A$6:$A$105,0)),""))</x:f>
      </x:c>
      <x:c r="L297" s="21"/>
      <x:c r="M297" s="21"/>
      <x:c r="N297" s="21"/>
      <x:c r="O297" s="21"/>
      <x:c r="P297" s="21"/>
      <x:c r="Q297" s="43"/>
      <x:c r="R297" s="29" t="str">
        <x:f>IF(A297="","",IF(OR(B297="",C297="",D297="",J297=""),"Thiếu dữ liệu",IF(D297&lt;C297,"Sai thời gian",IF(AND(P297="Đã đóng",Q297=""),"Thiếu thời điểm đóng","Hợp lệ"))))</x:f>
      </x:c>
    </x:row>
    <x:row r="298">
      <x:c r="A298" s="21"/>
      <x:c r="B298" s="21"/>
      <x:c r="C298" s="43"/>
      <x:c r="D298" s="43"/>
      <x:c r="E298" s="39" t="str">
        <x:f>IF(A298="","",MAX(0,(D298-C298)*1440))</x:f>
      </x:c>
      <x:c r="F298" s="29" t="str">
        <x:f>IF(B298="","",IFERROR(INDEX('05_BAO_CAO_NGAY'!$D$6:$D$505,MATCH(B298,'05_BAO_CAO_NGAY'!$A$6:$A$505,0)),""))</x:f>
      </x:c>
      <x:c r="G298" s="29" t="str">
        <x:f>IF(B298="","",IFERROR(INDEX('05_BAO_CAO_NGAY'!$E$6:$E$505,MATCH(B298,'05_BAO_CAO_NGAY'!$A$6:$A$505,0)),""))</x:f>
      </x:c>
      <x:c r="H298" s="29" t="str">
        <x:f>IF(B298="","",IFERROR(INDEX('05_BAO_CAO_NGAY'!$J$6:$J$505,MATCH(B298,'05_BAO_CAO_NGAY'!$A$6:$A$505,0)),""))</x:f>
      </x:c>
      <x:c r="I298" s="29" t="str">
        <x:f>IF(B298="","",IFERROR(INDEX('05_BAO_CAO_NGAY'!$M$6:$M$505,MATCH(B298,'05_BAO_CAO_NGAY'!$A$6:$A$505,0)),""))</x:f>
      </x:c>
      <x:c r="J298" s="21"/>
      <x:c r="K298" s="29" t="str">
        <x:f>IF(J298="","",IFERROR(INDEX(DM_LY_DO_DUNG!$C$6:$C$105,MATCH(J298,DM_LY_DO_DUNG!$A$6:$A$105,0)),""))</x:f>
      </x:c>
      <x:c r="L298" s="21"/>
      <x:c r="M298" s="21"/>
      <x:c r="N298" s="21"/>
      <x:c r="O298" s="21"/>
      <x:c r="P298" s="21"/>
      <x:c r="Q298" s="43"/>
      <x:c r="R298" s="29" t="str">
        <x:f>IF(A298="","",IF(OR(B298="",C298="",D298="",J298=""),"Thiếu dữ liệu",IF(D298&lt;C298,"Sai thời gian",IF(AND(P298="Đã đóng",Q298=""),"Thiếu thời điểm đóng","Hợp lệ"))))</x:f>
      </x:c>
    </x:row>
    <x:row r="299">
      <x:c r="A299" s="21"/>
      <x:c r="B299" s="21"/>
      <x:c r="C299" s="43"/>
      <x:c r="D299" s="43"/>
      <x:c r="E299" s="39" t="str">
        <x:f>IF(A299="","",MAX(0,(D299-C299)*1440))</x:f>
      </x:c>
      <x:c r="F299" s="29" t="str">
        <x:f>IF(B299="","",IFERROR(INDEX('05_BAO_CAO_NGAY'!$D$6:$D$505,MATCH(B299,'05_BAO_CAO_NGAY'!$A$6:$A$505,0)),""))</x:f>
      </x:c>
      <x:c r="G299" s="29" t="str">
        <x:f>IF(B299="","",IFERROR(INDEX('05_BAO_CAO_NGAY'!$E$6:$E$505,MATCH(B299,'05_BAO_CAO_NGAY'!$A$6:$A$505,0)),""))</x:f>
      </x:c>
      <x:c r="H299" s="29" t="str">
        <x:f>IF(B299="","",IFERROR(INDEX('05_BAO_CAO_NGAY'!$J$6:$J$505,MATCH(B299,'05_BAO_CAO_NGAY'!$A$6:$A$505,0)),""))</x:f>
      </x:c>
      <x:c r="I299" s="29" t="str">
        <x:f>IF(B299="","",IFERROR(INDEX('05_BAO_CAO_NGAY'!$M$6:$M$505,MATCH(B299,'05_BAO_CAO_NGAY'!$A$6:$A$505,0)),""))</x:f>
      </x:c>
      <x:c r="J299" s="21"/>
      <x:c r="K299" s="29" t="str">
        <x:f>IF(J299="","",IFERROR(INDEX(DM_LY_DO_DUNG!$C$6:$C$105,MATCH(J299,DM_LY_DO_DUNG!$A$6:$A$105,0)),""))</x:f>
      </x:c>
      <x:c r="L299" s="21"/>
      <x:c r="M299" s="21"/>
      <x:c r="N299" s="21"/>
      <x:c r="O299" s="21"/>
      <x:c r="P299" s="21"/>
      <x:c r="Q299" s="43"/>
      <x:c r="R299" s="29" t="str">
        <x:f>IF(A299="","",IF(OR(B299="",C299="",D299="",J299=""),"Thiếu dữ liệu",IF(D299&lt;C299,"Sai thời gian",IF(AND(P299="Đã đóng",Q299=""),"Thiếu thời điểm đóng","Hợp lệ"))))</x:f>
      </x:c>
    </x:row>
    <x:row r="300">
      <x:c r="A300" s="21"/>
      <x:c r="B300" s="21"/>
      <x:c r="C300" s="43"/>
      <x:c r="D300" s="43"/>
      <x:c r="E300" s="39" t="str">
        <x:f>IF(A300="","",MAX(0,(D300-C300)*1440))</x:f>
      </x:c>
      <x:c r="F300" s="29" t="str">
        <x:f>IF(B300="","",IFERROR(INDEX('05_BAO_CAO_NGAY'!$D$6:$D$505,MATCH(B300,'05_BAO_CAO_NGAY'!$A$6:$A$505,0)),""))</x:f>
      </x:c>
      <x:c r="G300" s="29" t="str">
        <x:f>IF(B300="","",IFERROR(INDEX('05_BAO_CAO_NGAY'!$E$6:$E$505,MATCH(B300,'05_BAO_CAO_NGAY'!$A$6:$A$505,0)),""))</x:f>
      </x:c>
      <x:c r="H300" s="29" t="str">
        <x:f>IF(B300="","",IFERROR(INDEX('05_BAO_CAO_NGAY'!$J$6:$J$505,MATCH(B300,'05_BAO_CAO_NGAY'!$A$6:$A$505,0)),""))</x:f>
      </x:c>
      <x:c r="I300" s="29" t="str">
        <x:f>IF(B300="","",IFERROR(INDEX('05_BAO_CAO_NGAY'!$M$6:$M$505,MATCH(B300,'05_BAO_CAO_NGAY'!$A$6:$A$505,0)),""))</x:f>
      </x:c>
      <x:c r="J300" s="21"/>
      <x:c r="K300" s="29" t="str">
        <x:f>IF(J300="","",IFERROR(INDEX(DM_LY_DO_DUNG!$C$6:$C$105,MATCH(J300,DM_LY_DO_DUNG!$A$6:$A$105,0)),""))</x:f>
      </x:c>
      <x:c r="L300" s="21"/>
      <x:c r="M300" s="21"/>
      <x:c r="N300" s="21"/>
      <x:c r="O300" s="21"/>
      <x:c r="P300" s="21"/>
      <x:c r="Q300" s="43"/>
      <x:c r="R300" s="29" t="str">
        <x:f>IF(A300="","",IF(OR(B300="",C300="",D300="",J300=""),"Thiếu dữ liệu",IF(D300&lt;C300,"Sai thời gian",IF(AND(P300="Đã đóng",Q300=""),"Thiếu thời điểm đóng","Hợp lệ"))))</x:f>
      </x:c>
    </x:row>
    <x:row r="301">
      <x:c r="A301" s="21"/>
      <x:c r="B301" s="21"/>
      <x:c r="C301" s="43"/>
      <x:c r="D301" s="43"/>
      <x:c r="E301" s="39" t="str">
        <x:f>IF(A301="","",MAX(0,(D301-C301)*1440))</x:f>
      </x:c>
      <x:c r="F301" s="29" t="str">
        <x:f>IF(B301="","",IFERROR(INDEX('05_BAO_CAO_NGAY'!$D$6:$D$505,MATCH(B301,'05_BAO_CAO_NGAY'!$A$6:$A$505,0)),""))</x:f>
      </x:c>
      <x:c r="G301" s="29" t="str">
        <x:f>IF(B301="","",IFERROR(INDEX('05_BAO_CAO_NGAY'!$E$6:$E$505,MATCH(B301,'05_BAO_CAO_NGAY'!$A$6:$A$505,0)),""))</x:f>
      </x:c>
      <x:c r="H301" s="29" t="str">
        <x:f>IF(B301="","",IFERROR(INDEX('05_BAO_CAO_NGAY'!$J$6:$J$505,MATCH(B301,'05_BAO_CAO_NGAY'!$A$6:$A$505,0)),""))</x:f>
      </x:c>
      <x:c r="I301" s="29" t="str">
        <x:f>IF(B301="","",IFERROR(INDEX('05_BAO_CAO_NGAY'!$M$6:$M$505,MATCH(B301,'05_BAO_CAO_NGAY'!$A$6:$A$505,0)),""))</x:f>
      </x:c>
      <x:c r="J301" s="21"/>
      <x:c r="K301" s="29" t="str">
        <x:f>IF(J301="","",IFERROR(INDEX(DM_LY_DO_DUNG!$C$6:$C$105,MATCH(J301,DM_LY_DO_DUNG!$A$6:$A$105,0)),""))</x:f>
      </x:c>
      <x:c r="L301" s="21"/>
      <x:c r="M301" s="21"/>
      <x:c r="N301" s="21"/>
      <x:c r="O301" s="21"/>
      <x:c r="P301" s="21"/>
      <x:c r="Q301" s="43"/>
      <x:c r="R301" s="29" t="str">
        <x:f>IF(A301="","",IF(OR(B301="",C301="",D301="",J301=""),"Thiếu dữ liệu",IF(D301&lt;C301,"Sai thời gian",IF(AND(P301="Đã đóng",Q301=""),"Thiếu thời điểm đóng","Hợp lệ"))))</x:f>
      </x:c>
    </x:row>
    <x:row r="302">
      <x:c r="A302" s="21"/>
      <x:c r="B302" s="21"/>
      <x:c r="C302" s="43"/>
      <x:c r="D302" s="43"/>
      <x:c r="E302" s="39" t="str">
        <x:f>IF(A302="","",MAX(0,(D302-C302)*1440))</x:f>
      </x:c>
      <x:c r="F302" s="29" t="str">
        <x:f>IF(B302="","",IFERROR(INDEX('05_BAO_CAO_NGAY'!$D$6:$D$505,MATCH(B302,'05_BAO_CAO_NGAY'!$A$6:$A$505,0)),""))</x:f>
      </x:c>
      <x:c r="G302" s="29" t="str">
        <x:f>IF(B302="","",IFERROR(INDEX('05_BAO_CAO_NGAY'!$E$6:$E$505,MATCH(B302,'05_BAO_CAO_NGAY'!$A$6:$A$505,0)),""))</x:f>
      </x:c>
      <x:c r="H302" s="29" t="str">
        <x:f>IF(B302="","",IFERROR(INDEX('05_BAO_CAO_NGAY'!$J$6:$J$505,MATCH(B302,'05_BAO_CAO_NGAY'!$A$6:$A$505,0)),""))</x:f>
      </x:c>
      <x:c r="I302" s="29" t="str">
        <x:f>IF(B302="","",IFERROR(INDEX('05_BAO_CAO_NGAY'!$M$6:$M$505,MATCH(B302,'05_BAO_CAO_NGAY'!$A$6:$A$505,0)),""))</x:f>
      </x:c>
      <x:c r="J302" s="21"/>
      <x:c r="K302" s="29" t="str">
        <x:f>IF(J302="","",IFERROR(INDEX(DM_LY_DO_DUNG!$C$6:$C$105,MATCH(J302,DM_LY_DO_DUNG!$A$6:$A$105,0)),""))</x:f>
      </x:c>
      <x:c r="L302" s="21"/>
      <x:c r="M302" s="21"/>
      <x:c r="N302" s="21"/>
      <x:c r="O302" s="21"/>
      <x:c r="P302" s="21"/>
      <x:c r="Q302" s="43"/>
      <x:c r="R302" s="29" t="str">
        <x:f>IF(A302="","",IF(OR(B302="",C302="",D302="",J302=""),"Thiếu dữ liệu",IF(D302&lt;C302,"Sai thời gian",IF(AND(P302="Đã đóng",Q302=""),"Thiếu thời điểm đóng","Hợp lệ"))))</x:f>
      </x:c>
    </x:row>
    <x:row r="303">
      <x:c r="A303" s="21"/>
      <x:c r="B303" s="21"/>
      <x:c r="C303" s="43"/>
      <x:c r="D303" s="43"/>
      <x:c r="E303" s="39" t="str">
        <x:f>IF(A303="","",MAX(0,(D303-C303)*1440))</x:f>
      </x:c>
      <x:c r="F303" s="29" t="str">
        <x:f>IF(B303="","",IFERROR(INDEX('05_BAO_CAO_NGAY'!$D$6:$D$505,MATCH(B303,'05_BAO_CAO_NGAY'!$A$6:$A$505,0)),""))</x:f>
      </x:c>
      <x:c r="G303" s="29" t="str">
        <x:f>IF(B303="","",IFERROR(INDEX('05_BAO_CAO_NGAY'!$E$6:$E$505,MATCH(B303,'05_BAO_CAO_NGAY'!$A$6:$A$505,0)),""))</x:f>
      </x:c>
      <x:c r="H303" s="29" t="str">
        <x:f>IF(B303="","",IFERROR(INDEX('05_BAO_CAO_NGAY'!$J$6:$J$505,MATCH(B303,'05_BAO_CAO_NGAY'!$A$6:$A$505,0)),""))</x:f>
      </x:c>
      <x:c r="I303" s="29" t="str">
        <x:f>IF(B303="","",IFERROR(INDEX('05_BAO_CAO_NGAY'!$M$6:$M$505,MATCH(B303,'05_BAO_CAO_NGAY'!$A$6:$A$505,0)),""))</x:f>
      </x:c>
      <x:c r="J303" s="21"/>
      <x:c r="K303" s="29" t="str">
        <x:f>IF(J303="","",IFERROR(INDEX(DM_LY_DO_DUNG!$C$6:$C$105,MATCH(J303,DM_LY_DO_DUNG!$A$6:$A$105,0)),""))</x:f>
      </x:c>
      <x:c r="L303" s="21"/>
      <x:c r="M303" s="21"/>
      <x:c r="N303" s="21"/>
      <x:c r="O303" s="21"/>
      <x:c r="P303" s="21"/>
      <x:c r="Q303" s="43"/>
      <x:c r="R303" s="29" t="str">
        <x:f>IF(A303="","",IF(OR(B303="",C303="",D303="",J303=""),"Thiếu dữ liệu",IF(D303&lt;C303,"Sai thời gian",IF(AND(P303="Đã đóng",Q303=""),"Thiếu thời điểm đóng","Hợp lệ"))))</x:f>
      </x:c>
    </x:row>
    <x:row r="304">
      <x:c r="A304" s="21"/>
      <x:c r="B304" s="21"/>
      <x:c r="C304" s="43"/>
      <x:c r="D304" s="43"/>
      <x:c r="E304" s="39" t="str">
        <x:f>IF(A304="","",MAX(0,(D304-C304)*1440))</x:f>
      </x:c>
      <x:c r="F304" s="29" t="str">
        <x:f>IF(B304="","",IFERROR(INDEX('05_BAO_CAO_NGAY'!$D$6:$D$505,MATCH(B304,'05_BAO_CAO_NGAY'!$A$6:$A$505,0)),""))</x:f>
      </x:c>
      <x:c r="G304" s="29" t="str">
        <x:f>IF(B304="","",IFERROR(INDEX('05_BAO_CAO_NGAY'!$E$6:$E$505,MATCH(B304,'05_BAO_CAO_NGAY'!$A$6:$A$505,0)),""))</x:f>
      </x:c>
      <x:c r="H304" s="29" t="str">
        <x:f>IF(B304="","",IFERROR(INDEX('05_BAO_CAO_NGAY'!$J$6:$J$505,MATCH(B304,'05_BAO_CAO_NGAY'!$A$6:$A$505,0)),""))</x:f>
      </x:c>
      <x:c r="I304" s="29" t="str">
        <x:f>IF(B304="","",IFERROR(INDEX('05_BAO_CAO_NGAY'!$M$6:$M$505,MATCH(B304,'05_BAO_CAO_NGAY'!$A$6:$A$505,0)),""))</x:f>
      </x:c>
      <x:c r="J304" s="21"/>
      <x:c r="K304" s="29" t="str">
        <x:f>IF(J304="","",IFERROR(INDEX(DM_LY_DO_DUNG!$C$6:$C$105,MATCH(J304,DM_LY_DO_DUNG!$A$6:$A$105,0)),""))</x:f>
      </x:c>
      <x:c r="L304" s="21"/>
      <x:c r="M304" s="21"/>
      <x:c r="N304" s="21"/>
      <x:c r="O304" s="21"/>
      <x:c r="P304" s="21"/>
      <x:c r="Q304" s="43"/>
      <x:c r="R304" s="29" t="str">
        <x:f>IF(A304="","",IF(OR(B304="",C304="",D304="",J304=""),"Thiếu dữ liệu",IF(D304&lt;C304,"Sai thời gian",IF(AND(P304="Đã đóng",Q304=""),"Thiếu thời điểm đóng","Hợp lệ"))))</x:f>
      </x:c>
    </x:row>
    <x:row r="305">
      <x:c r="A305" s="21"/>
      <x:c r="B305" s="21"/>
      <x:c r="C305" s="43"/>
      <x:c r="D305" s="43"/>
      <x:c r="E305" s="39" t="str">
        <x:f>IF(A305="","",MAX(0,(D305-C305)*1440))</x:f>
      </x:c>
      <x:c r="F305" s="29" t="str">
        <x:f>IF(B305="","",IFERROR(INDEX('05_BAO_CAO_NGAY'!$D$6:$D$505,MATCH(B305,'05_BAO_CAO_NGAY'!$A$6:$A$505,0)),""))</x:f>
      </x:c>
      <x:c r="G305" s="29" t="str">
        <x:f>IF(B305="","",IFERROR(INDEX('05_BAO_CAO_NGAY'!$E$6:$E$505,MATCH(B305,'05_BAO_CAO_NGAY'!$A$6:$A$505,0)),""))</x:f>
      </x:c>
      <x:c r="H305" s="29" t="str">
        <x:f>IF(B305="","",IFERROR(INDEX('05_BAO_CAO_NGAY'!$J$6:$J$505,MATCH(B305,'05_BAO_CAO_NGAY'!$A$6:$A$505,0)),""))</x:f>
      </x:c>
      <x:c r="I305" s="29" t="str">
        <x:f>IF(B305="","",IFERROR(INDEX('05_BAO_CAO_NGAY'!$M$6:$M$505,MATCH(B305,'05_BAO_CAO_NGAY'!$A$6:$A$505,0)),""))</x:f>
      </x:c>
      <x:c r="J305" s="21"/>
      <x:c r="K305" s="29" t="str">
        <x:f>IF(J305="","",IFERROR(INDEX(DM_LY_DO_DUNG!$C$6:$C$105,MATCH(J305,DM_LY_DO_DUNG!$A$6:$A$105,0)),""))</x:f>
      </x:c>
      <x:c r="L305" s="21"/>
      <x:c r="M305" s="21"/>
      <x:c r="N305" s="21"/>
      <x:c r="O305" s="21"/>
      <x:c r="P305" s="21"/>
      <x:c r="Q305" s="43"/>
      <x:c r="R305" s="29" t="str">
        <x:f>IF(A305="","",IF(OR(B305="",C305="",D305="",J305=""),"Thiếu dữ liệu",IF(D305&lt;C305,"Sai thời gian",IF(AND(P305="Đã đóng",Q305=""),"Thiếu thời điểm đóng","Hợp lệ"))))</x:f>
      </x:c>
    </x:row>
    <x:row r="306">
      <x:c r="A306" s="21"/>
      <x:c r="B306" s="21"/>
      <x:c r="C306" s="43"/>
      <x:c r="D306" s="43"/>
      <x:c r="E306" s="39" t="str">
        <x:f>IF(A306="","",MAX(0,(D306-C306)*1440))</x:f>
      </x:c>
      <x:c r="F306" s="29" t="str">
        <x:f>IF(B306="","",IFERROR(INDEX('05_BAO_CAO_NGAY'!$D$6:$D$505,MATCH(B306,'05_BAO_CAO_NGAY'!$A$6:$A$505,0)),""))</x:f>
      </x:c>
      <x:c r="G306" s="29" t="str">
        <x:f>IF(B306="","",IFERROR(INDEX('05_BAO_CAO_NGAY'!$E$6:$E$505,MATCH(B306,'05_BAO_CAO_NGAY'!$A$6:$A$505,0)),""))</x:f>
      </x:c>
      <x:c r="H306" s="29" t="str">
        <x:f>IF(B306="","",IFERROR(INDEX('05_BAO_CAO_NGAY'!$J$6:$J$505,MATCH(B306,'05_BAO_CAO_NGAY'!$A$6:$A$505,0)),""))</x:f>
      </x:c>
      <x:c r="I306" s="29" t="str">
        <x:f>IF(B306="","",IFERROR(INDEX('05_BAO_CAO_NGAY'!$M$6:$M$505,MATCH(B306,'05_BAO_CAO_NGAY'!$A$6:$A$505,0)),""))</x:f>
      </x:c>
      <x:c r="J306" s="21"/>
      <x:c r="K306" s="29" t="str">
        <x:f>IF(J306="","",IFERROR(INDEX(DM_LY_DO_DUNG!$C$6:$C$105,MATCH(J306,DM_LY_DO_DUNG!$A$6:$A$105,0)),""))</x:f>
      </x:c>
      <x:c r="L306" s="21"/>
      <x:c r="M306" s="21"/>
      <x:c r="N306" s="21"/>
      <x:c r="O306" s="21"/>
      <x:c r="P306" s="21"/>
      <x:c r="Q306" s="43"/>
      <x:c r="R306" s="29" t="str">
        <x:f>IF(A306="","",IF(OR(B306="",C306="",D306="",J306=""),"Thiếu dữ liệu",IF(D306&lt;C306,"Sai thời gian",IF(AND(P306="Đã đóng",Q306=""),"Thiếu thời điểm đóng","Hợp lệ"))))</x:f>
      </x:c>
    </x:row>
    <x:row r="307">
      <x:c r="A307" s="21"/>
      <x:c r="B307" s="21"/>
      <x:c r="C307" s="43"/>
      <x:c r="D307" s="43"/>
      <x:c r="E307" s="39" t="str">
        <x:f>IF(A307="","",MAX(0,(D307-C307)*1440))</x:f>
      </x:c>
      <x:c r="F307" s="29" t="str">
        <x:f>IF(B307="","",IFERROR(INDEX('05_BAO_CAO_NGAY'!$D$6:$D$505,MATCH(B307,'05_BAO_CAO_NGAY'!$A$6:$A$505,0)),""))</x:f>
      </x:c>
      <x:c r="G307" s="29" t="str">
        <x:f>IF(B307="","",IFERROR(INDEX('05_BAO_CAO_NGAY'!$E$6:$E$505,MATCH(B307,'05_BAO_CAO_NGAY'!$A$6:$A$505,0)),""))</x:f>
      </x:c>
      <x:c r="H307" s="29" t="str">
        <x:f>IF(B307="","",IFERROR(INDEX('05_BAO_CAO_NGAY'!$J$6:$J$505,MATCH(B307,'05_BAO_CAO_NGAY'!$A$6:$A$505,0)),""))</x:f>
      </x:c>
      <x:c r="I307" s="29" t="str">
        <x:f>IF(B307="","",IFERROR(INDEX('05_BAO_CAO_NGAY'!$M$6:$M$505,MATCH(B307,'05_BAO_CAO_NGAY'!$A$6:$A$505,0)),""))</x:f>
      </x:c>
      <x:c r="J307" s="21"/>
      <x:c r="K307" s="29" t="str">
        <x:f>IF(J307="","",IFERROR(INDEX(DM_LY_DO_DUNG!$C$6:$C$105,MATCH(J307,DM_LY_DO_DUNG!$A$6:$A$105,0)),""))</x:f>
      </x:c>
      <x:c r="L307" s="21"/>
      <x:c r="M307" s="21"/>
      <x:c r="N307" s="21"/>
      <x:c r="O307" s="21"/>
      <x:c r="P307" s="21"/>
      <x:c r="Q307" s="43"/>
      <x:c r="R307" s="29" t="str">
        <x:f>IF(A307="","",IF(OR(B307="",C307="",D307="",J307=""),"Thiếu dữ liệu",IF(D307&lt;C307,"Sai thời gian",IF(AND(P307="Đã đóng",Q307=""),"Thiếu thời điểm đóng","Hợp lệ"))))</x:f>
      </x:c>
    </x:row>
    <x:row r="308">
      <x:c r="A308" s="21"/>
      <x:c r="B308" s="21"/>
      <x:c r="C308" s="43"/>
      <x:c r="D308" s="43"/>
      <x:c r="E308" s="39" t="str">
        <x:f>IF(A308="","",MAX(0,(D308-C308)*1440))</x:f>
      </x:c>
      <x:c r="F308" s="29" t="str">
        <x:f>IF(B308="","",IFERROR(INDEX('05_BAO_CAO_NGAY'!$D$6:$D$505,MATCH(B308,'05_BAO_CAO_NGAY'!$A$6:$A$505,0)),""))</x:f>
      </x:c>
      <x:c r="G308" s="29" t="str">
        <x:f>IF(B308="","",IFERROR(INDEX('05_BAO_CAO_NGAY'!$E$6:$E$505,MATCH(B308,'05_BAO_CAO_NGAY'!$A$6:$A$505,0)),""))</x:f>
      </x:c>
      <x:c r="H308" s="29" t="str">
        <x:f>IF(B308="","",IFERROR(INDEX('05_BAO_CAO_NGAY'!$J$6:$J$505,MATCH(B308,'05_BAO_CAO_NGAY'!$A$6:$A$505,0)),""))</x:f>
      </x:c>
      <x:c r="I308" s="29" t="str">
        <x:f>IF(B308="","",IFERROR(INDEX('05_BAO_CAO_NGAY'!$M$6:$M$505,MATCH(B308,'05_BAO_CAO_NGAY'!$A$6:$A$505,0)),""))</x:f>
      </x:c>
      <x:c r="J308" s="21"/>
      <x:c r="K308" s="29" t="str">
        <x:f>IF(J308="","",IFERROR(INDEX(DM_LY_DO_DUNG!$C$6:$C$105,MATCH(J308,DM_LY_DO_DUNG!$A$6:$A$105,0)),""))</x:f>
      </x:c>
      <x:c r="L308" s="21"/>
      <x:c r="M308" s="21"/>
      <x:c r="N308" s="21"/>
      <x:c r="O308" s="21"/>
      <x:c r="P308" s="21"/>
      <x:c r="Q308" s="43"/>
      <x:c r="R308" s="29" t="str">
        <x:f>IF(A308="","",IF(OR(B308="",C308="",D308="",J308=""),"Thiếu dữ liệu",IF(D308&lt;C308,"Sai thời gian",IF(AND(P308="Đã đóng",Q308=""),"Thiếu thời điểm đóng","Hợp lệ"))))</x:f>
      </x:c>
    </x:row>
    <x:row r="309">
      <x:c r="A309" s="21"/>
      <x:c r="B309" s="21"/>
      <x:c r="C309" s="43"/>
      <x:c r="D309" s="43"/>
      <x:c r="E309" s="39" t="str">
        <x:f>IF(A309="","",MAX(0,(D309-C309)*1440))</x:f>
      </x:c>
      <x:c r="F309" s="29" t="str">
        <x:f>IF(B309="","",IFERROR(INDEX('05_BAO_CAO_NGAY'!$D$6:$D$505,MATCH(B309,'05_BAO_CAO_NGAY'!$A$6:$A$505,0)),""))</x:f>
      </x:c>
      <x:c r="G309" s="29" t="str">
        <x:f>IF(B309="","",IFERROR(INDEX('05_BAO_CAO_NGAY'!$E$6:$E$505,MATCH(B309,'05_BAO_CAO_NGAY'!$A$6:$A$505,0)),""))</x:f>
      </x:c>
      <x:c r="H309" s="29" t="str">
        <x:f>IF(B309="","",IFERROR(INDEX('05_BAO_CAO_NGAY'!$J$6:$J$505,MATCH(B309,'05_BAO_CAO_NGAY'!$A$6:$A$505,0)),""))</x:f>
      </x:c>
      <x:c r="I309" s="29" t="str">
        <x:f>IF(B309="","",IFERROR(INDEX('05_BAO_CAO_NGAY'!$M$6:$M$505,MATCH(B309,'05_BAO_CAO_NGAY'!$A$6:$A$505,0)),""))</x:f>
      </x:c>
      <x:c r="J309" s="21"/>
      <x:c r="K309" s="29" t="str">
        <x:f>IF(J309="","",IFERROR(INDEX(DM_LY_DO_DUNG!$C$6:$C$105,MATCH(J309,DM_LY_DO_DUNG!$A$6:$A$105,0)),""))</x:f>
      </x:c>
      <x:c r="L309" s="21"/>
      <x:c r="M309" s="21"/>
      <x:c r="N309" s="21"/>
      <x:c r="O309" s="21"/>
      <x:c r="P309" s="21"/>
      <x:c r="Q309" s="43"/>
      <x:c r="R309" s="29" t="str">
        <x:f>IF(A309="","",IF(OR(B309="",C309="",D309="",J309=""),"Thiếu dữ liệu",IF(D309&lt;C309,"Sai thời gian",IF(AND(P309="Đã đóng",Q309=""),"Thiếu thời điểm đóng","Hợp lệ"))))</x:f>
      </x:c>
    </x:row>
    <x:row r="310">
      <x:c r="A310" s="21"/>
      <x:c r="B310" s="21"/>
      <x:c r="C310" s="43"/>
      <x:c r="D310" s="43"/>
      <x:c r="E310" s="39" t="str">
        <x:f>IF(A310="","",MAX(0,(D310-C310)*1440))</x:f>
      </x:c>
      <x:c r="F310" s="29" t="str">
        <x:f>IF(B310="","",IFERROR(INDEX('05_BAO_CAO_NGAY'!$D$6:$D$505,MATCH(B310,'05_BAO_CAO_NGAY'!$A$6:$A$505,0)),""))</x:f>
      </x:c>
      <x:c r="G310" s="29" t="str">
        <x:f>IF(B310="","",IFERROR(INDEX('05_BAO_CAO_NGAY'!$E$6:$E$505,MATCH(B310,'05_BAO_CAO_NGAY'!$A$6:$A$505,0)),""))</x:f>
      </x:c>
      <x:c r="H310" s="29" t="str">
        <x:f>IF(B310="","",IFERROR(INDEX('05_BAO_CAO_NGAY'!$J$6:$J$505,MATCH(B310,'05_BAO_CAO_NGAY'!$A$6:$A$505,0)),""))</x:f>
      </x:c>
      <x:c r="I310" s="29" t="str">
        <x:f>IF(B310="","",IFERROR(INDEX('05_BAO_CAO_NGAY'!$M$6:$M$505,MATCH(B310,'05_BAO_CAO_NGAY'!$A$6:$A$505,0)),""))</x:f>
      </x:c>
      <x:c r="J310" s="21"/>
      <x:c r="K310" s="29" t="str">
        <x:f>IF(J310="","",IFERROR(INDEX(DM_LY_DO_DUNG!$C$6:$C$105,MATCH(J310,DM_LY_DO_DUNG!$A$6:$A$105,0)),""))</x:f>
      </x:c>
      <x:c r="L310" s="21"/>
      <x:c r="M310" s="21"/>
      <x:c r="N310" s="21"/>
      <x:c r="O310" s="21"/>
      <x:c r="P310" s="21"/>
      <x:c r="Q310" s="43"/>
      <x:c r="R310" s="29" t="str">
        <x:f>IF(A310="","",IF(OR(B310="",C310="",D310="",J310=""),"Thiếu dữ liệu",IF(D310&lt;C310,"Sai thời gian",IF(AND(P310="Đã đóng",Q310=""),"Thiếu thời điểm đóng","Hợp lệ"))))</x:f>
      </x:c>
    </x:row>
    <x:row r="311">
      <x:c r="A311" s="21"/>
      <x:c r="B311" s="21"/>
      <x:c r="C311" s="43"/>
      <x:c r="D311" s="43"/>
      <x:c r="E311" s="39" t="str">
        <x:f>IF(A311="","",MAX(0,(D311-C311)*1440))</x:f>
      </x:c>
      <x:c r="F311" s="29" t="str">
        <x:f>IF(B311="","",IFERROR(INDEX('05_BAO_CAO_NGAY'!$D$6:$D$505,MATCH(B311,'05_BAO_CAO_NGAY'!$A$6:$A$505,0)),""))</x:f>
      </x:c>
      <x:c r="G311" s="29" t="str">
        <x:f>IF(B311="","",IFERROR(INDEX('05_BAO_CAO_NGAY'!$E$6:$E$505,MATCH(B311,'05_BAO_CAO_NGAY'!$A$6:$A$505,0)),""))</x:f>
      </x:c>
      <x:c r="H311" s="29" t="str">
        <x:f>IF(B311="","",IFERROR(INDEX('05_BAO_CAO_NGAY'!$J$6:$J$505,MATCH(B311,'05_BAO_CAO_NGAY'!$A$6:$A$505,0)),""))</x:f>
      </x:c>
      <x:c r="I311" s="29" t="str">
        <x:f>IF(B311="","",IFERROR(INDEX('05_BAO_CAO_NGAY'!$M$6:$M$505,MATCH(B311,'05_BAO_CAO_NGAY'!$A$6:$A$505,0)),""))</x:f>
      </x:c>
      <x:c r="J311" s="21"/>
      <x:c r="K311" s="29" t="str">
        <x:f>IF(J311="","",IFERROR(INDEX(DM_LY_DO_DUNG!$C$6:$C$105,MATCH(J311,DM_LY_DO_DUNG!$A$6:$A$105,0)),""))</x:f>
      </x:c>
      <x:c r="L311" s="21"/>
      <x:c r="M311" s="21"/>
      <x:c r="N311" s="21"/>
      <x:c r="O311" s="21"/>
      <x:c r="P311" s="21"/>
      <x:c r="Q311" s="43"/>
      <x:c r="R311" s="29" t="str">
        <x:f>IF(A311="","",IF(OR(B311="",C311="",D311="",J311=""),"Thiếu dữ liệu",IF(D311&lt;C311,"Sai thời gian",IF(AND(P311="Đã đóng",Q311=""),"Thiếu thời điểm đóng","Hợp lệ"))))</x:f>
      </x:c>
    </x:row>
    <x:row r="312">
      <x:c r="A312" s="21"/>
      <x:c r="B312" s="21"/>
      <x:c r="C312" s="43"/>
      <x:c r="D312" s="43"/>
      <x:c r="E312" s="39" t="str">
        <x:f>IF(A312="","",MAX(0,(D312-C312)*1440))</x:f>
      </x:c>
      <x:c r="F312" s="29" t="str">
        <x:f>IF(B312="","",IFERROR(INDEX('05_BAO_CAO_NGAY'!$D$6:$D$505,MATCH(B312,'05_BAO_CAO_NGAY'!$A$6:$A$505,0)),""))</x:f>
      </x:c>
      <x:c r="G312" s="29" t="str">
        <x:f>IF(B312="","",IFERROR(INDEX('05_BAO_CAO_NGAY'!$E$6:$E$505,MATCH(B312,'05_BAO_CAO_NGAY'!$A$6:$A$505,0)),""))</x:f>
      </x:c>
      <x:c r="H312" s="29" t="str">
        <x:f>IF(B312="","",IFERROR(INDEX('05_BAO_CAO_NGAY'!$J$6:$J$505,MATCH(B312,'05_BAO_CAO_NGAY'!$A$6:$A$505,0)),""))</x:f>
      </x:c>
      <x:c r="I312" s="29" t="str">
        <x:f>IF(B312="","",IFERROR(INDEX('05_BAO_CAO_NGAY'!$M$6:$M$505,MATCH(B312,'05_BAO_CAO_NGAY'!$A$6:$A$505,0)),""))</x:f>
      </x:c>
      <x:c r="J312" s="21"/>
      <x:c r="K312" s="29" t="str">
        <x:f>IF(J312="","",IFERROR(INDEX(DM_LY_DO_DUNG!$C$6:$C$105,MATCH(J312,DM_LY_DO_DUNG!$A$6:$A$105,0)),""))</x:f>
      </x:c>
      <x:c r="L312" s="21"/>
      <x:c r="M312" s="21"/>
      <x:c r="N312" s="21"/>
      <x:c r="O312" s="21"/>
      <x:c r="P312" s="21"/>
      <x:c r="Q312" s="43"/>
      <x:c r="R312" s="29" t="str">
        <x:f>IF(A312="","",IF(OR(B312="",C312="",D312="",J312=""),"Thiếu dữ liệu",IF(D312&lt;C312,"Sai thời gian",IF(AND(P312="Đã đóng",Q312=""),"Thiếu thời điểm đóng","Hợp lệ"))))</x:f>
      </x:c>
    </x:row>
    <x:row r="313">
      <x:c r="A313" s="21"/>
      <x:c r="B313" s="21"/>
      <x:c r="C313" s="43"/>
      <x:c r="D313" s="43"/>
      <x:c r="E313" s="39" t="str">
        <x:f>IF(A313="","",MAX(0,(D313-C313)*1440))</x:f>
      </x:c>
      <x:c r="F313" s="29" t="str">
        <x:f>IF(B313="","",IFERROR(INDEX('05_BAO_CAO_NGAY'!$D$6:$D$505,MATCH(B313,'05_BAO_CAO_NGAY'!$A$6:$A$505,0)),""))</x:f>
      </x:c>
      <x:c r="G313" s="29" t="str">
        <x:f>IF(B313="","",IFERROR(INDEX('05_BAO_CAO_NGAY'!$E$6:$E$505,MATCH(B313,'05_BAO_CAO_NGAY'!$A$6:$A$505,0)),""))</x:f>
      </x:c>
      <x:c r="H313" s="29" t="str">
        <x:f>IF(B313="","",IFERROR(INDEX('05_BAO_CAO_NGAY'!$J$6:$J$505,MATCH(B313,'05_BAO_CAO_NGAY'!$A$6:$A$505,0)),""))</x:f>
      </x:c>
      <x:c r="I313" s="29" t="str">
        <x:f>IF(B313="","",IFERROR(INDEX('05_BAO_CAO_NGAY'!$M$6:$M$505,MATCH(B313,'05_BAO_CAO_NGAY'!$A$6:$A$505,0)),""))</x:f>
      </x:c>
      <x:c r="J313" s="21"/>
      <x:c r="K313" s="29" t="str">
        <x:f>IF(J313="","",IFERROR(INDEX(DM_LY_DO_DUNG!$C$6:$C$105,MATCH(J313,DM_LY_DO_DUNG!$A$6:$A$105,0)),""))</x:f>
      </x:c>
      <x:c r="L313" s="21"/>
      <x:c r="M313" s="21"/>
      <x:c r="N313" s="21"/>
      <x:c r="O313" s="21"/>
      <x:c r="P313" s="21"/>
      <x:c r="Q313" s="43"/>
      <x:c r="R313" s="29" t="str">
        <x:f>IF(A313="","",IF(OR(B313="",C313="",D313="",J313=""),"Thiếu dữ liệu",IF(D313&lt;C313,"Sai thời gian",IF(AND(P313="Đã đóng",Q313=""),"Thiếu thời điểm đóng","Hợp lệ"))))</x:f>
      </x:c>
    </x:row>
    <x:row r="314">
      <x:c r="A314" s="21"/>
      <x:c r="B314" s="21"/>
      <x:c r="C314" s="43"/>
      <x:c r="D314" s="43"/>
      <x:c r="E314" s="39" t="str">
        <x:f>IF(A314="","",MAX(0,(D314-C314)*1440))</x:f>
      </x:c>
      <x:c r="F314" s="29" t="str">
        <x:f>IF(B314="","",IFERROR(INDEX('05_BAO_CAO_NGAY'!$D$6:$D$505,MATCH(B314,'05_BAO_CAO_NGAY'!$A$6:$A$505,0)),""))</x:f>
      </x:c>
      <x:c r="G314" s="29" t="str">
        <x:f>IF(B314="","",IFERROR(INDEX('05_BAO_CAO_NGAY'!$E$6:$E$505,MATCH(B314,'05_BAO_CAO_NGAY'!$A$6:$A$505,0)),""))</x:f>
      </x:c>
      <x:c r="H314" s="29" t="str">
        <x:f>IF(B314="","",IFERROR(INDEX('05_BAO_CAO_NGAY'!$J$6:$J$505,MATCH(B314,'05_BAO_CAO_NGAY'!$A$6:$A$505,0)),""))</x:f>
      </x:c>
      <x:c r="I314" s="29" t="str">
        <x:f>IF(B314="","",IFERROR(INDEX('05_BAO_CAO_NGAY'!$M$6:$M$505,MATCH(B314,'05_BAO_CAO_NGAY'!$A$6:$A$505,0)),""))</x:f>
      </x:c>
      <x:c r="J314" s="21"/>
      <x:c r="K314" s="29" t="str">
        <x:f>IF(J314="","",IFERROR(INDEX(DM_LY_DO_DUNG!$C$6:$C$105,MATCH(J314,DM_LY_DO_DUNG!$A$6:$A$105,0)),""))</x:f>
      </x:c>
      <x:c r="L314" s="21"/>
      <x:c r="M314" s="21"/>
      <x:c r="N314" s="21"/>
      <x:c r="O314" s="21"/>
      <x:c r="P314" s="21"/>
      <x:c r="Q314" s="43"/>
      <x:c r="R314" s="29" t="str">
        <x:f>IF(A314="","",IF(OR(B314="",C314="",D314="",J314=""),"Thiếu dữ liệu",IF(D314&lt;C314,"Sai thời gian",IF(AND(P314="Đã đóng",Q314=""),"Thiếu thời điểm đóng","Hợp lệ"))))</x:f>
      </x:c>
    </x:row>
    <x:row r="315">
      <x:c r="A315" s="21"/>
      <x:c r="B315" s="21"/>
      <x:c r="C315" s="43"/>
      <x:c r="D315" s="43"/>
      <x:c r="E315" s="39" t="str">
        <x:f>IF(A315="","",MAX(0,(D315-C315)*1440))</x:f>
      </x:c>
      <x:c r="F315" s="29" t="str">
        <x:f>IF(B315="","",IFERROR(INDEX('05_BAO_CAO_NGAY'!$D$6:$D$505,MATCH(B315,'05_BAO_CAO_NGAY'!$A$6:$A$505,0)),""))</x:f>
      </x:c>
      <x:c r="G315" s="29" t="str">
        <x:f>IF(B315="","",IFERROR(INDEX('05_BAO_CAO_NGAY'!$E$6:$E$505,MATCH(B315,'05_BAO_CAO_NGAY'!$A$6:$A$505,0)),""))</x:f>
      </x:c>
      <x:c r="H315" s="29" t="str">
        <x:f>IF(B315="","",IFERROR(INDEX('05_BAO_CAO_NGAY'!$J$6:$J$505,MATCH(B315,'05_BAO_CAO_NGAY'!$A$6:$A$505,0)),""))</x:f>
      </x:c>
      <x:c r="I315" s="29" t="str">
        <x:f>IF(B315="","",IFERROR(INDEX('05_BAO_CAO_NGAY'!$M$6:$M$505,MATCH(B315,'05_BAO_CAO_NGAY'!$A$6:$A$505,0)),""))</x:f>
      </x:c>
      <x:c r="J315" s="21"/>
      <x:c r="K315" s="29" t="str">
        <x:f>IF(J315="","",IFERROR(INDEX(DM_LY_DO_DUNG!$C$6:$C$105,MATCH(J315,DM_LY_DO_DUNG!$A$6:$A$105,0)),""))</x:f>
      </x:c>
      <x:c r="L315" s="21"/>
      <x:c r="M315" s="21"/>
      <x:c r="N315" s="21"/>
      <x:c r="O315" s="21"/>
      <x:c r="P315" s="21"/>
      <x:c r="Q315" s="43"/>
      <x:c r="R315" s="29" t="str">
        <x:f>IF(A315="","",IF(OR(B315="",C315="",D315="",J315=""),"Thiếu dữ liệu",IF(D315&lt;C315,"Sai thời gian",IF(AND(P315="Đã đóng",Q315=""),"Thiếu thời điểm đóng","Hợp lệ"))))</x:f>
      </x:c>
    </x:row>
    <x:row r="316">
      <x:c r="A316" s="21"/>
      <x:c r="B316" s="21"/>
      <x:c r="C316" s="43"/>
      <x:c r="D316" s="43"/>
      <x:c r="E316" s="39" t="str">
        <x:f>IF(A316="","",MAX(0,(D316-C316)*1440))</x:f>
      </x:c>
      <x:c r="F316" s="29" t="str">
        <x:f>IF(B316="","",IFERROR(INDEX('05_BAO_CAO_NGAY'!$D$6:$D$505,MATCH(B316,'05_BAO_CAO_NGAY'!$A$6:$A$505,0)),""))</x:f>
      </x:c>
      <x:c r="G316" s="29" t="str">
        <x:f>IF(B316="","",IFERROR(INDEX('05_BAO_CAO_NGAY'!$E$6:$E$505,MATCH(B316,'05_BAO_CAO_NGAY'!$A$6:$A$505,0)),""))</x:f>
      </x:c>
      <x:c r="H316" s="29" t="str">
        <x:f>IF(B316="","",IFERROR(INDEX('05_BAO_CAO_NGAY'!$J$6:$J$505,MATCH(B316,'05_BAO_CAO_NGAY'!$A$6:$A$505,0)),""))</x:f>
      </x:c>
      <x:c r="I316" s="29" t="str">
        <x:f>IF(B316="","",IFERROR(INDEX('05_BAO_CAO_NGAY'!$M$6:$M$505,MATCH(B316,'05_BAO_CAO_NGAY'!$A$6:$A$505,0)),""))</x:f>
      </x:c>
      <x:c r="J316" s="21"/>
      <x:c r="K316" s="29" t="str">
        <x:f>IF(J316="","",IFERROR(INDEX(DM_LY_DO_DUNG!$C$6:$C$105,MATCH(J316,DM_LY_DO_DUNG!$A$6:$A$105,0)),""))</x:f>
      </x:c>
      <x:c r="L316" s="21"/>
      <x:c r="M316" s="21"/>
      <x:c r="N316" s="21"/>
      <x:c r="O316" s="21"/>
      <x:c r="P316" s="21"/>
      <x:c r="Q316" s="43"/>
      <x:c r="R316" s="29" t="str">
        <x:f>IF(A316="","",IF(OR(B316="",C316="",D316="",J316=""),"Thiếu dữ liệu",IF(D316&lt;C316,"Sai thời gian",IF(AND(P316="Đã đóng",Q316=""),"Thiếu thời điểm đóng","Hợp lệ"))))</x:f>
      </x:c>
    </x:row>
    <x:row r="317">
      <x:c r="A317" s="21"/>
      <x:c r="B317" s="21"/>
      <x:c r="C317" s="43"/>
      <x:c r="D317" s="43"/>
      <x:c r="E317" s="39" t="str">
        <x:f>IF(A317="","",MAX(0,(D317-C317)*1440))</x:f>
      </x:c>
      <x:c r="F317" s="29" t="str">
        <x:f>IF(B317="","",IFERROR(INDEX('05_BAO_CAO_NGAY'!$D$6:$D$505,MATCH(B317,'05_BAO_CAO_NGAY'!$A$6:$A$505,0)),""))</x:f>
      </x:c>
      <x:c r="G317" s="29" t="str">
        <x:f>IF(B317="","",IFERROR(INDEX('05_BAO_CAO_NGAY'!$E$6:$E$505,MATCH(B317,'05_BAO_CAO_NGAY'!$A$6:$A$505,0)),""))</x:f>
      </x:c>
      <x:c r="H317" s="29" t="str">
        <x:f>IF(B317="","",IFERROR(INDEX('05_BAO_CAO_NGAY'!$J$6:$J$505,MATCH(B317,'05_BAO_CAO_NGAY'!$A$6:$A$505,0)),""))</x:f>
      </x:c>
      <x:c r="I317" s="29" t="str">
        <x:f>IF(B317="","",IFERROR(INDEX('05_BAO_CAO_NGAY'!$M$6:$M$505,MATCH(B317,'05_BAO_CAO_NGAY'!$A$6:$A$505,0)),""))</x:f>
      </x:c>
      <x:c r="J317" s="21"/>
      <x:c r="K317" s="29" t="str">
        <x:f>IF(J317="","",IFERROR(INDEX(DM_LY_DO_DUNG!$C$6:$C$105,MATCH(J317,DM_LY_DO_DUNG!$A$6:$A$105,0)),""))</x:f>
      </x:c>
      <x:c r="L317" s="21"/>
      <x:c r="M317" s="21"/>
      <x:c r="N317" s="21"/>
      <x:c r="O317" s="21"/>
      <x:c r="P317" s="21"/>
      <x:c r="Q317" s="43"/>
      <x:c r="R317" s="29" t="str">
        <x:f>IF(A317="","",IF(OR(B317="",C317="",D317="",J317=""),"Thiếu dữ liệu",IF(D317&lt;C317,"Sai thời gian",IF(AND(P317="Đã đóng",Q317=""),"Thiếu thời điểm đóng","Hợp lệ"))))</x:f>
      </x:c>
    </x:row>
    <x:row r="318">
      <x:c r="A318" s="21"/>
      <x:c r="B318" s="21"/>
      <x:c r="C318" s="43"/>
      <x:c r="D318" s="43"/>
      <x:c r="E318" s="39" t="str">
        <x:f>IF(A318="","",MAX(0,(D318-C318)*1440))</x:f>
      </x:c>
      <x:c r="F318" s="29" t="str">
        <x:f>IF(B318="","",IFERROR(INDEX('05_BAO_CAO_NGAY'!$D$6:$D$505,MATCH(B318,'05_BAO_CAO_NGAY'!$A$6:$A$505,0)),""))</x:f>
      </x:c>
      <x:c r="G318" s="29" t="str">
        <x:f>IF(B318="","",IFERROR(INDEX('05_BAO_CAO_NGAY'!$E$6:$E$505,MATCH(B318,'05_BAO_CAO_NGAY'!$A$6:$A$505,0)),""))</x:f>
      </x:c>
      <x:c r="H318" s="29" t="str">
        <x:f>IF(B318="","",IFERROR(INDEX('05_BAO_CAO_NGAY'!$J$6:$J$505,MATCH(B318,'05_BAO_CAO_NGAY'!$A$6:$A$505,0)),""))</x:f>
      </x:c>
      <x:c r="I318" s="29" t="str">
        <x:f>IF(B318="","",IFERROR(INDEX('05_BAO_CAO_NGAY'!$M$6:$M$505,MATCH(B318,'05_BAO_CAO_NGAY'!$A$6:$A$505,0)),""))</x:f>
      </x:c>
      <x:c r="J318" s="21"/>
      <x:c r="K318" s="29" t="str">
        <x:f>IF(J318="","",IFERROR(INDEX(DM_LY_DO_DUNG!$C$6:$C$105,MATCH(J318,DM_LY_DO_DUNG!$A$6:$A$105,0)),""))</x:f>
      </x:c>
      <x:c r="L318" s="21"/>
      <x:c r="M318" s="21"/>
      <x:c r="N318" s="21"/>
      <x:c r="O318" s="21"/>
      <x:c r="P318" s="21"/>
      <x:c r="Q318" s="43"/>
      <x:c r="R318" s="29" t="str">
        <x:f>IF(A318="","",IF(OR(B318="",C318="",D318="",J318=""),"Thiếu dữ liệu",IF(D318&lt;C318,"Sai thời gian",IF(AND(P318="Đã đóng",Q318=""),"Thiếu thời điểm đóng","Hợp lệ"))))</x:f>
      </x:c>
    </x:row>
    <x:row r="319">
      <x:c r="A319" s="21"/>
      <x:c r="B319" s="21"/>
      <x:c r="C319" s="43"/>
      <x:c r="D319" s="43"/>
      <x:c r="E319" s="39" t="str">
        <x:f>IF(A319="","",MAX(0,(D319-C319)*1440))</x:f>
      </x:c>
      <x:c r="F319" s="29" t="str">
        <x:f>IF(B319="","",IFERROR(INDEX('05_BAO_CAO_NGAY'!$D$6:$D$505,MATCH(B319,'05_BAO_CAO_NGAY'!$A$6:$A$505,0)),""))</x:f>
      </x:c>
      <x:c r="G319" s="29" t="str">
        <x:f>IF(B319="","",IFERROR(INDEX('05_BAO_CAO_NGAY'!$E$6:$E$505,MATCH(B319,'05_BAO_CAO_NGAY'!$A$6:$A$505,0)),""))</x:f>
      </x:c>
      <x:c r="H319" s="29" t="str">
        <x:f>IF(B319="","",IFERROR(INDEX('05_BAO_CAO_NGAY'!$J$6:$J$505,MATCH(B319,'05_BAO_CAO_NGAY'!$A$6:$A$505,0)),""))</x:f>
      </x:c>
      <x:c r="I319" s="29" t="str">
        <x:f>IF(B319="","",IFERROR(INDEX('05_BAO_CAO_NGAY'!$M$6:$M$505,MATCH(B319,'05_BAO_CAO_NGAY'!$A$6:$A$505,0)),""))</x:f>
      </x:c>
      <x:c r="J319" s="21"/>
      <x:c r="K319" s="29" t="str">
        <x:f>IF(J319="","",IFERROR(INDEX(DM_LY_DO_DUNG!$C$6:$C$105,MATCH(J319,DM_LY_DO_DUNG!$A$6:$A$105,0)),""))</x:f>
      </x:c>
      <x:c r="L319" s="21"/>
      <x:c r="M319" s="21"/>
      <x:c r="N319" s="21"/>
      <x:c r="O319" s="21"/>
      <x:c r="P319" s="21"/>
      <x:c r="Q319" s="43"/>
      <x:c r="R319" s="29" t="str">
        <x:f>IF(A319="","",IF(OR(B319="",C319="",D319="",J319=""),"Thiếu dữ liệu",IF(D319&lt;C319,"Sai thời gian",IF(AND(P319="Đã đóng",Q319=""),"Thiếu thời điểm đóng","Hợp lệ"))))</x:f>
      </x:c>
    </x:row>
    <x:row r="320">
      <x:c r="A320" s="21"/>
      <x:c r="B320" s="21"/>
      <x:c r="C320" s="43"/>
      <x:c r="D320" s="43"/>
      <x:c r="E320" s="39" t="str">
        <x:f>IF(A320="","",MAX(0,(D320-C320)*1440))</x:f>
      </x:c>
      <x:c r="F320" s="29" t="str">
        <x:f>IF(B320="","",IFERROR(INDEX('05_BAO_CAO_NGAY'!$D$6:$D$505,MATCH(B320,'05_BAO_CAO_NGAY'!$A$6:$A$505,0)),""))</x:f>
      </x:c>
      <x:c r="G320" s="29" t="str">
        <x:f>IF(B320="","",IFERROR(INDEX('05_BAO_CAO_NGAY'!$E$6:$E$505,MATCH(B320,'05_BAO_CAO_NGAY'!$A$6:$A$505,0)),""))</x:f>
      </x:c>
      <x:c r="H320" s="29" t="str">
        <x:f>IF(B320="","",IFERROR(INDEX('05_BAO_CAO_NGAY'!$J$6:$J$505,MATCH(B320,'05_BAO_CAO_NGAY'!$A$6:$A$505,0)),""))</x:f>
      </x:c>
      <x:c r="I320" s="29" t="str">
        <x:f>IF(B320="","",IFERROR(INDEX('05_BAO_CAO_NGAY'!$M$6:$M$505,MATCH(B320,'05_BAO_CAO_NGAY'!$A$6:$A$505,0)),""))</x:f>
      </x:c>
      <x:c r="J320" s="21"/>
      <x:c r="K320" s="29" t="str">
        <x:f>IF(J320="","",IFERROR(INDEX(DM_LY_DO_DUNG!$C$6:$C$105,MATCH(J320,DM_LY_DO_DUNG!$A$6:$A$105,0)),""))</x:f>
      </x:c>
      <x:c r="L320" s="21"/>
      <x:c r="M320" s="21"/>
      <x:c r="N320" s="21"/>
      <x:c r="O320" s="21"/>
      <x:c r="P320" s="21"/>
      <x:c r="Q320" s="43"/>
      <x:c r="R320" s="29" t="str">
        <x:f>IF(A320="","",IF(OR(B320="",C320="",D320="",J320=""),"Thiếu dữ liệu",IF(D320&lt;C320,"Sai thời gian",IF(AND(P320="Đã đóng",Q320=""),"Thiếu thời điểm đóng","Hợp lệ"))))</x:f>
      </x:c>
    </x:row>
    <x:row r="321">
      <x:c r="A321" s="21"/>
      <x:c r="B321" s="21"/>
      <x:c r="C321" s="43"/>
      <x:c r="D321" s="43"/>
      <x:c r="E321" s="39" t="str">
        <x:f>IF(A321="","",MAX(0,(D321-C321)*1440))</x:f>
      </x:c>
      <x:c r="F321" s="29" t="str">
        <x:f>IF(B321="","",IFERROR(INDEX('05_BAO_CAO_NGAY'!$D$6:$D$505,MATCH(B321,'05_BAO_CAO_NGAY'!$A$6:$A$505,0)),""))</x:f>
      </x:c>
      <x:c r="G321" s="29" t="str">
        <x:f>IF(B321="","",IFERROR(INDEX('05_BAO_CAO_NGAY'!$E$6:$E$505,MATCH(B321,'05_BAO_CAO_NGAY'!$A$6:$A$505,0)),""))</x:f>
      </x:c>
      <x:c r="H321" s="29" t="str">
        <x:f>IF(B321="","",IFERROR(INDEX('05_BAO_CAO_NGAY'!$J$6:$J$505,MATCH(B321,'05_BAO_CAO_NGAY'!$A$6:$A$505,0)),""))</x:f>
      </x:c>
      <x:c r="I321" s="29" t="str">
        <x:f>IF(B321="","",IFERROR(INDEX('05_BAO_CAO_NGAY'!$M$6:$M$505,MATCH(B321,'05_BAO_CAO_NGAY'!$A$6:$A$505,0)),""))</x:f>
      </x:c>
      <x:c r="J321" s="21"/>
      <x:c r="K321" s="29" t="str">
        <x:f>IF(J321="","",IFERROR(INDEX(DM_LY_DO_DUNG!$C$6:$C$105,MATCH(J321,DM_LY_DO_DUNG!$A$6:$A$105,0)),""))</x:f>
      </x:c>
      <x:c r="L321" s="21"/>
      <x:c r="M321" s="21"/>
      <x:c r="N321" s="21"/>
      <x:c r="O321" s="21"/>
      <x:c r="P321" s="21"/>
      <x:c r="Q321" s="43"/>
      <x:c r="R321" s="29" t="str">
        <x:f>IF(A321="","",IF(OR(B321="",C321="",D321="",J321=""),"Thiếu dữ liệu",IF(D321&lt;C321,"Sai thời gian",IF(AND(P321="Đã đóng",Q321=""),"Thiếu thời điểm đóng","Hợp lệ"))))</x:f>
      </x:c>
    </x:row>
    <x:row r="322">
      <x:c r="A322" s="21"/>
      <x:c r="B322" s="21"/>
      <x:c r="C322" s="43"/>
      <x:c r="D322" s="43"/>
      <x:c r="E322" s="39" t="str">
        <x:f>IF(A322="","",MAX(0,(D322-C322)*1440))</x:f>
      </x:c>
      <x:c r="F322" s="29" t="str">
        <x:f>IF(B322="","",IFERROR(INDEX('05_BAO_CAO_NGAY'!$D$6:$D$505,MATCH(B322,'05_BAO_CAO_NGAY'!$A$6:$A$505,0)),""))</x:f>
      </x:c>
      <x:c r="G322" s="29" t="str">
        <x:f>IF(B322="","",IFERROR(INDEX('05_BAO_CAO_NGAY'!$E$6:$E$505,MATCH(B322,'05_BAO_CAO_NGAY'!$A$6:$A$505,0)),""))</x:f>
      </x:c>
      <x:c r="H322" s="29" t="str">
        <x:f>IF(B322="","",IFERROR(INDEX('05_BAO_CAO_NGAY'!$J$6:$J$505,MATCH(B322,'05_BAO_CAO_NGAY'!$A$6:$A$505,0)),""))</x:f>
      </x:c>
      <x:c r="I322" s="29" t="str">
        <x:f>IF(B322="","",IFERROR(INDEX('05_BAO_CAO_NGAY'!$M$6:$M$505,MATCH(B322,'05_BAO_CAO_NGAY'!$A$6:$A$505,0)),""))</x:f>
      </x:c>
      <x:c r="J322" s="21"/>
      <x:c r="K322" s="29" t="str">
        <x:f>IF(J322="","",IFERROR(INDEX(DM_LY_DO_DUNG!$C$6:$C$105,MATCH(J322,DM_LY_DO_DUNG!$A$6:$A$105,0)),""))</x:f>
      </x:c>
      <x:c r="L322" s="21"/>
      <x:c r="M322" s="21"/>
      <x:c r="N322" s="21"/>
      <x:c r="O322" s="21"/>
      <x:c r="P322" s="21"/>
      <x:c r="Q322" s="43"/>
      <x:c r="R322" s="29" t="str">
        <x:f>IF(A322="","",IF(OR(B322="",C322="",D322="",J322=""),"Thiếu dữ liệu",IF(D322&lt;C322,"Sai thời gian",IF(AND(P322="Đã đóng",Q322=""),"Thiếu thời điểm đóng","Hợp lệ"))))</x:f>
      </x:c>
    </x:row>
    <x:row r="323">
      <x:c r="A323" s="21"/>
      <x:c r="B323" s="21"/>
      <x:c r="C323" s="43"/>
      <x:c r="D323" s="43"/>
      <x:c r="E323" s="39" t="str">
        <x:f>IF(A323="","",MAX(0,(D323-C323)*1440))</x:f>
      </x:c>
      <x:c r="F323" s="29" t="str">
        <x:f>IF(B323="","",IFERROR(INDEX('05_BAO_CAO_NGAY'!$D$6:$D$505,MATCH(B323,'05_BAO_CAO_NGAY'!$A$6:$A$505,0)),""))</x:f>
      </x:c>
      <x:c r="G323" s="29" t="str">
        <x:f>IF(B323="","",IFERROR(INDEX('05_BAO_CAO_NGAY'!$E$6:$E$505,MATCH(B323,'05_BAO_CAO_NGAY'!$A$6:$A$505,0)),""))</x:f>
      </x:c>
      <x:c r="H323" s="29" t="str">
        <x:f>IF(B323="","",IFERROR(INDEX('05_BAO_CAO_NGAY'!$J$6:$J$505,MATCH(B323,'05_BAO_CAO_NGAY'!$A$6:$A$505,0)),""))</x:f>
      </x:c>
      <x:c r="I323" s="29" t="str">
        <x:f>IF(B323="","",IFERROR(INDEX('05_BAO_CAO_NGAY'!$M$6:$M$505,MATCH(B323,'05_BAO_CAO_NGAY'!$A$6:$A$505,0)),""))</x:f>
      </x:c>
      <x:c r="J323" s="21"/>
      <x:c r="K323" s="29" t="str">
        <x:f>IF(J323="","",IFERROR(INDEX(DM_LY_DO_DUNG!$C$6:$C$105,MATCH(J323,DM_LY_DO_DUNG!$A$6:$A$105,0)),""))</x:f>
      </x:c>
      <x:c r="L323" s="21"/>
      <x:c r="M323" s="21"/>
      <x:c r="N323" s="21"/>
      <x:c r="O323" s="21"/>
      <x:c r="P323" s="21"/>
      <x:c r="Q323" s="43"/>
      <x:c r="R323" s="29" t="str">
        <x:f>IF(A323="","",IF(OR(B323="",C323="",D323="",J323=""),"Thiếu dữ liệu",IF(D323&lt;C323,"Sai thời gian",IF(AND(P323="Đã đóng",Q323=""),"Thiếu thời điểm đóng","Hợp lệ"))))</x:f>
      </x:c>
    </x:row>
    <x:row r="324">
      <x:c r="A324" s="21"/>
      <x:c r="B324" s="21"/>
      <x:c r="C324" s="43"/>
      <x:c r="D324" s="43"/>
      <x:c r="E324" s="39" t="str">
        <x:f>IF(A324="","",MAX(0,(D324-C324)*1440))</x:f>
      </x:c>
      <x:c r="F324" s="29" t="str">
        <x:f>IF(B324="","",IFERROR(INDEX('05_BAO_CAO_NGAY'!$D$6:$D$505,MATCH(B324,'05_BAO_CAO_NGAY'!$A$6:$A$505,0)),""))</x:f>
      </x:c>
      <x:c r="G324" s="29" t="str">
        <x:f>IF(B324="","",IFERROR(INDEX('05_BAO_CAO_NGAY'!$E$6:$E$505,MATCH(B324,'05_BAO_CAO_NGAY'!$A$6:$A$505,0)),""))</x:f>
      </x:c>
      <x:c r="H324" s="29" t="str">
        <x:f>IF(B324="","",IFERROR(INDEX('05_BAO_CAO_NGAY'!$J$6:$J$505,MATCH(B324,'05_BAO_CAO_NGAY'!$A$6:$A$505,0)),""))</x:f>
      </x:c>
      <x:c r="I324" s="29" t="str">
        <x:f>IF(B324="","",IFERROR(INDEX('05_BAO_CAO_NGAY'!$M$6:$M$505,MATCH(B324,'05_BAO_CAO_NGAY'!$A$6:$A$505,0)),""))</x:f>
      </x:c>
      <x:c r="J324" s="21"/>
      <x:c r="K324" s="29" t="str">
        <x:f>IF(J324="","",IFERROR(INDEX(DM_LY_DO_DUNG!$C$6:$C$105,MATCH(J324,DM_LY_DO_DUNG!$A$6:$A$105,0)),""))</x:f>
      </x:c>
      <x:c r="L324" s="21"/>
      <x:c r="M324" s="21"/>
      <x:c r="N324" s="21"/>
      <x:c r="O324" s="21"/>
      <x:c r="P324" s="21"/>
      <x:c r="Q324" s="43"/>
      <x:c r="R324" s="29" t="str">
        <x:f>IF(A324="","",IF(OR(B324="",C324="",D324="",J324=""),"Thiếu dữ liệu",IF(D324&lt;C324,"Sai thời gian",IF(AND(P324="Đã đóng",Q324=""),"Thiếu thời điểm đóng","Hợp lệ"))))</x:f>
      </x:c>
    </x:row>
    <x:row r="325">
      <x:c r="A325" s="21"/>
      <x:c r="B325" s="21"/>
      <x:c r="C325" s="43"/>
      <x:c r="D325" s="43"/>
      <x:c r="E325" s="39" t="str">
        <x:f>IF(A325="","",MAX(0,(D325-C325)*1440))</x:f>
      </x:c>
      <x:c r="F325" s="29" t="str">
        <x:f>IF(B325="","",IFERROR(INDEX('05_BAO_CAO_NGAY'!$D$6:$D$505,MATCH(B325,'05_BAO_CAO_NGAY'!$A$6:$A$505,0)),""))</x:f>
      </x:c>
      <x:c r="G325" s="29" t="str">
        <x:f>IF(B325="","",IFERROR(INDEX('05_BAO_CAO_NGAY'!$E$6:$E$505,MATCH(B325,'05_BAO_CAO_NGAY'!$A$6:$A$505,0)),""))</x:f>
      </x:c>
      <x:c r="H325" s="29" t="str">
        <x:f>IF(B325="","",IFERROR(INDEX('05_BAO_CAO_NGAY'!$J$6:$J$505,MATCH(B325,'05_BAO_CAO_NGAY'!$A$6:$A$505,0)),""))</x:f>
      </x:c>
      <x:c r="I325" s="29" t="str">
        <x:f>IF(B325="","",IFERROR(INDEX('05_BAO_CAO_NGAY'!$M$6:$M$505,MATCH(B325,'05_BAO_CAO_NGAY'!$A$6:$A$505,0)),""))</x:f>
      </x:c>
      <x:c r="J325" s="21"/>
      <x:c r="K325" s="29" t="str">
        <x:f>IF(J325="","",IFERROR(INDEX(DM_LY_DO_DUNG!$C$6:$C$105,MATCH(J325,DM_LY_DO_DUNG!$A$6:$A$105,0)),""))</x:f>
      </x:c>
      <x:c r="L325" s="21"/>
      <x:c r="M325" s="21"/>
      <x:c r="N325" s="21"/>
      <x:c r="O325" s="21"/>
      <x:c r="P325" s="21"/>
      <x:c r="Q325" s="43"/>
      <x:c r="R325" s="29" t="str">
        <x:f>IF(A325="","",IF(OR(B325="",C325="",D325="",J325=""),"Thiếu dữ liệu",IF(D325&lt;C325,"Sai thời gian",IF(AND(P325="Đã đóng",Q325=""),"Thiếu thời điểm đóng","Hợp lệ"))))</x:f>
      </x:c>
    </x:row>
    <x:row r="326">
      <x:c r="A326" s="21"/>
      <x:c r="B326" s="21"/>
      <x:c r="C326" s="43"/>
      <x:c r="D326" s="43"/>
      <x:c r="E326" s="39" t="str">
        <x:f>IF(A326="","",MAX(0,(D326-C326)*1440))</x:f>
      </x:c>
      <x:c r="F326" s="29" t="str">
        <x:f>IF(B326="","",IFERROR(INDEX('05_BAO_CAO_NGAY'!$D$6:$D$505,MATCH(B326,'05_BAO_CAO_NGAY'!$A$6:$A$505,0)),""))</x:f>
      </x:c>
      <x:c r="G326" s="29" t="str">
        <x:f>IF(B326="","",IFERROR(INDEX('05_BAO_CAO_NGAY'!$E$6:$E$505,MATCH(B326,'05_BAO_CAO_NGAY'!$A$6:$A$505,0)),""))</x:f>
      </x:c>
      <x:c r="H326" s="29" t="str">
        <x:f>IF(B326="","",IFERROR(INDEX('05_BAO_CAO_NGAY'!$J$6:$J$505,MATCH(B326,'05_BAO_CAO_NGAY'!$A$6:$A$505,0)),""))</x:f>
      </x:c>
      <x:c r="I326" s="29" t="str">
        <x:f>IF(B326="","",IFERROR(INDEX('05_BAO_CAO_NGAY'!$M$6:$M$505,MATCH(B326,'05_BAO_CAO_NGAY'!$A$6:$A$505,0)),""))</x:f>
      </x:c>
      <x:c r="J326" s="21"/>
      <x:c r="K326" s="29" t="str">
        <x:f>IF(J326="","",IFERROR(INDEX(DM_LY_DO_DUNG!$C$6:$C$105,MATCH(J326,DM_LY_DO_DUNG!$A$6:$A$105,0)),""))</x:f>
      </x:c>
      <x:c r="L326" s="21"/>
      <x:c r="M326" s="21"/>
      <x:c r="N326" s="21"/>
      <x:c r="O326" s="21"/>
      <x:c r="P326" s="21"/>
      <x:c r="Q326" s="43"/>
      <x:c r="R326" s="29" t="str">
        <x:f>IF(A326="","",IF(OR(B326="",C326="",D326="",J326=""),"Thiếu dữ liệu",IF(D326&lt;C326,"Sai thời gian",IF(AND(P326="Đã đóng",Q326=""),"Thiếu thời điểm đóng","Hợp lệ"))))</x:f>
      </x:c>
    </x:row>
    <x:row r="327">
      <x:c r="A327" s="21"/>
      <x:c r="B327" s="21"/>
      <x:c r="C327" s="43"/>
      <x:c r="D327" s="43"/>
      <x:c r="E327" s="39" t="str">
        <x:f>IF(A327="","",MAX(0,(D327-C327)*1440))</x:f>
      </x:c>
      <x:c r="F327" s="29" t="str">
        <x:f>IF(B327="","",IFERROR(INDEX('05_BAO_CAO_NGAY'!$D$6:$D$505,MATCH(B327,'05_BAO_CAO_NGAY'!$A$6:$A$505,0)),""))</x:f>
      </x:c>
      <x:c r="G327" s="29" t="str">
        <x:f>IF(B327="","",IFERROR(INDEX('05_BAO_CAO_NGAY'!$E$6:$E$505,MATCH(B327,'05_BAO_CAO_NGAY'!$A$6:$A$505,0)),""))</x:f>
      </x:c>
      <x:c r="H327" s="29" t="str">
        <x:f>IF(B327="","",IFERROR(INDEX('05_BAO_CAO_NGAY'!$J$6:$J$505,MATCH(B327,'05_BAO_CAO_NGAY'!$A$6:$A$505,0)),""))</x:f>
      </x:c>
      <x:c r="I327" s="29" t="str">
        <x:f>IF(B327="","",IFERROR(INDEX('05_BAO_CAO_NGAY'!$M$6:$M$505,MATCH(B327,'05_BAO_CAO_NGAY'!$A$6:$A$505,0)),""))</x:f>
      </x:c>
      <x:c r="J327" s="21"/>
      <x:c r="K327" s="29" t="str">
        <x:f>IF(J327="","",IFERROR(INDEX(DM_LY_DO_DUNG!$C$6:$C$105,MATCH(J327,DM_LY_DO_DUNG!$A$6:$A$105,0)),""))</x:f>
      </x:c>
      <x:c r="L327" s="21"/>
      <x:c r="M327" s="21"/>
      <x:c r="N327" s="21"/>
      <x:c r="O327" s="21"/>
      <x:c r="P327" s="21"/>
      <x:c r="Q327" s="43"/>
      <x:c r="R327" s="29" t="str">
        <x:f>IF(A327="","",IF(OR(B327="",C327="",D327="",J327=""),"Thiếu dữ liệu",IF(D327&lt;C327,"Sai thời gian",IF(AND(P327="Đã đóng",Q327=""),"Thiếu thời điểm đóng","Hợp lệ"))))</x:f>
      </x:c>
    </x:row>
    <x:row r="328">
      <x:c r="A328" s="21"/>
      <x:c r="B328" s="21"/>
      <x:c r="C328" s="43"/>
      <x:c r="D328" s="43"/>
      <x:c r="E328" s="39" t="str">
        <x:f>IF(A328="","",MAX(0,(D328-C328)*1440))</x:f>
      </x:c>
      <x:c r="F328" s="29" t="str">
        <x:f>IF(B328="","",IFERROR(INDEX('05_BAO_CAO_NGAY'!$D$6:$D$505,MATCH(B328,'05_BAO_CAO_NGAY'!$A$6:$A$505,0)),""))</x:f>
      </x:c>
      <x:c r="G328" s="29" t="str">
        <x:f>IF(B328="","",IFERROR(INDEX('05_BAO_CAO_NGAY'!$E$6:$E$505,MATCH(B328,'05_BAO_CAO_NGAY'!$A$6:$A$505,0)),""))</x:f>
      </x:c>
      <x:c r="H328" s="29" t="str">
        <x:f>IF(B328="","",IFERROR(INDEX('05_BAO_CAO_NGAY'!$J$6:$J$505,MATCH(B328,'05_BAO_CAO_NGAY'!$A$6:$A$505,0)),""))</x:f>
      </x:c>
      <x:c r="I328" s="29" t="str">
        <x:f>IF(B328="","",IFERROR(INDEX('05_BAO_CAO_NGAY'!$M$6:$M$505,MATCH(B328,'05_BAO_CAO_NGAY'!$A$6:$A$505,0)),""))</x:f>
      </x:c>
      <x:c r="J328" s="21"/>
      <x:c r="K328" s="29" t="str">
        <x:f>IF(J328="","",IFERROR(INDEX(DM_LY_DO_DUNG!$C$6:$C$105,MATCH(J328,DM_LY_DO_DUNG!$A$6:$A$105,0)),""))</x:f>
      </x:c>
      <x:c r="L328" s="21"/>
      <x:c r="M328" s="21"/>
      <x:c r="N328" s="21"/>
      <x:c r="O328" s="21"/>
      <x:c r="P328" s="21"/>
      <x:c r="Q328" s="43"/>
      <x:c r="R328" s="29" t="str">
        <x:f>IF(A328="","",IF(OR(B328="",C328="",D328="",J328=""),"Thiếu dữ liệu",IF(D328&lt;C328,"Sai thời gian",IF(AND(P328="Đã đóng",Q328=""),"Thiếu thời điểm đóng","Hợp lệ"))))</x:f>
      </x:c>
    </x:row>
    <x:row r="329">
      <x:c r="A329" s="21"/>
      <x:c r="B329" s="21"/>
      <x:c r="C329" s="43"/>
      <x:c r="D329" s="43"/>
      <x:c r="E329" s="39" t="str">
        <x:f>IF(A329="","",MAX(0,(D329-C329)*1440))</x:f>
      </x:c>
      <x:c r="F329" s="29" t="str">
        <x:f>IF(B329="","",IFERROR(INDEX('05_BAO_CAO_NGAY'!$D$6:$D$505,MATCH(B329,'05_BAO_CAO_NGAY'!$A$6:$A$505,0)),""))</x:f>
      </x:c>
      <x:c r="G329" s="29" t="str">
        <x:f>IF(B329="","",IFERROR(INDEX('05_BAO_CAO_NGAY'!$E$6:$E$505,MATCH(B329,'05_BAO_CAO_NGAY'!$A$6:$A$505,0)),""))</x:f>
      </x:c>
      <x:c r="H329" s="29" t="str">
        <x:f>IF(B329="","",IFERROR(INDEX('05_BAO_CAO_NGAY'!$J$6:$J$505,MATCH(B329,'05_BAO_CAO_NGAY'!$A$6:$A$505,0)),""))</x:f>
      </x:c>
      <x:c r="I329" s="29" t="str">
        <x:f>IF(B329="","",IFERROR(INDEX('05_BAO_CAO_NGAY'!$M$6:$M$505,MATCH(B329,'05_BAO_CAO_NGAY'!$A$6:$A$505,0)),""))</x:f>
      </x:c>
      <x:c r="J329" s="21"/>
      <x:c r="K329" s="29" t="str">
        <x:f>IF(J329="","",IFERROR(INDEX(DM_LY_DO_DUNG!$C$6:$C$105,MATCH(J329,DM_LY_DO_DUNG!$A$6:$A$105,0)),""))</x:f>
      </x:c>
      <x:c r="L329" s="21"/>
      <x:c r="M329" s="21"/>
      <x:c r="N329" s="21"/>
      <x:c r="O329" s="21"/>
      <x:c r="P329" s="21"/>
      <x:c r="Q329" s="43"/>
      <x:c r="R329" s="29" t="str">
        <x:f>IF(A329="","",IF(OR(B329="",C329="",D329="",J329=""),"Thiếu dữ liệu",IF(D329&lt;C329,"Sai thời gian",IF(AND(P329="Đã đóng",Q329=""),"Thiếu thời điểm đóng","Hợp lệ"))))</x:f>
      </x:c>
    </x:row>
    <x:row r="330">
      <x:c r="A330" s="21"/>
      <x:c r="B330" s="21"/>
      <x:c r="C330" s="43"/>
      <x:c r="D330" s="43"/>
      <x:c r="E330" s="39" t="str">
        <x:f>IF(A330="","",MAX(0,(D330-C330)*1440))</x:f>
      </x:c>
      <x:c r="F330" s="29" t="str">
        <x:f>IF(B330="","",IFERROR(INDEX('05_BAO_CAO_NGAY'!$D$6:$D$505,MATCH(B330,'05_BAO_CAO_NGAY'!$A$6:$A$505,0)),""))</x:f>
      </x:c>
      <x:c r="G330" s="29" t="str">
        <x:f>IF(B330="","",IFERROR(INDEX('05_BAO_CAO_NGAY'!$E$6:$E$505,MATCH(B330,'05_BAO_CAO_NGAY'!$A$6:$A$505,0)),""))</x:f>
      </x:c>
      <x:c r="H330" s="29" t="str">
        <x:f>IF(B330="","",IFERROR(INDEX('05_BAO_CAO_NGAY'!$J$6:$J$505,MATCH(B330,'05_BAO_CAO_NGAY'!$A$6:$A$505,0)),""))</x:f>
      </x:c>
      <x:c r="I330" s="29" t="str">
        <x:f>IF(B330="","",IFERROR(INDEX('05_BAO_CAO_NGAY'!$M$6:$M$505,MATCH(B330,'05_BAO_CAO_NGAY'!$A$6:$A$505,0)),""))</x:f>
      </x:c>
      <x:c r="J330" s="21"/>
      <x:c r="K330" s="29" t="str">
        <x:f>IF(J330="","",IFERROR(INDEX(DM_LY_DO_DUNG!$C$6:$C$105,MATCH(J330,DM_LY_DO_DUNG!$A$6:$A$105,0)),""))</x:f>
      </x:c>
      <x:c r="L330" s="21"/>
      <x:c r="M330" s="21"/>
      <x:c r="N330" s="21"/>
      <x:c r="O330" s="21"/>
      <x:c r="P330" s="21"/>
      <x:c r="Q330" s="43"/>
      <x:c r="R330" s="29" t="str">
        <x:f>IF(A330="","",IF(OR(B330="",C330="",D330="",J330=""),"Thiếu dữ liệu",IF(D330&lt;C330,"Sai thời gian",IF(AND(P330="Đã đóng",Q330=""),"Thiếu thời điểm đóng","Hợp lệ"))))</x:f>
      </x:c>
    </x:row>
    <x:row r="331">
      <x:c r="A331" s="21"/>
      <x:c r="B331" s="21"/>
      <x:c r="C331" s="43"/>
      <x:c r="D331" s="43"/>
      <x:c r="E331" s="39" t="str">
        <x:f>IF(A331="","",MAX(0,(D331-C331)*1440))</x:f>
      </x:c>
      <x:c r="F331" s="29" t="str">
        <x:f>IF(B331="","",IFERROR(INDEX('05_BAO_CAO_NGAY'!$D$6:$D$505,MATCH(B331,'05_BAO_CAO_NGAY'!$A$6:$A$505,0)),""))</x:f>
      </x:c>
      <x:c r="G331" s="29" t="str">
        <x:f>IF(B331="","",IFERROR(INDEX('05_BAO_CAO_NGAY'!$E$6:$E$505,MATCH(B331,'05_BAO_CAO_NGAY'!$A$6:$A$505,0)),""))</x:f>
      </x:c>
      <x:c r="H331" s="29" t="str">
        <x:f>IF(B331="","",IFERROR(INDEX('05_BAO_CAO_NGAY'!$J$6:$J$505,MATCH(B331,'05_BAO_CAO_NGAY'!$A$6:$A$505,0)),""))</x:f>
      </x:c>
      <x:c r="I331" s="29" t="str">
        <x:f>IF(B331="","",IFERROR(INDEX('05_BAO_CAO_NGAY'!$M$6:$M$505,MATCH(B331,'05_BAO_CAO_NGAY'!$A$6:$A$505,0)),""))</x:f>
      </x:c>
      <x:c r="J331" s="21"/>
      <x:c r="K331" s="29" t="str">
        <x:f>IF(J331="","",IFERROR(INDEX(DM_LY_DO_DUNG!$C$6:$C$105,MATCH(J331,DM_LY_DO_DUNG!$A$6:$A$105,0)),""))</x:f>
      </x:c>
      <x:c r="L331" s="21"/>
      <x:c r="M331" s="21"/>
      <x:c r="N331" s="21"/>
      <x:c r="O331" s="21"/>
      <x:c r="P331" s="21"/>
      <x:c r="Q331" s="43"/>
      <x:c r="R331" s="29" t="str">
        <x:f>IF(A331="","",IF(OR(B331="",C331="",D331="",J331=""),"Thiếu dữ liệu",IF(D331&lt;C331,"Sai thời gian",IF(AND(P331="Đã đóng",Q331=""),"Thiếu thời điểm đóng","Hợp lệ"))))</x:f>
      </x:c>
    </x:row>
    <x:row r="332">
      <x:c r="A332" s="21"/>
      <x:c r="B332" s="21"/>
      <x:c r="C332" s="43"/>
      <x:c r="D332" s="43"/>
      <x:c r="E332" s="39" t="str">
        <x:f>IF(A332="","",MAX(0,(D332-C332)*1440))</x:f>
      </x:c>
      <x:c r="F332" s="29" t="str">
        <x:f>IF(B332="","",IFERROR(INDEX('05_BAO_CAO_NGAY'!$D$6:$D$505,MATCH(B332,'05_BAO_CAO_NGAY'!$A$6:$A$505,0)),""))</x:f>
      </x:c>
      <x:c r="G332" s="29" t="str">
        <x:f>IF(B332="","",IFERROR(INDEX('05_BAO_CAO_NGAY'!$E$6:$E$505,MATCH(B332,'05_BAO_CAO_NGAY'!$A$6:$A$505,0)),""))</x:f>
      </x:c>
      <x:c r="H332" s="29" t="str">
        <x:f>IF(B332="","",IFERROR(INDEX('05_BAO_CAO_NGAY'!$J$6:$J$505,MATCH(B332,'05_BAO_CAO_NGAY'!$A$6:$A$505,0)),""))</x:f>
      </x:c>
      <x:c r="I332" s="29" t="str">
        <x:f>IF(B332="","",IFERROR(INDEX('05_BAO_CAO_NGAY'!$M$6:$M$505,MATCH(B332,'05_BAO_CAO_NGAY'!$A$6:$A$505,0)),""))</x:f>
      </x:c>
      <x:c r="J332" s="21"/>
      <x:c r="K332" s="29" t="str">
        <x:f>IF(J332="","",IFERROR(INDEX(DM_LY_DO_DUNG!$C$6:$C$105,MATCH(J332,DM_LY_DO_DUNG!$A$6:$A$105,0)),""))</x:f>
      </x:c>
      <x:c r="L332" s="21"/>
      <x:c r="M332" s="21"/>
      <x:c r="N332" s="21"/>
      <x:c r="O332" s="21"/>
      <x:c r="P332" s="21"/>
      <x:c r="Q332" s="43"/>
      <x:c r="R332" s="29" t="str">
        <x:f>IF(A332="","",IF(OR(B332="",C332="",D332="",J332=""),"Thiếu dữ liệu",IF(D332&lt;C332,"Sai thời gian",IF(AND(P332="Đã đóng",Q332=""),"Thiếu thời điểm đóng","Hợp lệ"))))</x:f>
      </x:c>
    </x:row>
    <x:row r="333">
      <x:c r="A333" s="21"/>
      <x:c r="B333" s="21"/>
      <x:c r="C333" s="43"/>
      <x:c r="D333" s="43"/>
      <x:c r="E333" s="39" t="str">
        <x:f>IF(A333="","",MAX(0,(D333-C333)*1440))</x:f>
      </x:c>
      <x:c r="F333" s="29" t="str">
        <x:f>IF(B333="","",IFERROR(INDEX('05_BAO_CAO_NGAY'!$D$6:$D$505,MATCH(B333,'05_BAO_CAO_NGAY'!$A$6:$A$505,0)),""))</x:f>
      </x:c>
      <x:c r="G333" s="29" t="str">
        <x:f>IF(B333="","",IFERROR(INDEX('05_BAO_CAO_NGAY'!$E$6:$E$505,MATCH(B333,'05_BAO_CAO_NGAY'!$A$6:$A$505,0)),""))</x:f>
      </x:c>
      <x:c r="H333" s="29" t="str">
        <x:f>IF(B333="","",IFERROR(INDEX('05_BAO_CAO_NGAY'!$J$6:$J$505,MATCH(B333,'05_BAO_CAO_NGAY'!$A$6:$A$505,0)),""))</x:f>
      </x:c>
      <x:c r="I333" s="29" t="str">
        <x:f>IF(B333="","",IFERROR(INDEX('05_BAO_CAO_NGAY'!$M$6:$M$505,MATCH(B333,'05_BAO_CAO_NGAY'!$A$6:$A$505,0)),""))</x:f>
      </x:c>
      <x:c r="J333" s="21"/>
      <x:c r="K333" s="29" t="str">
        <x:f>IF(J333="","",IFERROR(INDEX(DM_LY_DO_DUNG!$C$6:$C$105,MATCH(J333,DM_LY_DO_DUNG!$A$6:$A$105,0)),""))</x:f>
      </x:c>
      <x:c r="L333" s="21"/>
      <x:c r="M333" s="21"/>
      <x:c r="N333" s="21"/>
      <x:c r="O333" s="21"/>
      <x:c r="P333" s="21"/>
      <x:c r="Q333" s="43"/>
      <x:c r="R333" s="29" t="str">
        <x:f>IF(A333="","",IF(OR(B333="",C333="",D333="",J333=""),"Thiếu dữ liệu",IF(D333&lt;C333,"Sai thời gian",IF(AND(P333="Đã đóng",Q333=""),"Thiếu thời điểm đóng","Hợp lệ"))))</x:f>
      </x:c>
    </x:row>
    <x:row r="334">
      <x:c r="A334" s="21"/>
      <x:c r="B334" s="21"/>
      <x:c r="C334" s="43"/>
      <x:c r="D334" s="43"/>
      <x:c r="E334" s="39" t="str">
        <x:f>IF(A334="","",MAX(0,(D334-C334)*1440))</x:f>
      </x:c>
      <x:c r="F334" s="29" t="str">
        <x:f>IF(B334="","",IFERROR(INDEX('05_BAO_CAO_NGAY'!$D$6:$D$505,MATCH(B334,'05_BAO_CAO_NGAY'!$A$6:$A$505,0)),""))</x:f>
      </x:c>
      <x:c r="G334" s="29" t="str">
        <x:f>IF(B334="","",IFERROR(INDEX('05_BAO_CAO_NGAY'!$E$6:$E$505,MATCH(B334,'05_BAO_CAO_NGAY'!$A$6:$A$505,0)),""))</x:f>
      </x:c>
      <x:c r="H334" s="29" t="str">
        <x:f>IF(B334="","",IFERROR(INDEX('05_BAO_CAO_NGAY'!$J$6:$J$505,MATCH(B334,'05_BAO_CAO_NGAY'!$A$6:$A$505,0)),""))</x:f>
      </x:c>
      <x:c r="I334" s="29" t="str">
        <x:f>IF(B334="","",IFERROR(INDEX('05_BAO_CAO_NGAY'!$M$6:$M$505,MATCH(B334,'05_BAO_CAO_NGAY'!$A$6:$A$505,0)),""))</x:f>
      </x:c>
      <x:c r="J334" s="21"/>
      <x:c r="K334" s="29" t="str">
        <x:f>IF(J334="","",IFERROR(INDEX(DM_LY_DO_DUNG!$C$6:$C$105,MATCH(J334,DM_LY_DO_DUNG!$A$6:$A$105,0)),""))</x:f>
      </x:c>
      <x:c r="L334" s="21"/>
      <x:c r="M334" s="21"/>
      <x:c r="N334" s="21"/>
      <x:c r="O334" s="21"/>
      <x:c r="P334" s="21"/>
      <x:c r="Q334" s="43"/>
      <x:c r="R334" s="29" t="str">
        <x:f>IF(A334="","",IF(OR(B334="",C334="",D334="",J334=""),"Thiếu dữ liệu",IF(D334&lt;C334,"Sai thời gian",IF(AND(P334="Đã đóng",Q334=""),"Thiếu thời điểm đóng","Hợp lệ"))))</x:f>
      </x:c>
    </x:row>
    <x:row r="335">
      <x:c r="A335" s="21"/>
      <x:c r="B335" s="21"/>
      <x:c r="C335" s="43"/>
      <x:c r="D335" s="43"/>
      <x:c r="E335" s="39" t="str">
        <x:f>IF(A335="","",MAX(0,(D335-C335)*1440))</x:f>
      </x:c>
      <x:c r="F335" s="29" t="str">
        <x:f>IF(B335="","",IFERROR(INDEX('05_BAO_CAO_NGAY'!$D$6:$D$505,MATCH(B335,'05_BAO_CAO_NGAY'!$A$6:$A$505,0)),""))</x:f>
      </x:c>
      <x:c r="G335" s="29" t="str">
        <x:f>IF(B335="","",IFERROR(INDEX('05_BAO_CAO_NGAY'!$E$6:$E$505,MATCH(B335,'05_BAO_CAO_NGAY'!$A$6:$A$505,0)),""))</x:f>
      </x:c>
      <x:c r="H335" s="29" t="str">
        <x:f>IF(B335="","",IFERROR(INDEX('05_BAO_CAO_NGAY'!$J$6:$J$505,MATCH(B335,'05_BAO_CAO_NGAY'!$A$6:$A$505,0)),""))</x:f>
      </x:c>
      <x:c r="I335" s="29" t="str">
        <x:f>IF(B335="","",IFERROR(INDEX('05_BAO_CAO_NGAY'!$M$6:$M$505,MATCH(B335,'05_BAO_CAO_NGAY'!$A$6:$A$505,0)),""))</x:f>
      </x:c>
      <x:c r="J335" s="21"/>
      <x:c r="K335" s="29" t="str">
        <x:f>IF(J335="","",IFERROR(INDEX(DM_LY_DO_DUNG!$C$6:$C$105,MATCH(J335,DM_LY_DO_DUNG!$A$6:$A$105,0)),""))</x:f>
      </x:c>
      <x:c r="L335" s="21"/>
      <x:c r="M335" s="21"/>
      <x:c r="N335" s="21"/>
      <x:c r="O335" s="21"/>
      <x:c r="P335" s="21"/>
      <x:c r="Q335" s="43"/>
      <x:c r="R335" s="29" t="str">
        <x:f>IF(A335="","",IF(OR(B335="",C335="",D335="",J335=""),"Thiếu dữ liệu",IF(D335&lt;C335,"Sai thời gian",IF(AND(P335="Đã đóng",Q335=""),"Thiếu thời điểm đóng","Hợp lệ"))))</x:f>
      </x:c>
    </x:row>
    <x:row r="336">
      <x:c r="A336" s="21"/>
      <x:c r="B336" s="21"/>
      <x:c r="C336" s="43"/>
      <x:c r="D336" s="43"/>
      <x:c r="E336" s="39" t="str">
        <x:f>IF(A336="","",MAX(0,(D336-C336)*1440))</x:f>
      </x:c>
      <x:c r="F336" s="29" t="str">
        <x:f>IF(B336="","",IFERROR(INDEX('05_BAO_CAO_NGAY'!$D$6:$D$505,MATCH(B336,'05_BAO_CAO_NGAY'!$A$6:$A$505,0)),""))</x:f>
      </x:c>
      <x:c r="G336" s="29" t="str">
        <x:f>IF(B336="","",IFERROR(INDEX('05_BAO_CAO_NGAY'!$E$6:$E$505,MATCH(B336,'05_BAO_CAO_NGAY'!$A$6:$A$505,0)),""))</x:f>
      </x:c>
      <x:c r="H336" s="29" t="str">
        <x:f>IF(B336="","",IFERROR(INDEX('05_BAO_CAO_NGAY'!$J$6:$J$505,MATCH(B336,'05_BAO_CAO_NGAY'!$A$6:$A$505,0)),""))</x:f>
      </x:c>
      <x:c r="I336" s="29" t="str">
        <x:f>IF(B336="","",IFERROR(INDEX('05_BAO_CAO_NGAY'!$M$6:$M$505,MATCH(B336,'05_BAO_CAO_NGAY'!$A$6:$A$505,0)),""))</x:f>
      </x:c>
      <x:c r="J336" s="21"/>
      <x:c r="K336" s="29" t="str">
        <x:f>IF(J336="","",IFERROR(INDEX(DM_LY_DO_DUNG!$C$6:$C$105,MATCH(J336,DM_LY_DO_DUNG!$A$6:$A$105,0)),""))</x:f>
      </x:c>
      <x:c r="L336" s="21"/>
      <x:c r="M336" s="21"/>
      <x:c r="N336" s="21"/>
      <x:c r="O336" s="21"/>
      <x:c r="P336" s="21"/>
      <x:c r="Q336" s="43"/>
      <x:c r="R336" s="29" t="str">
        <x:f>IF(A336="","",IF(OR(B336="",C336="",D336="",J336=""),"Thiếu dữ liệu",IF(D336&lt;C336,"Sai thời gian",IF(AND(P336="Đã đóng",Q336=""),"Thiếu thời điểm đóng","Hợp lệ"))))</x:f>
      </x:c>
    </x:row>
    <x:row r="337">
      <x:c r="A337" s="21"/>
      <x:c r="B337" s="21"/>
      <x:c r="C337" s="43"/>
      <x:c r="D337" s="43"/>
      <x:c r="E337" s="39" t="str">
        <x:f>IF(A337="","",MAX(0,(D337-C337)*1440))</x:f>
      </x:c>
      <x:c r="F337" s="29" t="str">
        <x:f>IF(B337="","",IFERROR(INDEX('05_BAO_CAO_NGAY'!$D$6:$D$505,MATCH(B337,'05_BAO_CAO_NGAY'!$A$6:$A$505,0)),""))</x:f>
      </x:c>
      <x:c r="G337" s="29" t="str">
        <x:f>IF(B337="","",IFERROR(INDEX('05_BAO_CAO_NGAY'!$E$6:$E$505,MATCH(B337,'05_BAO_CAO_NGAY'!$A$6:$A$505,0)),""))</x:f>
      </x:c>
      <x:c r="H337" s="29" t="str">
        <x:f>IF(B337="","",IFERROR(INDEX('05_BAO_CAO_NGAY'!$J$6:$J$505,MATCH(B337,'05_BAO_CAO_NGAY'!$A$6:$A$505,0)),""))</x:f>
      </x:c>
      <x:c r="I337" s="29" t="str">
        <x:f>IF(B337="","",IFERROR(INDEX('05_BAO_CAO_NGAY'!$M$6:$M$505,MATCH(B337,'05_BAO_CAO_NGAY'!$A$6:$A$505,0)),""))</x:f>
      </x:c>
      <x:c r="J337" s="21"/>
      <x:c r="K337" s="29" t="str">
        <x:f>IF(J337="","",IFERROR(INDEX(DM_LY_DO_DUNG!$C$6:$C$105,MATCH(J337,DM_LY_DO_DUNG!$A$6:$A$105,0)),""))</x:f>
      </x:c>
      <x:c r="L337" s="21"/>
      <x:c r="M337" s="21"/>
      <x:c r="N337" s="21"/>
      <x:c r="O337" s="21"/>
      <x:c r="P337" s="21"/>
      <x:c r="Q337" s="43"/>
      <x:c r="R337" s="29" t="str">
        <x:f>IF(A337="","",IF(OR(B337="",C337="",D337="",J337=""),"Thiếu dữ liệu",IF(D337&lt;C337,"Sai thời gian",IF(AND(P337="Đã đóng",Q337=""),"Thiếu thời điểm đóng","Hợp lệ"))))</x:f>
      </x:c>
    </x:row>
    <x:row r="338">
      <x:c r="A338" s="21"/>
      <x:c r="B338" s="21"/>
      <x:c r="C338" s="43"/>
      <x:c r="D338" s="43"/>
      <x:c r="E338" s="39" t="str">
        <x:f>IF(A338="","",MAX(0,(D338-C338)*1440))</x:f>
      </x:c>
      <x:c r="F338" s="29" t="str">
        <x:f>IF(B338="","",IFERROR(INDEX('05_BAO_CAO_NGAY'!$D$6:$D$505,MATCH(B338,'05_BAO_CAO_NGAY'!$A$6:$A$505,0)),""))</x:f>
      </x:c>
      <x:c r="G338" s="29" t="str">
        <x:f>IF(B338="","",IFERROR(INDEX('05_BAO_CAO_NGAY'!$E$6:$E$505,MATCH(B338,'05_BAO_CAO_NGAY'!$A$6:$A$505,0)),""))</x:f>
      </x:c>
      <x:c r="H338" s="29" t="str">
        <x:f>IF(B338="","",IFERROR(INDEX('05_BAO_CAO_NGAY'!$J$6:$J$505,MATCH(B338,'05_BAO_CAO_NGAY'!$A$6:$A$505,0)),""))</x:f>
      </x:c>
      <x:c r="I338" s="29" t="str">
        <x:f>IF(B338="","",IFERROR(INDEX('05_BAO_CAO_NGAY'!$M$6:$M$505,MATCH(B338,'05_BAO_CAO_NGAY'!$A$6:$A$505,0)),""))</x:f>
      </x:c>
      <x:c r="J338" s="21"/>
      <x:c r="K338" s="29" t="str">
        <x:f>IF(J338="","",IFERROR(INDEX(DM_LY_DO_DUNG!$C$6:$C$105,MATCH(J338,DM_LY_DO_DUNG!$A$6:$A$105,0)),""))</x:f>
      </x:c>
      <x:c r="L338" s="21"/>
      <x:c r="M338" s="21"/>
      <x:c r="N338" s="21"/>
      <x:c r="O338" s="21"/>
      <x:c r="P338" s="21"/>
      <x:c r="Q338" s="43"/>
      <x:c r="R338" s="29" t="str">
        <x:f>IF(A338="","",IF(OR(B338="",C338="",D338="",J338=""),"Thiếu dữ liệu",IF(D338&lt;C338,"Sai thời gian",IF(AND(P338="Đã đóng",Q338=""),"Thiếu thời điểm đóng","Hợp lệ"))))</x:f>
      </x:c>
    </x:row>
    <x:row r="339">
      <x:c r="A339" s="21"/>
      <x:c r="B339" s="21"/>
      <x:c r="C339" s="43"/>
      <x:c r="D339" s="43"/>
      <x:c r="E339" s="39" t="str">
        <x:f>IF(A339="","",MAX(0,(D339-C339)*1440))</x:f>
      </x:c>
      <x:c r="F339" s="29" t="str">
        <x:f>IF(B339="","",IFERROR(INDEX('05_BAO_CAO_NGAY'!$D$6:$D$505,MATCH(B339,'05_BAO_CAO_NGAY'!$A$6:$A$505,0)),""))</x:f>
      </x:c>
      <x:c r="G339" s="29" t="str">
        <x:f>IF(B339="","",IFERROR(INDEX('05_BAO_CAO_NGAY'!$E$6:$E$505,MATCH(B339,'05_BAO_CAO_NGAY'!$A$6:$A$505,0)),""))</x:f>
      </x:c>
      <x:c r="H339" s="29" t="str">
        <x:f>IF(B339="","",IFERROR(INDEX('05_BAO_CAO_NGAY'!$J$6:$J$505,MATCH(B339,'05_BAO_CAO_NGAY'!$A$6:$A$505,0)),""))</x:f>
      </x:c>
      <x:c r="I339" s="29" t="str">
        <x:f>IF(B339="","",IFERROR(INDEX('05_BAO_CAO_NGAY'!$M$6:$M$505,MATCH(B339,'05_BAO_CAO_NGAY'!$A$6:$A$505,0)),""))</x:f>
      </x:c>
      <x:c r="J339" s="21"/>
      <x:c r="K339" s="29" t="str">
        <x:f>IF(J339="","",IFERROR(INDEX(DM_LY_DO_DUNG!$C$6:$C$105,MATCH(J339,DM_LY_DO_DUNG!$A$6:$A$105,0)),""))</x:f>
      </x:c>
      <x:c r="L339" s="21"/>
      <x:c r="M339" s="21"/>
      <x:c r="N339" s="21"/>
      <x:c r="O339" s="21"/>
      <x:c r="P339" s="21"/>
      <x:c r="Q339" s="43"/>
      <x:c r="R339" s="29" t="str">
        <x:f>IF(A339="","",IF(OR(B339="",C339="",D339="",J339=""),"Thiếu dữ liệu",IF(D339&lt;C339,"Sai thời gian",IF(AND(P339="Đã đóng",Q339=""),"Thiếu thời điểm đóng","Hợp lệ"))))</x:f>
      </x:c>
    </x:row>
    <x:row r="340">
      <x:c r="A340" s="21"/>
      <x:c r="B340" s="21"/>
      <x:c r="C340" s="43"/>
      <x:c r="D340" s="43"/>
      <x:c r="E340" s="39" t="str">
        <x:f>IF(A340="","",MAX(0,(D340-C340)*1440))</x:f>
      </x:c>
      <x:c r="F340" s="29" t="str">
        <x:f>IF(B340="","",IFERROR(INDEX('05_BAO_CAO_NGAY'!$D$6:$D$505,MATCH(B340,'05_BAO_CAO_NGAY'!$A$6:$A$505,0)),""))</x:f>
      </x:c>
      <x:c r="G340" s="29" t="str">
        <x:f>IF(B340="","",IFERROR(INDEX('05_BAO_CAO_NGAY'!$E$6:$E$505,MATCH(B340,'05_BAO_CAO_NGAY'!$A$6:$A$505,0)),""))</x:f>
      </x:c>
      <x:c r="H340" s="29" t="str">
        <x:f>IF(B340="","",IFERROR(INDEX('05_BAO_CAO_NGAY'!$J$6:$J$505,MATCH(B340,'05_BAO_CAO_NGAY'!$A$6:$A$505,0)),""))</x:f>
      </x:c>
      <x:c r="I340" s="29" t="str">
        <x:f>IF(B340="","",IFERROR(INDEX('05_BAO_CAO_NGAY'!$M$6:$M$505,MATCH(B340,'05_BAO_CAO_NGAY'!$A$6:$A$505,0)),""))</x:f>
      </x:c>
      <x:c r="J340" s="21"/>
      <x:c r="K340" s="29" t="str">
        <x:f>IF(J340="","",IFERROR(INDEX(DM_LY_DO_DUNG!$C$6:$C$105,MATCH(J340,DM_LY_DO_DUNG!$A$6:$A$105,0)),""))</x:f>
      </x:c>
      <x:c r="L340" s="21"/>
      <x:c r="M340" s="21"/>
      <x:c r="N340" s="21"/>
      <x:c r="O340" s="21"/>
      <x:c r="P340" s="21"/>
      <x:c r="Q340" s="43"/>
      <x:c r="R340" s="29" t="str">
        <x:f>IF(A340="","",IF(OR(B340="",C340="",D340="",J340=""),"Thiếu dữ liệu",IF(D340&lt;C340,"Sai thời gian",IF(AND(P340="Đã đóng",Q340=""),"Thiếu thời điểm đóng","Hợp lệ"))))</x:f>
      </x:c>
    </x:row>
    <x:row r="341">
      <x:c r="A341" s="21"/>
      <x:c r="B341" s="21"/>
      <x:c r="C341" s="43"/>
      <x:c r="D341" s="43"/>
      <x:c r="E341" s="39" t="str">
        <x:f>IF(A341="","",MAX(0,(D341-C341)*1440))</x:f>
      </x:c>
      <x:c r="F341" s="29" t="str">
        <x:f>IF(B341="","",IFERROR(INDEX('05_BAO_CAO_NGAY'!$D$6:$D$505,MATCH(B341,'05_BAO_CAO_NGAY'!$A$6:$A$505,0)),""))</x:f>
      </x:c>
      <x:c r="G341" s="29" t="str">
        <x:f>IF(B341="","",IFERROR(INDEX('05_BAO_CAO_NGAY'!$E$6:$E$505,MATCH(B341,'05_BAO_CAO_NGAY'!$A$6:$A$505,0)),""))</x:f>
      </x:c>
      <x:c r="H341" s="29" t="str">
        <x:f>IF(B341="","",IFERROR(INDEX('05_BAO_CAO_NGAY'!$J$6:$J$505,MATCH(B341,'05_BAO_CAO_NGAY'!$A$6:$A$505,0)),""))</x:f>
      </x:c>
      <x:c r="I341" s="29" t="str">
        <x:f>IF(B341="","",IFERROR(INDEX('05_BAO_CAO_NGAY'!$M$6:$M$505,MATCH(B341,'05_BAO_CAO_NGAY'!$A$6:$A$505,0)),""))</x:f>
      </x:c>
      <x:c r="J341" s="21"/>
      <x:c r="K341" s="29" t="str">
        <x:f>IF(J341="","",IFERROR(INDEX(DM_LY_DO_DUNG!$C$6:$C$105,MATCH(J341,DM_LY_DO_DUNG!$A$6:$A$105,0)),""))</x:f>
      </x:c>
      <x:c r="L341" s="21"/>
      <x:c r="M341" s="21"/>
      <x:c r="N341" s="21"/>
      <x:c r="O341" s="21"/>
      <x:c r="P341" s="21"/>
      <x:c r="Q341" s="43"/>
      <x:c r="R341" s="29" t="str">
        <x:f>IF(A341="","",IF(OR(B341="",C341="",D341="",J341=""),"Thiếu dữ liệu",IF(D341&lt;C341,"Sai thời gian",IF(AND(P341="Đã đóng",Q341=""),"Thiếu thời điểm đóng","Hợp lệ"))))</x:f>
      </x:c>
    </x:row>
    <x:row r="342">
      <x:c r="A342" s="21"/>
      <x:c r="B342" s="21"/>
      <x:c r="C342" s="43"/>
      <x:c r="D342" s="43"/>
      <x:c r="E342" s="39" t="str">
        <x:f>IF(A342="","",MAX(0,(D342-C342)*1440))</x:f>
      </x:c>
      <x:c r="F342" s="29" t="str">
        <x:f>IF(B342="","",IFERROR(INDEX('05_BAO_CAO_NGAY'!$D$6:$D$505,MATCH(B342,'05_BAO_CAO_NGAY'!$A$6:$A$505,0)),""))</x:f>
      </x:c>
      <x:c r="G342" s="29" t="str">
        <x:f>IF(B342="","",IFERROR(INDEX('05_BAO_CAO_NGAY'!$E$6:$E$505,MATCH(B342,'05_BAO_CAO_NGAY'!$A$6:$A$505,0)),""))</x:f>
      </x:c>
      <x:c r="H342" s="29" t="str">
        <x:f>IF(B342="","",IFERROR(INDEX('05_BAO_CAO_NGAY'!$J$6:$J$505,MATCH(B342,'05_BAO_CAO_NGAY'!$A$6:$A$505,0)),""))</x:f>
      </x:c>
      <x:c r="I342" s="29" t="str">
        <x:f>IF(B342="","",IFERROR(INDEX('05_BAO_CAO_NGAY'!$M$6:$M$505,MATCH(B342,'05_BAO_CAO_NGAY'!$A$6:$A$505,0)),""))</x:f>
      </x:c>
      <x:c r="J342" s="21"/>
      <x:c r="K342" s="29" t="str">
        <x:f>IF(J342="","",IFERROR(INDEX(DM_LY_DO_DUNG!$C$6:$C$105,MATCH(J342,DM_LY_DO_DUNG!$A$6:$A$105,0)),""))</x:f>
      </x:c>
      <x:c r="L342" s="21"/>
      <x:c r="M342" s="21"/>
      <x:c r="N342" s="21"/>
      <x:c r="O342" s="21"/>
      <x:c r="P342" s="21"/>
      <x:c r="Q342" s="43"/>
      <x:c r="R342" s="29" t="str">
        <x:f>IF(A342="","",IF(OR(B342="",C342="",D342="",J342=""),"Thiếu dữ liệu",IF(D342&lt;C342,"Sai thời gian",IF(AND(P342="Đã đóng",Q342=""),"Thiếu thời điểm đóng","Hợp lệ"))))</x:f>
      </x:c>
    </x:row>
    <x:row r="343">
      <x:c r="A343" s="21"/>
      <x:c r="B343" s="21"/>
      <x:c r="C343" s="43"/>
      <x:c r="D343" s="43"/>
      <x:c r="E343" s="39" t="str">
        <x:f>IF(A343="","",MAX(0,(D343-C343)*1440))</x:f>
      </x:c>
      <x:c r="F343" s="29" t="str">
        <x:f>IF(B343="","",IFERROR(INDEX('05_BAO_CAO_NGAY'!$D$6:$D$505,MATCH(B343,'05_BAO_CAO_NGAY'!$A$6:$A$505,0)),""))</x:f>
      </x:c>
      <x:c r="G343" s="29" t="str">
        <x:f>IF(B343="","",IFERROR(INDEX('05_BAO_CAO_NGAY'!$E$6:$E$505,MATCH(B343,'05_BAO_CAO_NGAY'!$A$6:$A$505,0)),""))</x:f>
      </x:c>
      <x:c r="H343" s="29" t="str">
        <x:f>IF(B343="","",IFERROR(INDEX('05_BAO_CAO_NGAY'!$J$6:$J$505,MATCH(B343,'05_BAO_CAO_NGAY'!$A$6:$A$505,0)),""))</x:f>
      </x:c>
      <x:c r="I343" s="29" t="str">
        <x:f>IF(B343="","",IFERROR(INDEX('05_BAO_CAO_NGAY'!$M$6:$M$505,MATCH(B343,'05_BAO_CAO_NGAY'!$A$6:$A$505,0)),""))</x:f>
      </x:c>
      <x:c r="J343" s="21"/>
      <x:c r="K343" s="29" t="str">
        <x:f>IF(J343="","",IFERROR(INDEX(DM_LY_DO_DUNG!$C$6:$C$105,MATCH(J343,DM_LY_DO_DUNG!$A$6:$A$105,0)),""))</x:f>
      </x:c>
      <x:c r="L343" s="21"/>
      <x:c r="M343" s="21"/>
      <x:c r="N343" s="21"/>
      <x:c r="O343" s="21"/>
      <x:c r="P343" s="21"/>
      <x:c r="Q343" s="43"/>
      <x:c r="R343" s="29" t="str">
        <x:f>IF(A343="","",IF(OR(B343="",C343="",D343="",J343=""),"Thiếu dữ liệu",IF(D343&lt;C343,"Sai thời gian",IF(AND(P343="Đã đóng",Q343=""),"Thiếu thời điểm đóng","Hợp lệ"))))</x:f>
      </x:c>
    </x:row>
    <x:row r="344">
      <x:c r="A344" s="21"/>
      <x:c r="B344" s="21"/>
      <x:c r="C344" s="43"/>
      <x:c r="D344" s="43"/>
      <x:c r="E344" s="39" t="str">
        <x:f>IF(A344="","",MAX(0,(D344-C344)*1440))</x:f>
      </x:c>
      <x:c r="F344" s="29" t="str">
        <x:f>IF(B344="","",IFERROR(INDEX('05_BAO_CAO_NGAY'!$D$6:$D$505,MATCH(B344,'05_BAO_CAO_NGAY'!$A$6:$A$505,0)),""))</x:f>
      </x:c>
      <x:c r="G344" s="29" t="str">
        <x:f>IF(B344="","",IFERROR(INDEX('05_BAO_CAO_NGAY'!$E$6:$E$505,MATCH(B344,'05_BAO_CAO_NGAY'!$A$6:$A$505,0)),""))</x:f>
      </x:c>
      <x:c r="H344" s="29" t="str">
        <x:f>IF(B344="","",IFERROR(INDEX('05_BAO_CAO_NGAY'!$J$6:$J$505,MATCH(B344,'05_BAO_CAO_NGAY'!$A$6:$A$505,0)),""))</x:f>
      </x:c>
      <x:c r="I344" s="29" t="str">
        <x:f>IF(B344="","",IFERROR(INDEX('05_BAO_CAO_NGAY'!$M$6:$M$505,MATCH(B344,'05_BAO_CAO_NGAY'!$A$6:$A$505,0)),""))</x:f>
      </x:c>
      <x:c r="J344" s="21"/>
      <x:c r="K344" s="29" t="str">
        <x:f>IF(J344="","",IFERROR(INDEX(DM_LY_DO_DUNG!$C$6:$C$105,MATCH(J344,DM_LY_DO_DUNG!$A$6:$A$105,0)),""))</x:f>
      </x:c>
      <x:c r="L344" s="21"/>
      <x:c r="M344" s="21"/>
      <x:c r="N344" s="21"/>
      <x:c r="O344" s="21"/>
      <x:c r="P344" s="21"/>
      <x:c r="Q344" s="43"/>
      <x:c r="R344" s="29" t="str">
        <x:f>IF(A344="","",IF(OR(B344="",C344="",D344="",J344=""),"Thiếu dữ liệu",IF(D344&lt;C344,"Sai thời gian",IF(AND(P344="Đã đóng",Q344=""),"Thiếu thời điểm đóng","Hợp lệ"))))</x:f>
      </x:c>
    </x:row>
    <x:row r="345">
      <x:c r="A345" s="21"/>
      <x:c r="B345" s="21"/>
      <x:c r="C345" s="43"/>
      <x:c r="D345" s="43"/>
      <x:c r="E345" s="39" t="str">
        <x:f>IF(A345="","",MAX(0,(D345-C345)*1440))</x:f>
      </x:c>
      <x:c r="F345" s="29" t="str">
        <x:f>IF(B345="","",IFERROR(INDEX('05_BAO_CAO_NGAY'!$D$6:$D$505,MATCH(B345,'05_BAO_CAO_NGAY'!$A$6:$A$505,0)),""))</x:f>
      </x:c>
      <x:c r="G345" s="29" t="str">
        <x:f>IF(B345="","",IFERROR(INDEX('05_BAO_CAO_NGAY'!$E$6:$E$505,MATCH(B345,'05_BAO_CAO_NGAY'!$A$6:$A$505,0)),""))</x:f>
      </x:c>
      <x:c r="H345" s="29" t="str">
        <x:f>IF(B345="","",IFERROR(INDEX('05_BAO_CAO_NGAY'!$J$6:$J$505,MATCH(B345,'05_BAO_CAO_NGAY'!$A$6:$A$505,0)),""))</x:f>
      </x:c>
      <x:c r="I345" s="29" t="str">
        <x:f>IF(B345="","",IFERROR(INDEX('05_BAO_CAO_NGAY'!$M$6:$M$505,MATCH(B345,'05_BAO_CAO_NGAY'!$A$6:$A$505,0)),""))</x:f>
      </x:c>
      <x:c r="J345" s="21"/>
      <x:c r="K345" s="29" t="str">
        <x:f>IF(J345="","",IFERROR(INDEX(DM_LY_DO_DUNG!$C$6:$C$105,MATCH(J345,DM_LY_DO_DUNG!$A$6:$A$105,0)),""))</x:f>
      </x:c>
      <x:c r="L345" s="21"/>
      <x:c r="M345" s="21"/>
      <x:c r="N345" s="21"/>
      <x:c r="O345" s="21"/>
      <x:c r="P345" s="21"/>
      <x:c r="Q345" s="43"/>
      <x:c r="R345" s="29" t="str">
        <x:f>IF(A345="","",IF(OR(B345="",C345="",D345="",J345=""),"Thiếu dữ liệu",IF(D345&lt;C345,"Sai thời gian",IF(AND(P345="Đã đóng",Q345=""),"Thiếu thời điểm đóng","Hợp lệ"))))</x:f>
      </x:c>
    </x:row>
    <x:row r="346">
      <x:c r="A346" s="21"/>
      <x:c r="B346" s="21"/>
      <x:c r="C346" s="43"/>
      <x:c r="D346" s="43"/>
      <x:c r="E346" s="39" t="str">
        <x:f>IF(A346="","",MAX(0,(D346-C346)*1440))</x:f>
      </x:c>
      <x:c r="F346" s="29" t="str">
        <x:f>IF(B346="","",IFERROR(INDEX('05_BAO_CAO_NGAY'!$D$6:$D$505,MATCH(B346,'05_BAO_CAO_NGAY'!$A$6:$A$505,0)),""))</x:f>
      </x:c>
      <x:c r="G346" s="29" t="str">
        <x:f>IF(B346="","",IFERROR(INDEX('05_BAO_CAO_NGAY'!$E$6:$E$505,MATCH(B346,'05_BAO_CAO_NGAY'!$A$6:$A$505,0)),""))</x:f>
      </x:c>
      <x:c r="H346" s="29" t="str">
        <x:f>IF(B346="","",IFERROR(INDEX('05_BAO_CAO_NGAY'!$J$6:$J$505,MATCH(B346,'05_BAO_CAO_NGAY'!$A$6:$A$505,0)),""))</x:f>
      </x:c>
      <x:c r="I346" s="29" t="str">
        <x:f>IF(B346="","",IFERROR(INDEX('05_BAO_CAO_NGAY'!$M$6:$M$505,MATCH(B346,'05_BAO_CAO_NGAY'!$A$6:$A$505,0)),""))</x:f>
      </x:c>
      <x:c r="J346" s="21"/>
      <x:c r="K346" s="29" t="str">
        <x:f>IF(J346="","",IFERROR(INDEX(DM_LY_DO_DUNG!$C$6:$C$105,MATCH(J346,DM_LY_DO_DUNG!$A$6:$A$105,0)),""))</x:f>
      </x:c>
      <x:c r="L346" s="21"/>
      <x:c r="M346" s="21"/>
      <x:c r="N346" s="21"/>
      <x:c r="O346" s="21"/>
      <x:c r="P346" s="21"/>
      <x:c r="Q346" s="43"/>
      <x:c r="R346" s="29" t="str">
        <x:f>IF(A346="","",IF(OR(B346="",C346="",D346="",J346=""),"Thiếu dữ liệu",IF(D346&lt;C346,"Sai thời gian",IF(AND(P346="Đã đóng",Q346=""),"Thiếu thời điểm đóng","Hợp lệ"))))</x:f>
      </x:c>
    </x:row>
    <x:row r="347">
      <x:c r="A347" s="21"/>
      <x:c r="B347" s="21"/>
      <x:c r="C347" s="43"/>
      <x:c r="D347" s="43"/>
      <x:c r="E347" s="39" t="str">
        <x:f>IF(A347="","",MAX(0,(D347-C347)*1440))</x:f>
      </x:c>
      <x:c r="F347" s="29" t="str">
        <x:f>IF(B347="","",IFERROR(INDEX('05_BAO_CAO_NGAY'!$D$6:$D$505,MATCH(B347,'05_BAO_CAO_NGAY'!$A$6:$A$505,0)),""))</x:f>
      </x:c>
      <x:c r="G347" s="29" t="str">
        <x:f>IF(B347="","",IFERROR(INDEX('05_BAO_CAO_NGAY'!$E$6:$E$505,MATCH(B347,'05_BAO_CAO_NGAY'!$A$6:$A$505,0)),""))</x:f>
      </x:c>
      <x:c r="H347" s="29" t="str">
        <x:f>IF(B347="","",IFERROR(INDEX('05_BAO_CAO_NGAY'!$J$6:$J$505,MATCH(B347,'05_BAO_CAO_NGAY'!$A$6:$A$505,0)),""))</x:f>
      </x:c>
      <x:c r="I347" s="29" t="str">
        <x:f>IF(B347="","",IFERROR(INDEX('05_BAO_CAO_NGAY'!$M$6:$M$505,MATCH(B347,'05_BAO_CAO_NGAY'!$A$6:$A$505,0)),""))</x:f>
      </x:c>
      <x:c r="J347" s="21"/>
      <x:c r="K347" s="29" t="str">
        <x:f>IF(J347="","",IFERROR(INDEX(DM_LY_DO_DUNG!$C$6:$C$105,MATCH(J347,DM_LY_DO_DUNG!$A$6:$A$105,0)),""))</x:f>
      </x:c>
      <x:c r="L347" s="21"/>
      <x:c r="M347" s="21"/>
      <x:c r="N347" s="21"/>
      <x:c r="O347" s="21"/>
      <x:c r="P347" s="21"/>
      <x:c r="Q347" s="43"/>
      <x:c r="R347" s="29" t="str">
        <x:f>IF(A347="","",IF(OR(B347="",C347="",D347="",J347=""),"Thiếu dữ liệu",IF(D347&lt;C347,"Sai thời gian",IF(AND(P347="Đã đóng",Q347=""),"Thiếu thời điểm đóng","Hợp lệ"))))</x:f>
      </x:c>
    </x:row>
    <x:row r="348">
      <x:c r="A348" s="21"/>
      <x:c r="B348" s="21"/>
      <x:c r="C348" s="43"/>
      <x:c r="D348" s="43"/>
      <x:c r="E348" s="39" t="str">
        <x:f>IF(A348="","",MAX(0,(D348-C348)*1440))</x:f>
      </x:c>
      <x:c r="F348" s="29" t="str">
        <x:f>IF(B348="","",IFERROR(INDEX('05_BAO_CAO_NGAY'!$D$6:$D$505,MATCH(B348,'05_BAO_CAO_NGAY'!$A$6:$A$505,0)),""))</x:f>
      </x:c>
      <x:c r="G348" s="29" t="str">
        <x:f>IF(B348="","",IFERROR(INDEX('05_BAO_CAO_NGAY'!$E$6:$E$505,MATCH(B348,'05_BAO_CAO_NGAY'!$A$6:$A$505,0)),""))</x:f>
      </x:c>
      <x:c r="H348" s="29" t="str">
        <x:f>IF(B348="","",IFERROR(INDEX('05_BAO_CAO_NGAY'!$J$6:$J$505,MATCH(B348,'05_BAO_CAO_NGAY'!$A$6:$A$505,0)),""))</x:f>
      </x:c>
      <x:c r="I348" s="29" t="str">
        <x:f>IF(B348="","",IFERROR(INDEX('05_BAO_CAO_NGAY'!$M$6:$M$505,MATCH(B348,'05_BAO_CAO_NGAY'!$A$6:$A$505,0)),""))</x:f>
      </x:c>
      <x:c r="J348" s="21"/>
      <x:c r="K348" s="29" t="str">
        <x:f>IF(J348="","",IFERROR(INDEX(DM_LY_DO_DUNG!$C$6:$C$105,MATCH(J348,DM_LY_DO_DUNG!$A$6:$A$105,0)),""))</x:f>
      </x:c>
      <x:c r="L348" s="21"/>
      <x:c r="M348" s="21"/>
      <x:c r="N348" s="21"/>
      <x:c r="O348" s="21"/>
      <x:c r="P348" s="21"/>
      <x:c r="Q348" s="43"/>
      <x:c r="R348" s="29" t="str">
        <x:f>IF(A348="","",IF(OR(B348="",C348="",D348="",J348=""),"Thiếu dữ liệu",IF(D348&lt;C348,"Sai thời gian",IF(AND(P348="Đã đóng",Q348=""),"Thiếu thời điểm đóng","Hợp lệ"))))</x:f>
      </x:c>
    </x:row>
    <x:row r="349">
      <x:c r="A349" s="21"/>
      <x:c r="B349" s="21"/>
      <x:c r="C349" s="43"/>
      <x:c r="D349" s="43"/>
      <x:c r="E349" s="39" t="str">
        <x:f>IF(A349="","",MAX(0,(D349-C349)*1440))</x:f>
      </x:c>
      <x:c r="F349" s="29" t="str">
        <x:f>IF(B349="","",IFERROR(INDEX('05_BAO_CAO_NGAY'!$D$6:$D$505,MATCH(B349,'05_BAO_CAO_NGAY'!$A$6:$A$505,0)),""))</x:f>
      </x:c>
      <x:c r="G349" s="29" t="str">
        <x:f>IF(B349="","",IFERROR(INDEX('05_BAO_CAO_NGAY'!$E$6:$E$505,MATCH(B349,'05_BAO_CAO_NGAY'!$A$6:$A$505,0)),""))</x:f>
      </x:c>
      <x:c r="H349" s="29" t="str">
        <x:f>IF(B349="","",IFERROR(INDEX('05_BAO_CAO_NGAY'!$J$6:$J$505,MATCH(B349,'05_BAO_CAO_NGAY'!$A$6:$A$505,0)),""))</x:f>
      </x:c>
      <x:c r="I349" s="29" t="str">
        <x:f>IF(B349="","",IFERROR(INDEX('05_BAO_CAO_NGAY'!$M$6:$M$505,MATCH(B349,'05_BAO_CAO_NGAY'!$A$6:$A$505,0)),""))</x:f>
      </x:c>
      <x:c r="J349" s="21"/>
      <x:c r="K349" s="29" t="str">
        <x:f>IF(J349="","",IFERROR(INDEX(DM_LY_DO_DUNG!$C$6:$C$105,MATCH(J349,DM_LY_DO_DUNG!$A$6:$A$105,0)),""))</x:f>
      </x:c>
      <x:c r="L349" s="21"/>
      <x:c r="M349" s="21"/>
      <x:c r="N349" s="21"/>
      <x:c r="O349" s="21"/>
      <x:c r="P349" s="21"/>
      <x:c r="Q349" s="43"/>
      <x:c r="R349" s="29" t="str">
        <x:f>IF(A349="","",IF(OR(B349="",C349="",D349="",J349=""),"Thiếu dữ liệu",IF(D349&lt;C349,"Sai thời gian",IF(AND(P349="Đã đóng",Q349=""),"Thiếu thời điểm đóng","Hợp lệ"))))</x:f>
      </x:c>
    </x:row>
    <x:row r="350">
      <x:c r="A350" s="21"/>
      <x:c r="B350" s="21"/>
      <x:c r="C350" s="43"/>
      <x:c r="D350" s="43"/>
      <x:c r="E350" s="39" t="str">
        <x:f>IF(A350="","",MAX(0,(D350-C350)*1440))</x:f>
      </x:c>
      <x:c r="F350" s="29" t="str">
        <x:f>IF(B350="","",IFERROR(INDEX('05_BAO_CAO_NGAY'!$D$6:$D$505,MATCH(B350,'05_BAO_CAO_NGAY'!$A$6:$A$505,0)),""))</x:f>
      </x:c>
      <x:c r="G350" s="29" t="str">
        <x:f>IF(B350="","",IFERROR(INDEX('05_BAO_CAO_NGAY'!$E$6:$E$505,MATCH(B350,'05_BAO_CAO_NGAY'!$A$6:$A$505,0)),""))</x:f>
      </x:c>
      <x:c r="H350" s="29" t="str">
        <x:f>IF(B350="","",IFERROR(INDEX('05_BAO_CAO_NGAY'!$J$6:$J$505,MATCH(B350,'05_BAO_CAO_NGAY'!$A$6:$A$505,0)),""))</x:f>
      </x:c>
      <x:c r="I350" s="29" t="str">
        <x:f>IF(B350="","",IFERROR(INDEX('05_BAO_CAO_NGAY'!$M$6:$M$505,MATCH(B350,'05_BAO_CAO_NGAY'!$A$6:$A$505,0)),""))</x:f>
      </x:c>
      <x:c r="J350" s="21"/>
      <x:c r="K350" s="29" t="str">
        <x:f>IF(J350="","",IFERROR(INDEX(DM_LY_DO_DUNG!$C$6:$C$105,MATCH(J350,DM_LY_DO_DUNG!$A$6:$A$105,0)),""))</x:f>
      </x:c>
      <x:c r="L350" s="21"/>
      <x:c r="M350" s="21"/>
      <x:c r="N350" s="21"/>
      <x:c r="O350" s="21"/>
      <x:c r="P350" s="21"/>
      <x:c r="Q350" s="43"/>
      <x:c r="R350" s="29" t="str">
        <x:f>IF(A350="","",IF(OR(B350="",C350="",D350="",J350=""),"Thiếu dữ liệu",IF(D350&lt;C350,"Sai thời gian",IF(AND(P350="Đã đóng",Q350=""),"Thiếu thời điểm đóng","Hợp lệ"))))</x:f>
      </x:c>
    </x:row>
    <x:row r="351">
      <x:c r="A351" s="21"/>
      <x:c r="B351" s="21"/>
      <x:c r="C351" s="43"/>
      <x:c r="D351" s="43"/>
      <x:c r="E351" s="39" t="str">
        <x:f>IF(A351="","",MAX(0,(D351-C351)*1440))</x:f>
      </x:c>
      <x:c r="F351" s="29" t="str">
        <x:f>IF(B351="","",IFERROR(INDEX('05_BAO_CAO_NGAY'!$D$6:$D$505,MATCH(B351,'05_BAO_CAO_NGAY'!$A$6:$A$505,0)),""))</x:f>
      </x:c>
      <x:c r="G351" s="29" t="str">
        <x:f>IF(B351="","",IFERROR(INDEX('05_BAO_CAO_NGAY'!$E$6:$E$505,MATCH(B351,'05_BAO_CAO_NGAY'!$A$6:$A$505,0)),""))</x:f>
      </x:c>
      <x:c r="H351" s="29" t="str">
        <x:f>IF(B351="","",IFERROR(INDEX('05_BAO_CAO_NGAY'!$J$6:$J$505,MATCH(B351,'05_BAO_CAO_NGAY'!$A$6:$A$505,0)),""))</x:f>
      </x:c>
      <x:c r="I351" s="29" t="str">
        <x:f>IF(B351="","",IFERROR(INDEX('05_BAO_CAO_NGAY'!$M$6:$M$505,MATCH(B351,'05_BAO_CAO_NGAY'!$A$6:$A$505,0)),""))</x:f>
      </x:c>
      <x:c r="J351" s="21"/>
      <x:c r="K351" s="29" t="str">
        <x:f>IF(J351="","",IFERROR(INDEX(DM_LY_DO_DUNG!$C$6:$C$105,MATCH(J351,DM_LY_DO_DUNG!$A$6:$A$105,0)),""))</x:f>
      </x:c>
      <x:c r="L351" s="21"/>
      <x:c r="M351" s="21"/>
      <x:c r="N351" s="21"/>
      <x:c r="O351" s="21"/>
      <x:c r="P351" s="21"/>
      <x:c r="Q351" s="43"/>
      <x:c r="R351" s="29" t="str">
        <x:f>IF(A351="","",IF(OR(B351="",C351="",D351="",J351=""),"Thiếu dữ liệu",IF(D351&lt;C351,"Sai thời gian",IF(AND(P351="Đã đóng",Q351=""),"Thiếu thời điểm đóng","Hợp lệ"))))</x:f>
      </x:c>
    </x:row>
    <x:row r="352">
      <x:c r="A352" s="21"/>
      <x:c r="B352" s="21"/>
      <x:c r="C352" s="43"/>
      <x:c r="D352" s="43"/>
      <x:c r="E352" s="39" t="str">
        <x:f>IF(A352="","",MAX(0,(D352-C352)*1440))</x:f>
      </x:c>
      <x:c r="F352" s="29" t="str">
        <x:f>IF(B352="","",IFERROR(INDEX('05_BAO_CAO_NGAY'!$D$6:$D$505,MATCH(B352,'05_BAO_CAO_NGAY'!$A$6:$A$505,0)),""))</x:f>
      </x:c>
      <x:c r="G352" s="29" t="str">
        <x:f>IF(B352="","",IFERROR(INDEX('05_BAO_CAO_NGAY'!$E$6:$E$505,MATCH(B352,'05_BAO_CAO_NGAY'!$A$6:$A$505,0)),""))</x:f>
      </x:c>
      <x:c r="H352" s="29" t="str">
        <x:f>IF(B352="","",IFERROR(INDEX('05_BAO_CAO_NGAY'!$J$6:$J$505,MATCH(B352,'05_BAO_CAO_NGAY'!$A$6:$A$505,0)),""))</x:f>
      </x:c>
      <x:c r="I352" s="29" t="str">
        <x:f>IF(B352="","",IFERROR(INDEX('05_BAO_CAO_NGAY'!$M$6:$M$505,MATCH(B352,'05_BAO_CAO_NGAY'!$A$6:$A$505,0)),""))</x:f>
      </x:c>
      <x:c r="J352" s="21"/>
      <x:c r="K352" s="29" t="str">
        <x:f>IF(J352="","",IFERROR(INDEX(DM_LY_DO_DUNG!$C$6:$C$105,MATCH(J352,DM_LY_DO_DUNG!$A$6:$A$105,0)),""))</x:f>
      </x:c>
      <x:c r="L352" s="21"/>
      <x:c r="M352" s="21"/>
      <x:c r="N352" s="21"/>
      <x:c r="O352" s="21"/>
      <x:c r="P352" s="21"/>
      <x:c r="Q352" s="43"/>
      <x:c r="R352" s="29" t="str">
        <x:f>IF(A352="","",IF(OR(B352="",C352="",D352="",J352=""),"Thiếu dữ liệu",IF(D352&lt;C352,"Sai thời gian",IF(AND(P352="Đã đóng",Q352=""),"Thiếu thời điểm đóng","Hợp lệ"))))</x:f>
      </x:c>
    </x:row>
    <x:row r="353">
      <x:c r="A353" s="21"/>
      <x:c r="B353" s="21"/>
      <x:c r="C353" s="43"/>
      <x:c r="D353" s="43"/>
      <x:c r="E353" s="39" t="str">
        <x:f>IF(A353="","",MAX(0,(D353-C353)*1440))</x:f>
      </x:c>
      <x:c r="F353" s="29" t="str">
        <x:f>IF(B353="","",IFERROR(INDEX('05_BAO_CAO_NGAY'!$D$6:$D$505,MATCH(B353,'05_BAO_CAO_NGAY'!$A$6:$A$505,0)),""))</x:f>
      </x:c>
      <x:c r="G353" s="29" t="str">
        <x:f>IF(B353="","",IFERROR(INDEX('05_BAO_CAO_NGAY'!$E$6:$E$505,MATCH(B353,'05_BAO_CAO_NGAY'!$A$6:$A$505,0)),""))</x:f>
      </x:c>
      <x:c r="H353" s="29" t="str">
        <x:f>IF(B353="","",IFERROR(INDEX('05_BAO_CAO_NGAY'!$J$6:$J$505,MATCH(B353,'05_BAO_CAO_NGAY'!$A$6:$A$505,0)),""))</x:f>
      </x:c>
      <x:c r="I353" s="29" t="str">
        <x:f>IF(B353="","",IFERROR(INDEX('05_BAO_CAO_NGAY'!$M$6:$M$505,MATCH(B353,'05_BAO_CAO_NGAY'!$A$6:$A$505,0)),""))</x:f>
      </x:c>
      <x:c r="J353" s="21"/>
      <x:c r="K353" s="29" t="str">
        <x:f>IF(J353="","",IFERROR(INDEX(DM_LY_DO_DUNG!$C$6:$C$105,MATCH(J353,DM_LY_DO_DUNG!$A$6:$A$105,0)),""))</x:f>
      </x:c>
      <x:c r="L353" s="21"/>
      <x:c r="M353" s="21"/>
      <x:c r="N353" s="21"/>
      <x:c r="O353" s="21"/>
      <x:c r="P353" s="21"/>
      <x:c r="Q353" s="43"/>
      <x:c r="R353" s="29" t="str">
        <x:f>IF(A353="","",IF(OR(B353="",C353="",D353="",J353=""),"Thiếu dữ liệu",IF(D353&lt;C353,"Sai thời gian",IF(AND(P353="Đã đóng",Q353=""),"Thiếu thời điểm đóng","Hợp lệ"))))</x:f>
      </x:c>
    </x:row>
    <x:row r="354">
      <x:c r="A354" s="21"/>
      <x:c r="B354" s="21"/>
      <x:c r="C354" s="43"/>
      <x:c r="D354" s="43"/>
      <x:c r="E354" s="39" t="str">
        <x:f>IF(A354="","",MAX(0,(D354-C354)*1440))</x:f>
      </x:c>
      <x:c r="F354" s="29" t="str">
        <x:f>IF(B354="","",IFERROR(INDEX('05_BAO_CAO_NGAY'!$D$6:$D$505,MATCH(B354,'05_BAO_CAO_NGAY'!$A$6:$A$505,0)),""))</x:f>
      </x:c>
      <x:c r="G354" s="29" t="str">
        <x:f>IF(B354="","",IFERROR(INDEX('05_BAO_CAO_NGAY'!$E$6:$E$505,MATCH(B354,'05_BAO_CAO_NGAY'!$A$6:$A$505,0)),""))</x:f>
      </x:c>
      <x:c r="H354" s="29" t="str">
        <x:f>IF(B354="","",IFERROR(INDEX('05_BAO_CAO_NGAY'!$J$6:$J$505,MATCH(B354,'05_BAO_CAO_NGAY'!$A$6:$A$505,0)),""))</x:f>
      </x:c>
      <x:c r="I354" s="29" t="str">
        <x:f>IF(B354="","",IFERROR(INDEX('05_BAO_CAO_NGAY'!$M$6:$M$505,MATCH(B354,'05_BAO_CAO_NGAY'!$A$6:$A$505,0)),""))</x:f>
      </x:c>
      <x:c r="J354" s="21"/>
      <x:c r="K354" s="29" t="str">
        <x:f>IF(J354="","",IFERROR(INDEX(DM_LY_DO_DUNG!$C$6:$C$105,MATCH(J354,DM_LY_DO_DUNG!$A$6:$A$105,0)),""))</x:f>
      </x:c>
      <x:c r="L354" s="21"/>
      <x:c r="M354" s="21"/>
      <x:c r="N354" s="21"/>
      <x:c r="O354" s="21"/>
      <x:c r="P354" s="21"/>
      <x:c r="Q354" s="43"/>
      <x:c r="R354" s="29" t="str">
        <x:f>IF(A354="","",IF(OR(B354="",C354="",D354="",J354=""),"Thiếu dữ liệu",IF(D354&lt;C354,"Sai thời gian",IF(AND(P354="Đã đóng",Q354=""),"Thiếu thời điểm đóng","Hợp lệ"))))</x:f>
      </x:c>
    </x:row>
    <x:row r="355">
      <x:c r="A355" s="21"/>
      <x:c r="B355" s="21"/>
      <x:c r="C355" s="43"/>
      <x:c r="D355" s="43"/>
      <x:c r="E355" s="39" t="str">
        <x:f>IF(A355="","",MAX(0,(D355-C355)*1440))</x:f>
      </x:c>
      <x:c r="F355" s="29" t="str">
        <x:f>IF(B355="","",IFERROR(INDEX('05_BAO_CAO_NGAY'!$D$6:$D$505,MATCH(B355,'05_BAO_CAO_NGAY'!$A$6:$A$505,0)),""))</x:f>
      </x:c>
      <x:c r="G355" s="29" t="str">
        <x:f>IF(B355="","",IFERROR(INDEX('05_BAO_CAO_NGAY'!$E$6:$E$505,MATCH(B355,'05_BAO_CAO_NGAY'!$A$6:$A$505,0)),""))</x:f>
      </x:c>
      <x:c r="H355" s="29" t="str">
        <x:f>IF(B355="","",IFERROR(INDEX('05_BAO_CAO_NGAY'!$J$6:$J$505,MATCH(B355,'05_BAO_CAO_NGAY'!$A$6:$A$505,0)),""))</x:f>
      </x:c>
      <x:c r="I355" s="29" t="str">
        <x:f>IF(B355="","",IFERROR(INDEX('05_BAO_CAO_NGAY'!$M$6:$M$505,MATCH(B355,'05_BAO_CAO_NGAY'!$A$6:$A$505,0)),""))</x:f>
      </x:c>
      <x:c r="J355" s="21"/>
      <x:c r="K355" s="29" t="str">
        <x:f>IF(J355="","",IFERROR(INDEX(DM_LY_DO_DUNG!$C$6:$C$105,MATCH(J355,DM_LY_DO_DUNG!$A$6:$A$105,0)),""))</x:f>
      </x:c>
      <x:c r="L355" s="21"/>
      <x:c r="M355" s="21"/>
      <x:c r="N355" s="21"/>
      <x:c r="O355" s="21"/>
      <x:c r="P355" s="21"/>
      <x:c r="Q355" s="43"/>
      <x:c r="R355" s="29" t="str">
        <x:f>IF(A355="","",IF(OR(B355="",C355="",D355="",J355=""),"Thiếu dữ liệu",IF(D355&lt;C355,"Sai thời gian",IF(AND(P355="Đã đóng",Q355=""),"Thiếu thời điểm đóng","Hợp lệ"))))</x:f>
      </x:c>
    </x:row>
    <x:row r="356">
      <x:c r="A356" s="21"/>
      <x:c r="B356" s="21"/>
      <x:c r="C356" s="43"/>
      <x:c r="D356" s="43"/>
      <x:c r="E356" s="39" t="str">
        <x:f>IF(A356="","",MAX(0,(D356-C356)*1440))</x:f>
      </x:c>
      <x:c r="F356" s="29" t="str">
        <x:f>IF(B356="","",IFERROR(INDEX('05_BAO_CAO_NGAY'!$D$6:$D$505,MATCH(B356,'05_BAO_CAO_NGAY'!$A$6:$A$505,0)),""))</x:f>
      </x:c>
      <x:c r="G356" s="29" t="str">
        <x:f>IF(B356="","",IFERROR(INDEX('05_BAO_CAO_NGAY'!$E$6:$E$505,MATCH(B356,'05_BAO_CAO_NGAY'!$A$6:$A$505,0)),""))</x:f>
      </x:c>
      <x:c r="H356" s="29" t="str">
        <x:f>IF(B356="","",IFERROR(INDEX('05_BAO_CAO_NGAY'!$J$6:$J$505,MATCH(B356,'05_BAO_CAO_NGAY'!$A$6:$A$505,0)),""))</x:f>
      </x:c>
      <x:c r="I356" s="29" t="str">
        <x:f>IF(B356="","",IFERROR(INDEX('05_BAO_CAO_NGAY'!$M$6:$M$505,MATCH(B356,'05_BAO_CAO_NGAY'!$A$6:$A$505,0)),""))</x:f>
      </x:c>
      <x:c r="J356" s="21"/>
      <x:c r="K356" s="29" t="str">
        <x:f>IF(J356="","",IFERROR(INDEX(DM_LY_DO_DUNG!$C$6:$C$105,MATCH(J356,DM_LY_DO_DUNG!$A$6:$A$105,0)),""))</x:f>
      </x:c>
      <x:c r="L356" s="21"/>
      <x:c r="M356" s="21"/>
      <x:c r="N356" s="21"/>
      <x:c r="O356" s="21"/>
      <x:c r="P356" s="21"/>
      <x:c r="Q356" s="43"/>
      <x:c r="R356" s="29" t="str">
        <x:f>IF(A356="","",IF(OR(B356="",C356="",D356="",J356=""),"Thiếu dữ liệu",IF(D356&lt;C356,"Sai thời gian",IF(AND(P356="Đã đóng",Q356=""),"Thiếu thời điểm đóng","Hợp lệ"))))</x:f>
      </x:c>
    </x:row>
    <x:row r="357">
      <x:c r="A357" s="21"/>
      <x:c r="B357" s="21"/>
      <x:c r="C357" s="43"/>
      <x:c r="D357" s="43"/>
      <x:c r="E357" s="39" t="str">
        <x:f>IF(A357="","",MAX(0,(D357-C357)*1440))</x:f>
      </x:c>
      <x:c r="F357" s="29" t="str">
        <x:f>IF(B357="","",IFERROR(INDEX('05_BAO_CAO_NGAY'!$D$6:$D$505,MATCH(B357,'05_BAO_CAO_NGAY'!$A$6:$A$505,0)),""))</x:f>
      </x:c>
      <x:c r="G357" s="29" t="str">
        <x:f>IF(B357="","",IFERROR(INDEX('05_BAO_CAO_NGAY'!$E$6:$E$505,MATCH(B357,'05_BAO_CAO_NGAY'!$A$6:$A$505,0)),""))</x:f>
      </x:c>
      <x:c r="H357" s="29" t="str">
        <x:f>IF(B357="","",IFERROR(INDEX('05_BAO_CAO_NGAY'!$J$6:$J$505,MATCH(B357,'05_BAO_CAO_NGAY'!$A$6:$A$505,0)),""))</x:f>
      </x:c>
      <x:c r="I357" s="29" t="str">
        <x:f>IF(B357="","",IFERROR(INDEX('05_BAO_CAO_NGAY'!$M$6:$M$505,MATCH(B357,'05_BAO_CAO_NGAY'!$A$6:$A$505,0)),""))</x:f>
      </x:c>
      <x:c r="J357" s="21"/>
      <x:c r="K357" s="29" t="str">
        <x:f>IF(J357="","",IFERROR(INDEX(DM_LY_DO_DUNG!$C$6:$C$105,MATCH(J357,DM_LY_DO_DUNG!$A$6:$A$105,0)),""))</x:f>
      </x:c>
      <x:c r="L357" s="21"/>
      <x:c r="M357" s="21"/>
      <x:c r="N357" s="21"/>
      <x:c r="O357" s="21"/>
      <x:c r="P357" s="21"/>
      <x:c r="Q357" s="43"/>
      <x:c r="R357" s="29" t="str">
        <x:f>IF(A357="","",IF(OR(B357="",C357="",D357="",J357=""),"Thiếu dữ liệu",IF(D357&lt;C357,"Sai thời gian",IF(AND(P357="Đã đóng",Q357=""),"Thiếu thời điểm đóng","Hợp lệ"))))</x:f>
      </x:c>
    </x:row>
    <x:row r="358">
      <x:c r="A358" s="21"/>
      <x:c r="B358" s="21"/>
      <x:c r="C358" s="43"/>
      <x:c r="D358" s="43"/>
      <x:c r="E358" s="39" t="str">
        <x:f>IF(A358="","",MAX(0,(D358-C358)*1440))</x:f>
      </x:c>
      <x:c r="F358" s="29" t="str">
        <x:f>IF(B358="","",IFERROR(INDEX('05_BAO_CAO_NGAY'!$D$6:$D$505,MATCH(B358,'05_BAO_CAO_NGAY'!$A$6:$A$505,0)),""))</x:f>
      </x:c>
      <x:c r="G358" s="29" t="str">
        <x:f>IF(B358="","",IFERROR(INDEX('05_BAO_CAO_NGAY'!$E$6:$E$505,MATCH(B358,'05_BAO_CAO_NGAY'!$A$6:$A$505,0)),""))</x:f>
      </x:c>
      <x:c r="H358" s="29" t="str">
        <x:f>IF(B358="","",IFERROR(INDEX('05_BAO_CAO_NGAY'!$J$6:$J$505,MATCH(B358,'05_BAO_CAO_NGAY'!$A$6:$A$505,0)),""))</x:f>
      </x:c>
      <x:c r="I358" s="29" t="str">
        <x:f>IF(B358="","",IFERROR(INDEX('05_BAO_CAO_NGAY'!$M$6:$M$505,MATCH(B358,'05_BAO_CAO_NGAY'!$A$6:$A$505,0)),""))</x:f>
      </x:c>
      <x:c r="J358" s="21"/>
      <x:c r="K358" s="29" t="str">
        <x:f>IF(J358="","",IFERROR(INDEX(DM_LY_DO_DUNG!$C$6:$C$105,MATCH(J358,DM_LY_DO_DUNG!$A$6:$A$105,0)),""))</x:f>
      </x:c>
      <x:c r="L358" s="21"/>
      <x:c r="M358" s="21"/>
      <x:c r="N358" s="21"/>
      <x:c r="O358" s="21"/>
      <x:c r="P358" s="21"/>
      <x:c r="Q358" s="43"/>
      <x:c r="R358" s="29" t="str">
        <x:f>IF(A358="","",IF(OR(B358="",C358="",D358="",J358=""),"Thiếu dữ liệu",IF(D358&lt;C358,"Sai thời gian",IF(AND(P358="Đã đóng",Q358=""),"Thiếu thời điểm đóng","Hợp lệ"))))</x:f>
      </x:c>
    </x:row>
    <x:row r="359">
      <x:c r="A359" s="21"/>
      <x:c r="B359" s="21"/>
      <x:c r="C359" s="43"/>
      <x:c r="D359" s="43"/>
      <x:c r="E359" s="39" t="str">
        <x:f>IF(A359="","",MAX(0,(D359-C359)*1440))</x:f>
      </x:c>
      <x:c r="F359" s="29" t="str">
        <x:f>IF(B359="","",IFERROR(INDEX('05_BAO_CAO_NGAY'!$D$6:$D$505,MATCH(B359,'05_BAO_CAO_NGAY'!$A$6:$A$505,0)),""))</x:f>
      </x:c>
      <x:c r="G359" s="29" t="str">
        <x:f>IF(B359="","",IFERROR(INDEX('05_BAO_CAO_NGAY'!$E$6:$E$505,MATCH(B359,'05_BAO_CAO_NGAY'!$A$6:$A$505,0)),""))</x:f>
      </x:c>
      <x:c r="H359" s="29" t="str">
        <x:f>IF(B359="","",IFERROR(INDEX('05_BAO_CAO_NGAY'!$J$6:$J$505,MATCH(B359,'05_BAO_CAO_NGAY'!$A$6:$A$505,0)),""))</x:f>
      </x:c>
      <x:c r="I359" s="29" t="str">
        <x:f>IF(B359="","",IFERROR(INDEX('05_BAO_CAO_NGAY'!$M$6:$M$505,MATCH(B359,'05_BAO_CAO_NGAY'!$A$6:$A$505,0)),""))</x:f>
      </x:c>
      <x:c r="J359" s="21"/>
      <x:c r="K359" s="29" t="str">
        <x:f>IF(J359="","",IFERROR(INDEX(DM_LY_DO_DUNG!$C$6:$C$105,MATCH(J359,DM_LY_DO_DUNG!$A$6:$A$105,0)),""))</x:f>
      </x:c>
      <x:c r="L359" s="21"/>
      <x:c r="M359" s="21"/>
      <x:c r="N359" s="21"/>
      <x:c r="O359" s="21"/>
      <x:c r="P359" s="21"/>
      <x:c r="Q359" s="43"/>
      <x:c r="R359" s="29" t="str">
        <x:f>IF(A359="","",IF(OR(B359="",C359="",D359="",J359=""),"Thiếu dữ liệu",IF(D359&lt;C359,"Sai thời gian",IF(AND(P359="Đã đóng",Q359=""),"Thiếu thời điểm đóng","Hợp lệ"))))</x:f>
      </x:c>
    </x:row>
    <x:row r="360">
      <x:c r="A360" s="21"/>
      <x:c r="B360" s="21"/>
      <x:c r="C360" s="43"/>
      <x:c r="D360" s="43"/>
      <x:c r="E360" s="39" t="str">
        <x:f>IF(A360="","",MAX(0,(D360-C360)*1440))</x:f>
      </x:c>
      <x:c r="F360" s="29" t="str">
        <x:f>IF(B360="","",IFERROR(INDEX('05_BAO_CAO_NGAY'!$D$6:$D$505,MATCH(B360,'05_BAO_CAO_NGAY'!$A$6:$A$505,0)),""))</x:f>
      </x:c>
      <x:c r="G360" s="29" t="str">
        <x:f>IF(B360="","",IFERROR(INDEX('05_BAO_CAO_NGAY'!$E$6:$E$505,MATCH(B360,'05_BAO_CAO_NGAY'!$A$6:$A$505,0)),""))</x:f>
      </x:c>
      <x:c r="H360" s="29" t="str">
        <x:f>IF(B360="","",IFERROR(INDEX('05_BAO_CAO_NGAY'!$J$6:$J$505,MATCH(B360,'05_BAO_CAO_NGAY'!$A$6:$A$505,0)),""))</x:f>
      </x:c>
      <x:c r="I360" s="29" t="str">
        <x:f>IF(B360="","",IFERROR(INDEX('05_BAO_CAO_NGAY'!$M$6:$M$505,MATCH(B360,'05_BAO_CAO_NGAY'!$A$6:$A$505,0)),""))</x:f>
      </x:c>
      <x:c r="J360" s="21"/>
      <x:c r="K360" s="29" t="str">
        <x:f>IF(J360="","",IFERROR(INDEX(DM_LY_DO_DUNG!$C$6:$C$105,MATCH(J360,DM_LY_DO_DUNG!$A$6:$A$105,0)),""))</x:f>
      </x:c>
      <x:c r="L360" s="21"/>
      <x:c r="M360" s="21"/>
      <x:c r="N360" s="21"/>
      <x:c r="O360" s="21"/>
      <x:c r="P360" s="21"/>
      <x:c r="Q360" s="43"/>
      <x:c r="R360" s="29" t="str">
        <x:f>IF(A360="","",IF(OR(B360="",C360="",D360="",J360=""),"Thiếu dữ liệu",IF(D360&lt;C360,"Sai thời gian",IF(AND(P360="Đã đóng",Q360=""),"Thiếu thời điểm đóng","Hợp lệ"))))</x:f>
      </x:c>
    </x:row>
    <x:row r="361">
      <x:c r="A361" s="21"/>
      <x:c r="B361" s="21"/>
      <x:c r="C361" s="43"/>
      <x:c r="D361" s="43"/>
      <x:c r="E361" s="39" t="str">
        <x:f>IF(A361="","",MAX(0,(D361-C361)*1440))</x:f>
      </x:c>
      <x:c r="F361" s="29" t="str">
        <x:f>IF(B361="","",IFERROR(INDEX('05_BAO_CAO_NGAY'!$D$6:$D$505,MATCH(B361,'05_BAO_CAO_NGAY'!$A$6:$A$505,0)),""))</x:f>
      </x:c>
      <x:c r="G361" s="29" t="str">
        <x:f>IF(B361="","",IFERROR(INDEX('05_BAO_CAO_NGAY'!$E$6:$E$505,MATCH(B361,'05_BAO_CAO_NGAY'!$A$6:$A$505,0)),""))</x:f>
      </x:c>
      <x:c r="H361" s="29" t="str">
        <x:f>IF(B361="","",IFERROR(INDEX('05_BAO_CAO_NGAY'!$J$6:$J$505,MATCH(B361,'05_BAO_CAO_NGAY'!$A$6:$A$505,0)),""))</x:f>
      </x:c>
      <x:c r="I361" s="29" t="str">
        <x:f>IF(B361="","",IFERROR(INDEX('05_BAO_CAO_NGAY'!$M$6:$M$505,MATCH(B361,'05_BAO_CAO_NGAY'!$A$6:$A$505,0)),""))</x:f>
      </x:c>
      <x:c r="J361" s="21"/>
      <x:c r="K361" s="29" t="str">
        <x:f>IF(J361="","",IFERROR(INDEX(DM_LY_DO_DUNG!$C$6:$C$105,MATCH(J361,DM_LY_DO_DUNG!$A$6:$A$105,0)),""))</x:f>
      </x:c>
      <x:c r="L361" s="21"/>
      <x:c r="M361" s="21"/>
      <x:c r="N361" s="21"/>
      <x:c r="O361" s="21"/>
      <x:c r="P361" s="21"/>
      <x:c r="Q361" s="43"/>
      <x:c r="R361" s="29" t="str">
        <x:f>IF(A361="","",IF(OR(B361="",C361="",D361="",J361=""),"Thiếu dữ liệu",IF(D361&lt;C361,"Sai thời gian",IF(AND(P361="Đã đóng",Q361=""),"Thiếu thời điểm đóng","Hợp lệ"))))</x:f>
      </x:c>
    </x:row>
    <x:row r="362">
      <x:c r="A362" s="21"/>
      <x:c r="B362" s="21"/>
      <x:c r="C362" s="43"/>
      <x:c r="D362" s="43"/>
      <x:c r="E362" s="39" t="str">
        <x:f>IF(A362="","",MAX(0,(D362-C362)*1440))</x:f>
      </x:c>
      <x:c r="F362" s="29" t="str">
        <x:f>IF(B362="","",IFERROR(INDEX('05_BAO_CAO_NGAY'!$D$6:$D$505,MATCH(B362,'05_BAO_CAO_NGAY'!$A$6:$A$505,0)),""))</x:f>
      </x:c>
      <x:c r="G362" s="29" t="str">
        <x:f>IF(B362="","",IFERROR(INDEX('05_BAO_CAO_NGAY'!$E$6:$E$505,MATCH(B362,'05_BAO_CAO_NGAY'!$A$6:$A$505,0)),""))</x:f>
      </x:c>
      <x:c r="H362" s="29" t="str">
        <x:f>IF(B362="","",IFERROR(INDEX('05_BAO_CAO_NGAY'!$J$6:$J$505,MATCH(B362,'05_BAO_CAO_NGAY'!$A$6:$A$505,0)),""))</x:f>
      </x:c>
      <x:c r="I362" s="29" t="str">
        <x:f>IF(B362="","",IFERROR(INDEX('05_BAO_CAO_NGAY'!$M$6:$M$505,MATCH(B362,'05_BAO_CAO_NGAY'!$A$6:$A$505,0)),""))</x:f>
      </x:c>
      <x:c r="J362" s="21"/>
      <x:c r="K362" s="29" t="str">
        <x:f>IF(J362="","",IFERROR(INDEX(DM_LY_DO_DUNG!$C$6:$C$105,MATCH(J362,DM_LY_DO_DUNG!$A$6:$A$105,0)),""))</x:f>
      </x:c>
      <x:c r="L362" s="21"/>
      <x:c r="M362" s="21"/>
      <x:c r="N362" s="21"/>
      <x:c r="O362" s="21"/>
      <x:c r="P362" s="21"/>
      <x:c r="Q362" s="43"/>
      <x:c r="R362" s="29" t="str">
        <x:f>IF(A362="","",IF(OR(B362="",C362="",D362="",J362=""),"Thiếu dữ liệu",IF(D362&lt;C362,"Sai thời gian",IF(AND(P362="Đã đóng",Q362=""),"Thiếu thời điểm đóng","Hợp lệ"))))</x:f>
      </x:c>
    </x:row>
    <x:row r="363">
      <x:c r="A363" s="21"/>
      <x:c r="B363" s="21"/>
      <x:c r="C363" s="43"/>
      <x:c r="D363" s="43"/>
      <x:c r="E363" s="39" t="str">
        <x:f>IF(A363="","",MAX(0,(D363-C363)*1440))</x:f>
      </x:c>
      <x:c r="F363" s="29" t="str">
        <x:f>IF(B363="","",IFERROR(INDEX('05_BAO_CAO_NGAY'!$D$6:$D$505,MATCH(B363,'05_BAO_CAO_NGAY'!$A$6:$A$505,0)),""))</x:f>
      </x:c>
      <x:c r="G363" s="29" t="str">
        <x:f>IF(B363="","",IFERROR(INDEX('05_BAO_CAO_NGAY'!$E$6:$E$505,MATCH(B363,'05_BAO_CAO_NGAY'!$A$6:$A$505,0)),""))</x:f>
      </x:c>
      <x:c r="H363" s="29" t="str">
        <x:f>IF(B363="","",IFERROR(INDEX('05_BAO_CAO_NGAY'!$J$6:$J$505,MATCH(B363,'05_BAO_CAO_NGAY'!$A$6:$A$505,0)),""))</x:f>
      </x:c>
      <x:c r="I363" s="29" t="str">
        <x:f>IF(B363="","",IFERROR(INDEX('05_BAO_CAO_NGAY'!$M$6:$M$505,MATCH(B363,'05_BAO_CAO_NGAY'!$A$6:$A$505,0)),""))</x:f>
      </x:c>
      <x:c r="J363" s="21"/>
      <x:c r="K363" s="29" t="str">
        <x:f>IF(J363="","",IFERROR(INDEX(DM_LY_DO_DUNG!$C$6:$C$105,MATCH(J363,DM_LY_DO_DUNG!$A$6:$A$105,0)),""))</x:f>
      </x:c>
      <x:c r="L363" s="21"/>
      <x:c r="M363" s="21"/>
      <x:c r="N363" s="21"/>
      <x:c r="O363" s="21"/>
      <x:c r="P363" s="21"/>
      <x:c r="Q363" s="43"/>
      <x:c r="R363" s="29" t="str">
        <x:f>IF(A363="","",IF(OR(B363="",C363="",D363="",J363=""),"Thiếu dữ liệu",IF(D363&lt;C363,"Sai thời gian",IF(AND(P363="Đã đóng",Q363=""),"Thiếu thời điểm đóng","Hợp lệ"))))</x:f>
      </x:c>
    </x:row>
    <x:row r="364">
      <x:c r="A364" s="21"/>
      <x:c r="B364" s="21"/>
      <x:c r="C364" s="43"/>
      <x:c r="D364" s="43"/>
      <x:c r="E364" s="39" t="str">
        <x:f>IF(A364="","",MAX(0,(D364-C364)*1440))</x:f>
      </x:c>
      <x:c r="F364" s="29" t="str">
        <x:f>IF(B364="","",IFERROR(INDEX('05_BAO_CAO_NGAY'!$D$6:$D$505,MATCH(B364,'05_BAO_CAO_NGAY'!$A$6:$A$505,0)),""))</x:f>
      </x:c>
      <x:c r="G364" s="29" t="str">
        <x:f>IF(B364="","",IFERROR(INDEX('05_BAO_CAO_NGAY'!$E$6:$E$505,MATCH(B364,'05_BAO_CAO_NGAY'!$A$6:$A$505,0)),""))</x:f>
      </x:c>
      <x:c r="H364" s="29" t="str">
        <x:f>IF(B364="","",IFERROR(INDEX('05_BAO_CAO_NGAY'!$J$6:$J$505,MATCH(B364,'05_BAO_CAO_NGAY'!$A$6:$A$505,0)),""))</x:f>
      </x:c>
      <x:c r="I364" s="29" t="str">
        <x:f>IF(B364="","",IFERROR(INDEX('05_BAO_CAO_NGAY'!$M$6:$M$505,MATCH(B364,'05_BAO_CAO_NGAY'!$A$6:$A$505,0)),""))</x:f>
      </x:c>
      <x:c r="J364" s="21"/>
      <x:c r="K364" s="29" t="str">
        <x:f>IF(J364="","",IFERROR(INDEX(DM_LY_DO_DUNG!$C$6:$C$105,MATCH(J364,DM_LY_DO_DUNG!$A$6:$A$105,0)),""))</x:f>
      </x:c>
      <x:c r="L364" s="21"/>
      <x:c r="M364" s="21"/>
      <x:c r="N364" s="21"/>
      <x:c r="O364" s="21"/>
      <x:c r="P364" s="21"/>
      <x:c r="Q364" s="43"/>
      <x:c r="R364" s="29" t="str">
        <x:f>IF(A364="","",IF(OR(B364="",C364="",D364="",J364=""),"Thiếu dữ liệu",IF(D364&lt;C364,"Sai thời gian",IF(AND(P364="Đã đóng",Q364=""),"Thiếu thời điểm đóng","Hợp lệ"))))</x:f>
      </x:c>
    </x:row>
    <x:row r="365">
      <x:c r="A365" s="21"/>
      <x:c r="B365" s="21"/>
      <x:c r="C365" s="43"/>
      <x:c r="D365" s="43"/>
      <x:c r="E365" s="39" t="str">
        <x:f>IF(A365="","",MAX(0,(D365-C365)*1440))</x:f>
      </x:c>
      <x:c r="F365" s="29" t="str">
        <x:f>IF(B365="","",IFERROR(INDEX('05_BAO_CAO_NGAY'!$D$6:$D$505,MATCH(B365,'05_BAO_CAO_NGAY'!$A$6:$A$505,0)),""))</x:f>
      </x:c>
      <x:c r="G365" s="29" t="str">
        <x:f>IF(B365="","",IFERROR(INDEX('05_BAO_CAO_NGAY'!$E$6:$E$505,MATCH(B365,'05_BAO_CAO_NGAY'!$A$6:$A$505,0)),""))</x:f>
      </x:c>
      <x:c r="H365" s="29" t="str">
        <x:f>IF(B365="","",IFERROR(INDEX('05_BAO_CAO_NGAY'!$J$6:$J$505,MATCH(B365,'05_BAO_CAO_NGAY'!$A$6:$A$505,0)),""))</x:f>
      </x:c>
      <x:c r="I365" s="29" t="str">
        <x:f>IF(B365="","",IFERROR(INDEX('05_BAO_CAO_NGAY'!$M$6:$M$505,MATCH(B365,'05_BAO_CAO_NGAY'!$A$6:$A$505,0)),""))</x:f>
      </x:c>
      <x:c r="J365" s="21"/>
      <x:c r="K365" s="29" t="str">
        <x:f>IF(J365="","",IFERROR(INDEX(DM_LY_DO_DUNG!$C$6:$C$105,MATCH(J365,DM_LY_DO_DUNG!$A$6:$A$105,0)),""))</x:f>
      </x:c>
      <x:c r="L365" s="21"/>
      <x:c r="M365" s="21"/>
      <x:c r="N365" s="21"/>
      <x:c r="O365" s="21"/>
      <x:c r="P365" s="21"/>
      <x:c r="Q365" s="43"/>
      <x:c r="R365" s="29" t="str">
        <x:f>IF(A365="","",IF(OR(B365="",C365="",D365="",J365=""),"Thiếu dữ liệu",IF(D365&lt;C365,"Sai thời gian",IF(AND(P365="Đã đóng",Q365=""),"Thiếu thời điểm đóng","Hợp lệ"))))</x:f>
      </x:c>
    </x:row>
    <x:row r="366">
      <x:c r="A366" s="21"/>
      <x:c r="B366" s="21"/>
      <x:c r="C366" s="43"/>
      <x:c r="D366" s="43"/>
      <x:c r="E366" s="39" t="str">
        <x:f>IF(A366="","",MAX(0,(D366-C366)*1440))</x:f>
      </x:c>
      <x:c r="F366" s="29" t="str">
        <x:f>IF(B366="","",IFERROR(INDEX('05_BAO_CAO_NGAY'!$D$6:$D$505,MATCH(B366,'05_BAO_CAO_NGAY'!$A$6:$A$505,0)),""))</x:f>
      </x:c>
      <x:c r="G366" s="29" t="str">
        <x:f>IF(B366="","",IFERROR(INDEX('05_BAO_CAO_NGAY'!$E$6:$E$505,MATCH(B366,'05_BAO_CAO_NGAY'!$A$6:$A$505,0)),""))</x:f>
      </x:c>
      <x:c r="H366" s="29" t="str">
        <x:f>IF(B366="","",IFERROR(INDEX('05_BAO_CAO_NGAY'!$J$6:$J$505,MATCH(B366,'05_BAO_CAO_NGAY'!$A$6:$A$505,0)),""))</x:f>
      </x:c>
      <x:c r="I366" s="29" t="str">
        <x:f>IF(B366="","",IFERROR(INDEX('05_BAO_CAO_NGAY'!$M$6:$M$505,MATCH(B366,'05_BAO_CAO_NGAY'!$A$6:$A$505,0)),""))</x:f>
      </x:c>
      <x:c r="J366" s="21"/>
      <x:c r="K366" s="29" t="str">
        <x:f>IF(J366="","",IFERROR(INDEX(DM_LY_DO_DUNG!$C$6:$C$105,MATCH(J366,DM_LY_DO_DUNG!$A$6:$A$105,0)),""))</x:f>
      </x:c>
      <x:c r="L366" s="21"/>
      <x:c r="M366" s="21"/>
      <x:c r="N366" s="21"/>
      <x:c r="O366" s="21"/>
      <x:c r="P366" s="21"/>
      <x:c r="Q366" s="43"/>
      <x:c r="R366" s="29" t="str">
        <x:f>IF(A366="","",IF(OR(B366="",C366="",D366="",J366=""),"Thiếu dữ liệu",IF(D366&lt;C366,"Sai thời gian",IF(AND(P366="Đã đóng",Q366=""),"Thiếu thời điểm đóng","Hợp lệ"))))</x:f>
      </x:c>
    </x:row>
    <x:row r="367">
      <x:c r="A367" s="21"/>
      <x:c r="B367" s="21"/>
      <x:c r="C367" s="43"/>
      <x:c r="D367" s="43"/>
      <x:c r="E367" s="39" t="str">
        <x:f>IF(A367="","",MAX(0,(D367-C367)*1440))</x:f>
      </x:c>
      <x:c r="F367" s="29" t="str">
        <x:f>IF(B367="","",IFERROR(INDEX('05_BAO_CAO_NGAY'!$D$6:$D$505,MATCH(B367,'05_BAO_CAO_NGAY'!$A$6:$A$505,0)),""))</x:f>
      </x:c>
      <x:c r="G367" s="29" t="str">
        <x:f>IF(B367="","",IFERROR(INDEX('05_BAO_CAO_NGAY'!$E$6:$E$505,MATCH(B367,'05_BAO_CAO_NGAY'!$A$6:$A$505,0)),""))</x:f>
      </x:c>
      <x:c r="H367" s="29" t="str">
        <x:f>IF(B367="","",IFERROR(INDEX('05_BAO_CAO_NGAY'!$J$6:$J$505,MATCH(B367,'05_BAO_CAO_NGAY'!$A$6:$A$505,0)),""))</x:f>
      </x:c>
      <x:c r="I367" s="29" t="str">
        <x:f>IF(B367="","",IFERROR(INDEX('05_BAO_CAO_NGAY'!$M$6:$M$505,MATCH(B367,'05_BAO_CAO_NGAY'!$A$6:$A$505,0)),""))</x:f>
      </x:c>
      <x:c r="J367" s="21"/>
      <x:c r="K367" s="29" t="str">
        <x:f>IF(J367="","",IFERROR(INDEX(DM_LY_DO_DUNG!$C$6:$C$105,MATCH(J367,DM_LY_DO_DUNG!$A$6:$A$105,0)),""))</x:f>
      </x:c>
      <x:c r="L367" s="21"/>
      <x:c r="M367" s="21"/>
      <x:c r="N367" s="21"/>
      <x:c r="O367" s="21"/>
      <x:c r="P367" s="21"/>
      <x:c r="Q367" s="43"/>
      <x:c r="R367" s="29" t="str">
        <x:f>IF(A367="","",IF(OR(B367="",C367="",D367="",J367=""),"Thiếu dữ liệu",IF(D367&lt;C367,"Sai thời gian",IF(AND(P367="Đã đóng",Q367=""),"Thiếu thời điểm đóng","Hợp lệ"))))</x:f>
      </x:c>
    </x:row>
    <x:row r="368">
      <x:c r="A368" s="21"/>
      <x:c r="B368" s="21"/>
      <x:c r="C368" s="43"/>
      <x:c r="D368" s="43"/>
      <x:c r="E368" s="39" t="str">
        <x:f>IF(A368="","",MAX(0,(D368-C368)*1440))</x:f>
      </x:c>
      <x:c r="F368" s="29" t="str">
        <x:f>IF(B368="","",IFERROR(INDEX('05_BAO_CAO_NGAY'!$D$6:$D$505,MATCH(B368,'05_BAO_CAO_NGAY'!$A$6:$A$505,0)),""))</x:f>
      </x:c>
      <x:c r="G368" s="29" t="str">
        <x:f>IF(B368="","",IFERROR(INDEX('05_BAO_CAO_NGAY'!$E$6:$E$505,MATCH(B368,'05_BAO_CAO_NGAY'!$A$6:$A$505,0)),""))</x:f>
      </x:c>
      <x:c r="H368" s="29" t="str">
        <x:f>IF(B368="","",IFERROR(INDEX('05_BAO_CAO_NGAY'!$J$6:$J$505,MATCH(B368,'05_BAO_CAO_NGAY'!$A$6:$A$505,0)),""))</x:f>
      </x:c>
      <x:c r="I368" s="29" t="str">
        <x:f>IF(B368="","",IFERROR(INDEX('05_BAO_CAO_NGAY'!$M$6:$M$505,MATCH(B368,'05_BAO_CAO_NGAY'!$A$6:$A$505,0)),""))</x:f>
      </x:c>
      <x:c r="J368" s="21"/>
      <x:c r="K368" s="29" t="str">
        <x:f>IF(J368="","",IFERROR(INDEX(DM_LY_DO_DUNG!$C$6:$C$105,MATCH(J368,DM_LY_DO_DUNG!$A$6:$A$105,0)),""))</x:f>
      </x:c>
      <x:c r="L368" s="21"/>
      <x:c r="M368" s="21"/>
      <x:c r="N368" s="21"/>
      <x:c r="O368" s="21"/>
      <x:c r="P368" s="21"/>
      <x:c r="Q368" s="43"/>
      <x:c r="R368" s="29" t="str">
        <x:f>IF(A368="","",IF(OR(B368="",C368="",D368="",J368=""),"Thiếu dữ liệu",IF(D368&lt;C368,"Sai thời gian",IF(AND(P368="Đã đóng",Q368=""),"Thiếu thời điểm đóng","Hợp lệ"))))</x:f>
      </x:c>
    </x:row>
    <x:row r="369">
      <x:c r="A369" s="21"/>
      <x:c r="B369" s="21"/>
      <x:c r="C369" s="43"/>
      <x:c r="D369" s="43"/>
      <x:c r="E369" s="39" t="str">
        <x:f>IF(A369="","",MAX(0,(D369-C369)*1440))</x:f>
      </x:c>
      <x:c r="F369" s="29" t="str">
        <x:f>IF(B369="","",IFERROR(INDEX('05_BAO_CAO_NGAY'!$D$6:$D$505,MATCH(B369,'05_BAO_CAO_NGAY'!$A$6:$A$505,0)),""))</x:f>
      </x:c>
      <x:c r="G369" s="29" t="str">
        <x:f>IF(B369="","",IFERROR(INDEX('05_BAO_CAO_NGAY'!$E$6:$E$505,MATCH(B369,'05_BAO_CAO_NGAY'!$A$6:$A$505,0)),""))</x:f>
      </x:c>
      <x:c r="H369" s="29" t="str">
        <x:f>IF(B369="","",IFERROR(INDEX('05_BAO_CAO_NGAY'!$J$6:$J$505,MATCH(B369,'05_BAO_CAO_NGAY'!$A$6:$A$505,0)),""))</x:f>
      </x:c>
      <x:c r="I369" s="29" t="str">
        <x:f>IF(B369="","",IFERROR(INDEX('05_BAO_CAO_NGAY'!$M$6:$M$505,MATCH(B369,'05_BAO_CAO_NGAY'!$A$6:$A$505,0)),""))</x:f>
      </x:c>
      <x:c r="J369" s="21"/>
      <x:c r="K369" s="29" t="str">
        <x:f>IF(J369="","",IFERROR(INDEX(DM_LY_DO_DUNG!$C$6:$C$105,MATCH(J369,DM_LY_DO_DUNG!$A$6:$A$105,0)),""))</x:f>
      </x:c>
      <x:c r="L369" s="21"/>
      <x:c r="M369" s="21"/>
      <x:c r="N369" s="21"/>
      <x:c r="O369" s="21"/>
      <x:c r="P369" s="21"/>
      <x:c r="Q369" s="43"/>
      <x:c r="R369" s="29" t="str">
        <x:f>IF(A369="","",IF(OR(B369="",C369="",D369="",J369=""),"Thiếu dữ liệu",IF(D369&lt;C369,"Sai thời gian",IF(AND(P369="Đã đóng",Q369=""),"Thiếu thời điểm đóng","Hợp lệ"))))</x:f>
      </x:c>
    </x:row>
    <x:row r="370">
      <x:c r="A370" s="21"/>
      <x:c r="B370" s="21"/>
      <x:c r="C370" s="43"/>
      <x:c r="D370" s="43"/>
      <x:c r="E370" s="39" t="str">
        <x:f>IF(A370="","",MAX(0,(D370-C370)*1440))</x:f>
      </x:c>
      <x:c r="F370" s="29" t="str">
        <x:f>IF(B370="","",IFERROR(INDEX('05_BAO_CAO_NGAY'!$D$6:$D$505,MATCH(B370,'05_BAO_CAO_NGAY'!$A$6:$A$505,0)),""))</x:f>
      </x:c>
      <x:c r="G370" s="29" t="str">
        <x:f>IF(B370="","",IFERROR(INDEX('05_BAO_CAO_NGAY'!$E$6:$E$505,MATCH(B370,'05_BAO_CAO_NGAY'!$A$6:$A$505,0)),""))</x:f>
      </x:c>
      <x:c r="H370" s="29" t="str">
        <x:f>IF(B370="","",IFERROR(INDEX('05_BAO_CAO_NGAY'!$J$6:$J$505,MATCH(B370,'05_BAO_CAO_NGAY'!$A$6:$A$505,0)),""))</x:f>
      </x:c>
      <x:c r="I370" s="29" t="str">
        <x:f>IF(B370="","",IFERROR(INDEX('05_BAO_CAO_NGAY'!$M$6:$M$505,MATCH(B370,'05_BAO_CAO_NGAY'!$A$6:$A$505,0)),""))</x:f>
      </x:c>
      <x:c r="J370" s="21"/>
      <x:c r="K370" s="29" t="str">
        <x:f>IF(J370="","",IFERROR(INDEX(DM_LY_DO_DUNG!$C$6:$C$105,MATCH(J370,DM_LY_DO_DUNG!$A$6:$A$105,0)),""))</x:f>
      </x:c>
      <x:c r="L370" s="21"/>
      <x:c r="M370" s="21"/>
      <x:c r="N370" s="21"/>
      <x:c r="O370" s="21"/>
      <x:c r="P370" s="21"/>
      <x:c r="Q370" s="43"/>
      <x:c r="R370" s="29" t="str">
        <x:f>IF(A370="","",IF(OR(B370="",C370="",D370="",J370=""),"Thiếu dữ liệu",IF(D370&lt;C370,"Sai thời gian",IF(AND(P370="Đã đóng",Q370=""),"Thiếu thời điểm đóng","Hợp lệ"))))</x:f>
      </x:c>
    </x:row>
    <x:row r="371">
      <x:c r="A371" s="21"/>
      <x:c r="B371" s="21"/>
      <x:c r="C371" s="43"/>
      <x:c r="D371" s="43"/>
      <x:c r="E371" s="39" t="str">
        <x:f>IF(A371="","",MAX(0,(D371-C371)*1440))</x:f>
      </x:c>
      <x:c r="F371" s="29" t="str">
        <x:f>IF(B371="","",IFERROR(INDEX('05_BAO_CAO_NGAY'!$D$6:$D$505,MATCH(B371,'05_BAO_CAO_NGAY'!$A$6:$A$505,0)),""))</x:f>
      </x:c>
      <x:c r="G371" s="29" t="str">
        <x:f>IF(B371="","",IFERROR(INDEX('05_BAO_CAO_NGAY'!$E$6:$E$505,MATCH(B371,'05_BAO_CAO_NGAY'!$A$6:$A$505,0)),""))</x:f>
      </x:c>
      <x:c r="H371" s="29" t="str">
        <x:f>IF(B371="","",IFERROR(INDEX('05_BAO_CAO_NGAY'!$J$6:$J$505,MATCH(B371,'05_BAO_CAO_NGAY'!$A$6:$A$505,0)),""))</x:f>
      </x:c>
      <x:c r="I371" s="29" t="str">
        <x:f>IF(B371="","",IFERROR(INDEX('05_BAO_CAO_NGAY'!$M$6:$M$505,MATCH(B371,'05_BAO_CAO_NGAY'!$A$6:$A$505,0)),""))</x:f>
      </x:c>
      <x:c r="J371" s="21"/>
      <x:c r="K371" s="29" t="str">
        <x:f>IF(J371="","",IFERROR(INDEX(DM_LY_DO_DUNG!$C$6:$C$105,MATCH(J371,DM_LY_DO_DUNG!$A$6:$A$105,0)),""))</x:f>
      </x:c>
      <x:c r="L371" s="21"/>
      <x:c r="M371" s="21"/>
      <x:c r="N371" s="21"/>
      <x:c r="O371" s="21"/>
      <x:c r="P371" s="21"/>
      <x:c r="Q371" s="43"/>
      <x:c r="R371" s="29" t="str">
        <x:f>IF(A371="","",IF(OR(B371="",C371="",D371="",J371=""),"Thiếu dữ liệu",IF(D371&lt;C371,"Sai thời gian",IF(AND(P371="Đã đóng",Q371=""),"Thiếu thời điểm đóng","Hợp lệ"))))</x:f>
      </x:c>
    </x:row>
    <x:row r="372">
      <x:c r="A372" s="21"/>
      <x:c r="B372" s="21"/>
      <x:c r="C372" s="43"/>
      <x:c r="D372" s="43"/>
      <x:c r="E372" s="39" t="str">
        <x:f>IF(A372="","",MAX(0,(D372-C372)*1440))</x:f>
      </x:c>
      <x:c r="F372" s="29" t="str">
        <x:f>IF(B372="","",IFERROR(INDEX('05_BAO_CAO_NGAY'!$D$6:$D$505,MATCH(B372,'05_BAO_CAO_NGAY'!$A$6:$A$505,0)),""))</x:f>
      </x:c>
      <x:c r="G372" s="29" t="str">
        <x:f>IF(B372="","",IFERROR(INDEX('05_BAO_CAO_NGAY'!$E$6:$E$505,MATCH(B372,'05_BAO_CAO_NGAY'!$A$6:$A$505,0)),""))</x:f>
      </x:c>
      <x:c r="H372" s="29" t="str">
        <x:f>IF(B372="","",IFERROR(INDEX('05_BAO_CAO_NGAY'!$J$6:$J$505,MATCH(B372,'05_BAO_CAO_NGAY'!$A$6:$A$505,0)),""))</x:f>
      </x:c>
      <x:c r="I372" s="29" t="str">
        <x:f>IF(B372="","",IFERROR(INDEX('05_BAO_CAO_NGAY'!$M$6:$M$505,MATCH(B372,'05_BAO_CAO_NGAY'!$A$6:$A$505,0)),""))</x:f>
      </x:c>
      <x:c r="J372" s="21"/>
      <x:c r="K372" s="29" t="str">
        <x:f>IF(J372="","",IFERROR(INDEX(DM_LY_DO_DUNG!$C$6:$C$105,MATCH(J372,DM_LY_DO_DUNG!$A$6:$A$105,0)),""))</x:f>
      </x:c>
      <x:c r="L372" s="21"/>
      <x:c r="M372" s="21"/>
      <x:c r="N372" s="21"/>
      <x:c r="O372" s="21"/>
      <x:c r="P372" s="21"/>
      <x:c r="Q372" s="43"/>
      <x:c r="R372" s="29" t="str">
        <x:f>IF(A372="","",IF(OR(B372="",C372="",D372="",J372=""),"Thiếu dữ liệu",IF(D372&lt;C372,"Sai thời gian",IF(AND(P372="Đã đóng",Q372=""),"Thiếu thời điểm đóng","Hợp lệ"))))</x:f>
      </x:c>
    </x:row>
    <x:row r="373">
      <x:c r="A373" s="21"/>
      <x:c r="B373" s="21"/>
      <x:c r="C373" s="43"/>
      <x:c r="D373" s="43"/>
      <x:c r="E373" s="39" t="str">
        <x:f>IF(A373="","",MAX(0,(D373-C373)*1440))</x:f>
      </x:c>
      <x:c r="F373" s="29" t="str">
        <x:f>IF(B373="","",IFERROR(INDEX('05_BAO_CAO_NGAY'!$D$6:$D$505,MATCH(B373,'05_BAO_CAO_NGAY'!$A$6:$A$505,0)),""))</x:f>
      </x:c>
      <x:c r="G373" s="29" t="str">
        <x:f>IF(B373="","",IFERROR(INDEX('05_BAO_CAO_NGAY'!$E$6:$E$505,MATCH(B373,'05_BAO_CAO_NGAY'!$A$6:$A$505,0)),""))</x:f>
      </x:c>
      <x:c r="H373" s="29" t="str">
        <x:f>IF(B373="","",IFERROR(INDEX('05_BAO_CAO_NGAY'!$J$6:$J$505,MATCH(B373,'05_BAO_CAO_NGAY'!$A$6:$A$505,0)),""))</x:f>
      </x:c>
      <x:c r="I373" s="29" t="str">
        <x:f>IF(B373="","",IFERROR(INDEX('05_BAO_CAO_NGAY'!$M$6:$M$505,MATCH(B373,'05_BAO_CAO_NGAY'!$A$6:$A$505,0)),""))</x:f>
      </x:c>
      <x:c r="J373" s="21"/>
      <x:c r="K373" s="29" t="str">
        <x:f>IF(J373="","",IFERROR(INDEX(DM_LY_DO_DUNG!$C$6:$C$105,MATCH(J373,DM_LY_DO_DUNG!$A$6:$A$105,0)),""))</x:f>
      </x:c>
      <x:c r="L373" s="21"/>
      <x:c r="M373" s="21"/>
      <x:c r="N373" s="21"/>
      <x:c r="O373" s="21"/>
      <x:c r="P373" s="21"/>
      <x:c r="Q373" s="43"/>
      <x:c r="R373" s="29" t="str">
        <x:f>IF(A373="","",IF(OR(B373="",C373="",D373="",J373=""),"Thiếu dữ liệu",IF(D373&lt;C373,"Sai thời gian",IF(AND(P373="Đã đóng",Q373=""),"Thiếu thời điểm đóng","Hợp lệ"))))</x:f>
      </x:c>
    </x:row>
    <x:row r="374">
      <x:c r="A374" s="21"/>
      <x:c r="B374" s="21"/>
      <x:c r="C374" s="43"/>
      <x:c r="D374" s="43"/>
      <x:c r="E374" s="39" t="str">
        <x:f>IF(A374="","",MAX(0,(D374-C374)*1440))</x:f>
      </x:c>
      <x:c r="F374" s="29" t="str">
        <x:f>IF(B374="","",IFERROR(INDEX('05_BAO_CAO_NGAY'!$D$6:$D$505,MATCH(B374,'05_BAO_CAO_NGAY'!$A$6:$A$505,0)),""))</x:f>
      </x:c>
      <x:c r="G374" s="29" t="str">
        <x:f>IF(B374="","",IFERROR(INDEX('05_BAO_CAO_NGAY'!$E$6:$E$505,MATCH(B374,'05_BAO_CAO_NGAY'!$A$6:$A$505,0)),""))</x:f>
      </x:c>
      <x:c r="H374" s="29" t="str">
        <x:f>IF(B374="","",IFERROR(INDEX('05_BAO_CAO_NGAY'!$J$6:$J$505,MATCH(B374,'05_BAO_CAO_NGAY'!$A$6:$A$505,0)),""))</x:f>
      </x:c>
      <x:c r="I374" s="29" t="str">
        <x:f>IF(B374="","",IFERROR(INDEX('05_BAO_CAO_NGAY'!$M$6:$M$505,MATCH(B374,'05_BAO_CAO_NGAY'!$A$6:$A$505,0)),""))</x:f>
      </x:c>
      <x:c r="J374" s="21"/>
      <x:c r="K374" s="29" t="str">
        <x:f>IF(J374="","",IFERROR(INDEX(DM_LY_DO_DUNG!$C$6:$C$105,MATCH(J374,DM_LY_DO_DUNG!$A$6:$A$105,0)),""))</x:f>
      </x:c>
      <x:c r="L374" s="21"/>
      <x:c r="M374" s="21"/>
      <x:c r="N374" s="21"/>
      <x:c r="O374" s="21"/>
      <x:c r="P374" s="21"/>
      <x:c r="Q374" s="43"/>
      <x:c r="R374" s="29" t="str">
        <x:f>IF(A374="","",IF(OR(B374="",C374="",D374="",J374=""),"Thiếu dữ liệu",IF(D374&lt;C374,"Sai thời gian",IF(AND(P374="Đã đóng",Q374=""),"Thiếu thời điểm đóng","Hợp lệ"))))</x:f>
      </x:c>
    </x:row>
    <x:row r="375">
      <x:c r="A375" s="21"/>
      <x:c r="B375" s="21"/>
      <x:c r="C375" s="43"/>
      <x:c r="D375" s="43"/>
      <x:c r="E375" s="39" t="str">
        <x:f>IF(A375="","",MAX(0,(D375-C375)*1440))</x:f>
      </x:c>
      <x:c r="F375" s="29" t="str">
        <x:f>IF(B375="","",IFERROR(INDEX('05_BAO_CAO_NGAY'!$D$6:$D$505,MATCH(B375,'05_BAO_CAO_NGAY'!$A$6:$A$505,0)),""))</x:f>
      </x:c>
      <x:c r="G375" s="29" t="str">
        <x:f>IF(B375="","",IFERROR(INDEX('05_BAO_CAO_NGAY'!$E$6:$E$505,MATCH(B375,'05_BAO_CAO_NGAY'!$A$6:$A$505,0)),""))</x:f>
      </x:c>
      <x:c r="H375" s="29" t="str">
        <x:f>IF(B375="","",IFERROR(INDEX('05_BAO_CAO_NGAY'!$J$6:$J$505,MATCH(B375,'05_BAO_CAO_NGAY'!$A$6:$A$505,0)),""))</x:f>
      </x:c>
      <x:c r="I375" s="29" t="str">
        <x:f>IF(B375="","",IFERROR(INDEX('05_BAO_CAO_NGAY'!$M$6:$M$505,MATCH(B375,'05_BAO_CAO_NGAY'!$A$6:$A$505,0)),""))</x:f>
      </x:c>
      <x:c r="J375" s="21"/>
      <x:c r="K375" s="29" t="str">
        <x:f>IF(J375="","",IFERROR(INDEX(DM_LY_DO_DUNG!$C$6:$C$105,MATCH(J375,DM_LY_DO_DUNG!$A$6:$A$105,0)),""))</x:f>
      </x:c>
      <x:c r="L375" s="21"/>
      <x:c r="M375" s="21"/>
      <x:c r="N375" s="21"/>
      <x:c r="O375" s="21"/>
      <x:c r="P375" s="21"/>
      <x:c r="Q375" s="43"/>
      <x:c r="R375" s="29" t="str">
        <x:f>IF(A375="","",IF(OR(B375="",C375="",D375="",J375=""),"Thiếu dữ liệu",IF(D375&lt;C375,"Sai thời gian",IF(AND(P375="Đã đóng",Q375=""),"Thiếu thời điểm đóng","Hợp lệ"))))</x:f>
      </x:c>
    </x:row>
    <x:row r="376">
      <x:c r="A376" s="21"/>
      <x:c r="B376" s="21"/>
      <x:c r="C376" s="43"/>
      <x:c r="D376" s="43"/>
      <x:c r="E376" s="39" t="str">
        <x:f>IF(A376="","",MAX(0,(D376-C376)*1440))</x:f>
      </x:c>
      <x:c r="F376" s="29" t="str">
        <x:f>IF(B376="","",IFERROR(INDEX('05_BAO_CAO_NGAY'!$D$6:$D$505,MATCH(B376,'05_BAO_CAO_NGAY'!$A$6:$A$505,0)),""))</x:f>
      </x:c>
      <x:c r="G376" s="29" t="str">
        <x:f>IF(B376="","",IFERROR(INDEX('05_BAO_CAO_NGAY'!$E$6:$E$505,MATCH(B376,'05_BAO_CAO_NGAY'!$A$6:$A$505,0)),""))</x:f>
      </x:c>
      <x:c r="H376" s="29" t="str">
        <x:f>IF(B376="","",IFERROR(INDEX('05_BAO_CAO_NGAY'!$J$6:$J$505,MATCH(B376,'05_BAO_CAO_NGAY'!$A$6:$A$505,0)),""))</x:f>
      </x:c>
      <x:c r="I376" s="29" t="str">
        <x:f>IF(B376="","",IFERROR(INDEX('05_BAO_CAO_NGAY'!$M$6:$M$505,MATCH(B376,'05_BAO_CAO_NGAY'!$A$6:$A$505,0)),""))</x:f>
      </x:c>
      <x:c r="J376" s="21"/>
      <x:c r="K376" s="29" t="str">
        <x:f>IF(J376="","",IFERROR(INDEX(DM_LY_DO_DUNG!$C$6:$C$105,MATCH(J376,DM_LY_DO_DUNG!$A$6:$A$105,0)),""))</x:f>
      </x:c>
      <x:c r="L376" s="21"/>
      <x:c r="M376" s="21"/>
      <x:c r="N376" s="21"/>
      <x:c r="O376" s="21"/>
      <x:c r="P376" s="21"/>
      <x:c r="Q376" s="43"/>
      <x:c r="R376" s="29" t="str">
        <x:f>IF(A376="","",IF(OR(B376="",C376="",D376="",J376=""),"Thiếu dữ liệu",IF(D376&lt;C376,"Sai thời gian",IF(AND(P376="Đã đóng",Q376=""),"Thiếu thời điểm đóng","Hợp lệ"))))</x:f>
      </x:c>
    </x:row>
    <x:row r="377">
      <x:c r="A377" s="21"/>
      <x:c r="B377" s="21"/>
      <x:c r="C377" s="43"/>
      <x:c r="D377" s="43"/>
      <x:c r="E377" s="39" t="str">
        <x:f>IF(A377="","",MAX(0,(D377-C377)*1440))</x:f>
      </x:c>
      <x:c r="F377" s="29" t="str">
        <x:f>IF(B377="","",IFERROR(INDEX('05_BAO_CAO_NGAY'!$D$6:$D$505,MATCH(B377,'05_BAO_CAO_NGAY'!$A$6:$A$505,0)),""))</x:f>
      </x:c>
      <x:c r="G377" s="29" t="str">
        <x:f>IF(B377="","",IFERROR(INDEX('05_BAO_CAO_NGAY'!$E$6:$E$505,MATCH(B377,'05_BAO_CAO_NGAY'!$A$6:$A$505,0)),""))</x:f>
      </x:c>
      <x:c r="H377" s="29" t="str">
        <x:f>IF(B377="","",IFERROR(INDEX('05_BAO_CAO_NGAY'!$J$6:$J$505,MATCH(B377,'05_BAO_CAO_NGAY'!$A$6:$A$505,0)),""))</x:f>
      </x:c>
      <x:c r="I377" s="29" t="str">
        <x:f>IF(B377="","",IFERROR(INDEX('05_BAO_CAO_NGAY'!$M$6:$M$505,MATCH(B377,'05_BAO_CAO_NGAY'!$A$6:$A$505,0)),""))</x:f>
      </x:c>
      <x:c r="J377" s="21"/>
      <x:c r="K377" s="29" t="str">
        <x:f>IF(J377="","",IFERROR(INDEX(DM_LY_DO_DUNG!$C$6:$C$105,MATCH(J377,DM_LY_DO_DUNG!$A$6:$A$105,0)),""))</x:f>
      </x:c>
      <x:c r="L377" s="21"/>
      <x:c r="M377" s="21"/>
      <x:c r="N377" s="21"/>
      <x:c r="O377" s="21"/>
      <x:c r="P377" s="21"/>
      <x:c r="Q377" s="43"/>
      <x:c r="R377" s="29" t="str">
        <x:f>IF(A377="","",IF(OR(B377="",C377="",D377="",J377=""),"Thiếu dữ liệu",IF(D377&lt;C377,"Sai thời gian",IF(AND(P377="Đã đóng",Q377=""),"Thiếu thời điểm đóng","Hợp lệ"))))</x:f>
      </x:c>
    </x:row>
    <x:row r="378">
      <x:c r="A378" s="21"/>
      <x:c r="B378" s="21"/>
      <x:c r="C378" s="43"/>
      <x:c r="D378" s="43"/>
      <x:c r="E378" s="39" t="str">
        <x:f>IF(A378="","",MAX(0,(D378-C378)*1440))</x:f>
      </x:c>
      <x:c r="F378" s="29" t="str">
        <x:f>IF(B378="","",IFERROR(INDEX('05_BAO_CAO_NGAY'!$D$6:$D$505,MATCH(B378,'05_BAO_CAO_NGAY'!$A$6:$A$505,0)),""))</x:f>
      </x:c>
      <x:c r="G378" s="29" t="str">
        <x:f>IF(B378="","",IFERROR(INDEX('05_BAO_CAO_NGAY'!$E$6:$E$505,MATCH(B378,'05_BAO_CAO_NGAY'!$A$6:$A$505,0)),""))</x:f>
      </x:c>
      <x:c r="H378" s="29" t="str">
        <x:f>IF(B378="","",IFERROR(INDEX('05_BAO_CAO_NGAY'!$J$6:$J$505,MATCH(B378,'05_BAO_CAO_NGAY'!$A$6:$A$505,0)),""))</x:f>
      </x:c>
      <x:c r="I378" s="29" t="str">
        <x:f>IF(B378="","",IFERROR(INDEX('05_BAO_CAO_NGAY'!$M$6:$M$505,MATCH(B378,'05_BAO_CAO_NGAY'!$A$6:$A$505,0)),""))</x:f>
      </x:c>
      <x:c r="J378" s="21"/>
      <x:c r="K378" s="29" t="str">
        <x:f>IF(J378="","",IFERROR(INDEX(DM_LY_DO_DUNG!$C$6:$C$105,MATCH(J378,DM_LY_DO_DUNG!$A$6:$A$105,0)),""))</x:f>
      </x:c>
      <x:c r="L378" s="21"/>
      <x:c r="M378" s="21"/>
      <x:c r="N378" s="21"/>
      <x:c r="O378" s="21"/>
      <x:c r="P378" s="21"/>
      <x:c r="Q378" s="43"/>
      <x:c r="R378" s="29" t="str">
        <x:f>IF(A378="","",IF(OR(B378="",C378="",D378="",J378=""),"Thiếu dữ liệu",IF(D378&lt;C378,"Sai thời gian",IF(AND(P378="Đã đóng",Q378=""),"Thiếu thời điểm đóng","Hợp lệ"))))</x:f>
      </x:c>
    </x:row>
    <x:row r="379">
      <x:c r="A379" s="21"/>
      <x:c r="B379" s="21"/>
      <x:c r="C379" s="43"/>
      <x:c r="D379" s="43"/>
      <x:c r="E379" s="39" t="str">
        <x:f>IF(A379="","",MAX(0,(D379-C379)*1440))</x:f>
      </x:c>
      <x:c r="F379" s="29" t="str">
        <x:f>IF(B379="","",IFERROR(INDEX('05_BAO_CAO_NGAY'!$D$6:$D$505,MATCH(B379,'05_BAO_CAO_NGAY'!$A$6:$A$505,0)),""))</x:f>
      </x:c>
      <x:c r="G379" s="29" t="str">
        <x:f>IF(B379="","",IFERROR(INDEX('05_BAO_CAO_NGAY'!$E$6:$E$505,MATCH(B379,'05_BAO_CAO_NGAY'!$A$6:$A$505,0)),""))</x:f>
      </x:c>
      <x:c r="H379" s="29" t="str">
        <x:f>IF(B379="","",IFERROR(INDEX('05_BAO_CAO_NGAY'!$J$6:$J$505,MATCH(B379,'05_BAO_CAO_NGAY'!$A$6:$A$505,0)),""))</x:f>
      </x:c>
      <x:c r="I379" s="29" t="str">
        <x:f>IF(B379="","",IFERROR(INDEX('05_BAO_CAO_NGAY'!$M$6:$M$505,MATCH(B379,'05_BAO_CAO_NGAY'!$A$6:$A$505,0)),""))</x:f>
      </x:c>
      <x:c r="J379" s="21"/>
      <x:c r="K379" s="29" t="str">
        <x:f>IF(J379="","",IFERROR(INDEX(DM_LY_DO_DUNG!$C$6:$C$105,MATCH(J379,DM_LY_DO_DUNG!$A$6:$A$105,0)),""))</x:f>
      </x:c>
      <x:c r="L379" s="21"/>
      <x:c r="M379" s="21"/>
      <x:c r="N379" s="21"/>
      <x:c r="O379" s="21"/>
      <x:c r="P379" s="21"/>
      <x:c r="Q379" s="43"/>
      <x:c r="R379" s="29" t="str">
        <x:f>IF(A379="","",IF(OR(B379="",C379="",D379="",J379=""),"Thiếu dữ liệu",IF(D379&lt;C379,"Sai thời gian",IF(AND(P379="Đã đóng",Q379=""),"Thiếu thời điểm đóng","Hợp lệ"))))</x:f>
      </x:c>
    </x:row>
    <x:row r="380">
      <x:c r="A380" s="21"/>
      <x:c r="B380" s="21"/>
      <x:c r="C380" s="43"/>
      <x:c r="D380" s="43"/>
      <x:c r="E380" s="39" t="str">
        <x:f>IF(A380="","",MAX(0,(D380-C380)*1440))</x:f>
      </x:c>
      <x:c r="F380" s="29" t="str">
        <x:f>IF(B380="","",IFERROR(INDEX('05_BAO_CAO_NGAY'!$D$6:$D$505,MATCH(B380,'05_BAO_CAO_NGAY'!$A$6:$A$505,0)),""))</x:f>
      </x:c>
      <x:c r="G380" s="29" t="str">
        <x:f>IF(B380="","",IFERROR(INDEX('05_BAO_CAO_NGAY'!$E$6:$E$505,MATCH(B380,'05_BAO_CAO_NGAY'!$A$6:$A$505,0)),""))</x:f>
      </x:c>
      <x:c r="H380" s="29" t="str">
        <x:f>IF(B380="","",IFERROR(INDEX('05_BAO_CAO_NGAY'!$J$6:$J$505,MATCH(B380,'05_BAO_CAO_NGAY'!$A$6:$A$505,0)),""))</x:f>
      </x:c>
      <x:c r="I380" s="29" t="str">
        <x:f>IF(B380="","",IFERROR(INDEX('05_BAO_CAO_NGAY'!$M$6:$M$505,MATCH(B380,'05_BAO_CAO_NGAY'!$A$6:$A$505,0)),""))</x:f>
      </x:c>
      <x:c r="J380" s="21"/>
      <x:c r="K380" s="29" t="str">
        <x:f>IF(J380="","",IFERROR(INDEX(DM_LY_DO_DUNG!$C$6:$C$105,MATCH(J380,DM_LY_DO_DUNG!$A$6:$A$105,0)),""))</x:f>
      </x:c>
      <x:c r="L380" s="21"/>
      <x:c r="M380" s="21"/>
      <x:c r="N380" s="21"/>
      <x:c r="O380" s="21"/>
      <x:c r="P380" s="21"/>
      <x:c r="Q380" s="43"/>
      <x:c r="R380" s="29" t="str">
        <x:f>IF(A380="","",IF(OR(B380="",C380="",D380="",J380=""),"Thiếu dữ liệu",IF(D380&lt;C380,"Sai thời gian",IF(AND(P380="Đã đóng",Q380=""),"Thiếu thời điểm đóng","Hợp lệ"))))</x:f>
      </x:c>
    </x:row>
    <x:row r="381">
      <x:c r="A381" s="21"/>
      <x:c r="B381" s="21"/>
      <x:c r="C381" s="43"/>
      <x:c r="D381" s="43"/>
      <x:c r="E381" s="39" t="str">
        <x:f>IF(A381="","",MAX(0,(D381-C381)*1440))</x:f>
      </x:c>
      <x:c r="F381" s="29" t="str">
        <x:f>IF(B381="","",IFERROR(INDEX('05_BAO_CAO_NGAY'!$D$6:$D$505,MATCH(B381,'05_BAO_CAO_NGAY'!$A$6:$A$505,0)),""))</x:f>
      </x:c>
      <x:c r="G381" s="29" t="str">
        <x:f>IF(B381="","",IFERROR(INDEX('05_BAO_CAO_NGAY'!$E$6:$E$505,MATCH(B381,'05_BAO_CAO_NGAY'!$A$6:$A$505,0)),""))</x:f>
      </x:c>
      <x:c r="H381" s="29" t="str">
        <x:f>IF(B381="","",IFERROR(INDEX('05_BAO_CAO_NGAY'!$J$6:$J$505,MATCH(B381,'05_BAO_CAO_NGAY'!$A$6:$A$505,0)),""))</x:f>
      </x:c>
      <x:c r="I381" s="29" t="str">
        <x:f>IF(B381="","",IFERROR(INDEX('05_BAO_CAO_NGAY'!$M$6:$M$505,MATCH(B381,'05_BAO_CAO_NGAY'!$A$6:$A$505,0)),""))</x:f>
      </x:c>
      <x:c r="J381" s="21"/>
      <x:c r="K381" s="29" t="str">
        <x:f>IF(J381="","",IFERROR(INDEX(DM_LY_DO_DUNG!$C$6:$C$105,MATCH(J381,DM_LY_DO_DUNG!$A$6:$A$105,0)),""))</x:f>
      </x:c>
      <x:c r="L381" s="21"/>
      <x:c r="M381" s="21"/>
      <x:c r="N381" s="21"/>
      <x:c r="O381" s="21"/>
      <x:c r="P381" s="21"/>
      <x:c r="Q381" s="43"/>
      <x:c r="R381" s="29" t="str">
        <x:f>IF(A381="","",IF(OR(B381="",C381="",D381="",J381=""),"Thiếu dữ liệu",IF(D381&lt;C381,"Sai thời gian",IF(AND(P381="Đã đóng",Q381=""),"Thiếu thời điểm đóng","Hợp lệ"))))</x:f>
      </x:c>
    </x:row>
    <x:row r="382">
      <x:c r="A382" s="21"/>
      <x:c r="B382" s="21"/>
      <x:c r="C382" s="43"/>
      <x:c r="D382" s="43"/>
      <x:c r="E382" s="39" t="str">
        <x:f>IF(A382="","",MAX(0,(D382-C382)*1440))</x:f>
      </x:c>
      <x:c r="F382" s="29" t="str">
        <x:f>IF(B382="","",IFERROR(INDEX('05_BAO_CAO_NGAY'!$D$6:$D$505,MATCH(B382,'05_BAO_CAO_NGAY'!$A$6:$A$505,0)),""))</x:f>
      </x:c>
      <x:c r="G382" s="29" t="str">
        <x:f>IF(B382="","",IFERROR(INDEX('05_BAO_CAO_NGAY'!$E$6:$E$505,MATCH(B382,'05_BAO_CAO_NGAY'!$A$6:$A$505,0)),""))</x:f>
      </x:c>
      <x:c r="H382" s="29" t="str">
        <x:f>IF(B382="","",IFERROR(INDEX('05_BAO_CAO_NGAY'!$J$6:$J$505,MATCH(B382,'05_BAO_CAO_NGAY'!$A$6:$A$505,0)),""))</x:f>
      </x:c>
      <x:c r="I382" s="29" t="str">
        <x:f>IF(B382="","",IFERROR(INDEX('05_BAO_CAO_NGAY'!$M$6:$M$505,MATCH(B382,'05_BAO_CAO_NGAY'!$A$6:$A$505,0)),""))</x:f>
      </x:c>
      <x:c r="J382" s="21"/>
      <x:c r="K382" s="29" t="str">
        <x:f>IF(J382="","",IFERROR(INDEX(DM_LY_DO_DUNG!$C$6:$C$105,MATCH(J382,DM_LY_DO_DUNG!$A$6:$A$105,0)),""))</x:f>
      </x:c>
      <x:c r="L382" s="21"/>
      <x:c r="M382" s="21"/>
      <x:c r="N382" s="21"/>
      <x:c r="O382" s="21"/>
      <x:c r="P382" s="21"/>
      <x:c r="Q382" s="43"/>
      <x:c r="R382" s="29" t="str">
        <x:f>IF(A382="","",IF(OR(B382="",C382="",D382="",J382=""),"Thiếu dữ liệu",IF(D382&lt;C382,"Sai thời gian",IF(AND(P382="Đã đóng",Q382=""),"Thiếu thời điểm đóng","Hợp lệ"))))</x:f>
      </x:c>
    </x:row>
    <x:row r="383">
      <x:c r="A383" s="21"/>
      <x:c r="B383" s="21"/>
      <x:c r="C383" s="43"/>
      <x:c r="D383" s="43"/>
      <x:c r="E383" s="39" t="str">
        <x:f>IF(A383="","",MAX(0,(D383-C383)*1440))</x:f>
      </x:c>
      <x:c r="F383" s="29" t="str">
        <x:f>IF(B383="","",IFERROR(INDEX('05_BAO_CAO_NGAY'!$D$6:$D$505,MATCH(B383,'05_BAO_CAO_NGAY'!$A$6:$A$505,0)),""))</x:f>
      </x:c>
      <x:c r="G383" s="29" t="str">
        <x:f>IF(B383="","",IFERROR(INDEX('05_BAO_CAO_NGAY'!$E$6:$E$505,MATCH(B383,'05_BAO_CAO_NGAY'!$A$6:$A$505,0)),""))</x:f>
      </x:c>
      <x:c r="H383" s="29" t="str">
        <x:f>IF(B383="","",IFERROR(INDEX('05_BAO_CAO_NGAY'!$J$6:$J$505,MATCH(B383,'05_BAO_CAO_NGAY'!$A$6:$A$505,0)),""))</x:f>
      </x:c>
      <x:c r="I383" s="29" t="str">
        <x:f>IF(B383="","",IFERROR(INDEX('05_BAO_CAO_NGAY'!$M$6:$M$505,MATCH(B383,'05_BAO_CAO_NGAY'!$A$6:$A$505,0)),""))</x:f>
      </x:c>
      <x:c r="J383" s="21"/>
      <x:c r="K383" s="29" t="str">
        <x:f>IF(J383="","",IFERROR(INDEX(DM_LY_DO_DUNG!$C$6:$C$105,MATCH(J383,DM_LY_DO_DUNG!$A$6:$A$105,0)),""))</x:f>
      </x:c>
      <x:c r="L383" s="21"/>
      <x:c r="M383" s="21"/>
      <x:c r="N383" s="21"/>
      <x:c r="O383" s="21"/>
      <x:c r="P383" s="21"/>
      <x:c r="Q383" s="43"/>
      <x:c r="R383" s="29" t="str">
        <x:f>IF(A383="","",IF(OR(B383="",C383="",D383="",J383=""),"Thiếu dữ liệu",IF(D383&lt;C383,"Sai thời gian",IF(AND(P383="Đã đóng",Q383=""),"Thiếu thời điểm đóng","Hợp lệ"))))</x:f>
      </x:c>
    </x:row>
    <x:row r="384">
      <x:c r="A384" s="21"/>
      <x:c r="B384" s="21"/>
      <x:c r="C384" s="43"/>
      <x:c r="D384" s="43"/>
      <x:c r="E384" s="39" t="str">
        <x:f>IF(A384="","",MAX(0,(D384-C384)*1440))</x:f>
      </x:c>
      <x:c r="F384" s="29" t="str">
        <x:f>IF(B384="","",IFERROR(INDEX('05_BAO_CAO_NGAY'!$D$6:$D$505,MATCH(B384,'05_BAO_CAO_NGAY'!$A$6:$A$505,0)),""))</x:f>
      </x:c>
      <x:c r="G384" s="29" t="str">
        <x:f>IF(B384="","",IFERROR(INDEX('05_BAO_CAO_NGAY'!$E$6:$E$505,MATCH(B384,'05_BAO_CAO_NGAY'!$A$6:$A$505,0)),""))</x:f>
      </x:c>
      <x:c r="H384" s="29" t="str">
        <x:f>IF(B384="","",IFERROR(INDEX('05_BAO_CAO_NGAY'!$J$6:$J$505,MATCH(B384,'05_BAO_CAO_NGAY'!$A$6:$A$505,0)),""))</x:f>
      </x:c>
      <x:c r="I384" s="29" t="str">
        <x:f>IF(B384="","",IFERROR(INDEX('05_BAO_CAO_NGAY'!$M$6:$M$505,MATCH(B384,'05_BAO_CAO_NGAY'!$A$6:$A$505,0)),""))</x:f>
      </x:c>
      <x:c r="J384" s="21"/>
      <x:c r="K384" s="29" t="str">
        <x:f>IF(J384="","",IFERROR(INDEX(DM_LY_DO_DUNG!$C$6:$C$105,MATCH(J384,DM_LY_DO_DUNG!$A$6:$A$105,0)),""))</x:f>
      </x:c>
      <x:c r="L384" s="21"/>
      <x:c r="M384" s="21"/>
      <x:c r="N384" s="21"/>
      <x:c r="O384" s="21"/>
      <x:c r="P384" s="21"/>
      <x:c r="Q384" s="43"/>
      <x:c r="R384" s="29" t="str">
        <x:f>IF(A384="","",IF(OR(B384="",C384="",D384="",J384=""),"Thiếu dữ liệu",IF(D384&lt;C384,"Sai thời gian",IF(AND(P384="Đã đóng",Q384=""),"Thiếu thời điểm đóng","Hợp lệ"))))</x:f>
      </x:c>
    </x:row>
    <x:row r="385">
      <x:c r="A385" s="21"/>
      <x:c r="B385" s="21"/>
      <x:c r="C385" s="43"/>
      <x:c r="D385" s="43"/>
      <x:c r="E385" s="39" t="str">
        <x:f>IF(A385="","",MAX(0,(D385-C385)*1440))</x:f>
      </x:c>
      <x:c r="F385" s="29" t="str">
        <x:f>IF(B385="","",IFERROR(INDEX('05_BAO_CAO_NGAY'!$D$6:$D$505,MATCH(B385,'05_BAO_CAO_NGAY'!$A$6:$A$505,0)),""))</x:f>
      </x:c>
      <x:c r="G385" s="29" t="str">
        <x:f>IF(B385="","",IFERROR(INDEX('05_BAO_CAO_NGAY'!$E$6:$E$505,MATCH(B385,'05_BAO_CAO_NGAY'!$A$6:$A$505,0)),""))</x:f>
      </x:c>
      <x:c r="H385" s="29" t="str">
        <x:f>IF(B385="","",IFERROR(INDEX('05_BAO_CAO_NGAY'!$J$6:$J$505,MATCH(B385,'05_BAO_CAO_NGAY'!$A$6:$A$505,0)),""))</x:f>
      </x:c>
      <x:c r="I385" s="29" t="str">
        <x:f>IF(B385="","",IFERROR(INDEX('05_BAO_CAO_NGAY'!$M$6:$M$505,MATCH(B385,'05_BAO_CAO_NGAY'!$A$6:$A$505,0)),""))</x:f>
      </x:c>
      <x:c r="J385" s="21"/>
      <x:c r="K385" s="29" t="str">
        <x:f>IF(J385="","",IFERROR(INDEX(DM_LY_DO_DUNG!$C$6:$C$105,MATCH(J385,DM_LY_DO_DUNG!$A$6:$A$105,0)),""))</x:f>
      </x:c>
      <x:c r="L385" s="21"/>
      <x:c r="M385" s="21"/>
      <x:c r="N385" s="21"/>
      <x:c r="O385" s="21"/>
      <x:c r="P385" s="21"/>
      <x:c r="Q385" s="43"/>
      <x:c r="R385" s="29" t="str">
        <x:f>IF(A385="","",IF(OR(B385="",C385="",D385="",J385=""),"Thiếu dữ liệu",IF(D385&lt;C385,"Sai thời gian",IF(AND(P385="Đã đóng",Q385=""),"Thiếu thời điểm đóng","Hợp lệ"))))</x:f>
      </x:c>
    </x:row>
    <x:row r="386">
      <x:c r="A386" s="21"/>
      <x:c r="B386" s="21"/>
      <x:c r="C386" s="43"/>
      <x:c r="D386" s="43"/>
      <x:c r="E386" s="39" t="str">
        <x:f>IF(A386="","",MAX(0,(D386-C386)*1440))</x:f>
      </x:c>
      <x:c r="F386" s="29" t="str">
        <x:f>IF(B386="","",IFERROR(INDEX('05_BAO_CAO_NGAY'!$D$6:$D$505,MATCH(B386,'05_BAO_CAO_NGAY'!$A$6:$A$505,0)),""))</x:f>
      </x:c>
      <x:c r="G386" s="29" t="str">
        <x:f>IF(B386="","",IFERROR(INDEX('05_BAO_CAO_NGAY'!$E$6:$E$505,MATCH(B386,'05_BAO_CAO_NGAY'!$A$6:$A$505,0)),""))</x:f>
      </x:c>
      <x:c r="H386" s="29" t="str">
        <x:f>IF(B386="","",IFERROR(INDEX('05_BAO_CAO_NGAY'!$J$6:$J$505,MATCH(B386,'05_BAO_CAO_NGAY'!$A$6:$A$505,0)),""))</x:f>
      </x:c>
      <x:c r="I386" s="29" t="str">
        <x:f>IF(B386="","",IFERROR(INDEX('05_BAO_CAO_NGAY'!$M$6:$M$505,MATCH(B386,'05_BAO_CAO_NGAY'!$A$6:$A$505,0)),""))</x:f>
      </x:c>
      <x:c r="J386" s="21"/>
      <x:c r="K386" s="29" t="str">
        <x:f>IF(J386="","",IFERROR(INDEX(DM_LY_DO_DUNG!$C$6:$C$105,MATCH(J386,DM_LY_DO_DUNG!$A$6:$A$105,0)),""))</x:f>
      </x:c>
      <x:c r="L386" s="21"/>
      <x:c r="M386" s="21"/>
      <x:c r="N386" s="21"/>
      <x:c r="O386" s="21"/>
      <x:c r="P386" s="21"/>
      <x:c r="Q386" s="43"/>
      <x:c r="R386" s="29" t="str">
        <x:f>IF(A386="","",IF(OR(B386="",C386="",D386="",J386=""),"Thiếu dữ liệu",IF(D386&lt;C386,"Sai thời gian",IF(AND(P386="Đã đóng",Q386=""),"Thiếu thời điểm đóng","Hợp lệ"))))</x:f>
      </x:c>
    </x:row>
    <x:row r="387">
      <x:c r="A387" s="21"/>
      <x:c r="B387" s="21"/>
      <x:c r="C387" s="43"/>
      <x:c r="D387" s="43"/>
      <x:c r="E387" s="39" t="str">
        <x:f>IF(A387="","",MAX(0,(D387-C387)*1440))</x:f>
      </x:c>
      <x:c r="F387" s="29" t="str">
        <x:f>IF(B387="","",IFERROR(INDEX('05_BAO_CAO_NGAY'!$D$6:$D$505,MATCH(B387,'05_BAO_CAO_NGAY'!$A$6:$A$505,0)),""))</x:f>
      </x:c>
      <x:c r="G387" s="29" t="str">
        <x:f>IF(B387="","",IFERROR(INDEX('05_BAO_CAO_NGAY'!$E$6:$E$505,MATCH(B387,'05_BAO_CAO_NGAY'!$A$6:$A$505,0)),""))</x:f>
      </x:c>
      <x:c r="H387" s="29" t="str">
        <x:f>IF(B387="","",IFERROR(INDEX('05_BAO_CAO_NGAY'!$J$6:$J$505,MATCH(B387,'05_BAO_CAO_NGAY'!$A$6:$A$505,0)),""))</x:f>
      </x:c>
      <x:c r="I387" s="29" t="str">
        <x:f>IF(B387="","",IFERROR(INDEX('05_BAO_CAO_NGAY'!$M$6:$M$505,MATCH(B387,'05_BAO_CAO_NGAY'!$A$6:$A$505,0)),""))</x:f>
      </x:c>
      <x:c r="J387" s="21"/>
      <x:c r="K387" s="29" t="str">
        <x:f>IF(J387="","",IFERROR(INDEX(DM_LY_DO_DUNG!$C$6:$C$105,MATCH(J387,DM_LY_DO_DUNG!$A$6:$A$105,0)),""))</x:f>
      </x:c>
      <x:c r="L387" s="21"/>
      <x:c r="M387" s="21"/>
      <x:c r="N387" s="21"/>
      <x:c r="O387" s="21"/>
      <x:c r="P387" s="21"/>
      <x:c r="Q387" s="43"/>
      <x:c r="R387" s="29" t="str">
        <x:f>IF(A387="","",IF(OR(B387="",C387="",D387="",J387=""),"Thiếu dữ liệu",IF(D387&lt;C387,"Sai thời gian",IF(AND(P387="Đã đóng",Q387=""),"Thiếu thời điểm đóng","Hợp lệ"))))</x:f>
      </x:c>
    </x:row>
    <x:row r="388">
      <x:c r="A388" s="21"/>
      <x:c r="B388" s="21"/>
      <x:c r="C388" s="43"/>
      <x:c r="D388" s="43"/>
      <x:c r="E388" s="39" t="str">
        <x:f>IF(A388="","",MAX(0,(D388-C388)*1440))</x:f>
      </x:c>
      <x:c r="F388" s="29" t="str">
        <x:f>IF(B388="","",IFERROR(INDEX('05_BAO_CAO_NGAY'!$D$6:$D$505,MATCH(B388,'05_BAO_CAO_NGAY'!$A$6:$A$505,0)),""))</x:f>
      </x:c>
      <x:c r="G388" s="29" t="str">
        <x:f>IF(B388="","",IFERROR(INDEX('05_BAO_CAO_NGAY'!$E$6:$E$505,MATCH(B388,'05_BAO_CAO_NGAY'!$A$6:$A$505,0)),""))</x:f>
      </x:c>
      <x:c r="H388" s="29" t="str">
        <x:f>IF(B388="","",IFERROR(INDEX('05_BAO_CAO_NGAY'!$J$6:$J$505,MATCH(B388,'05_BAO_CAO_NGAY'!$A$6:$A$505,0)),""))</x:f>
      </x:c>
      <x:c r="I388" s="29" t="str">
        <x:f>IF(B388="","",IFERROR(INDEX('05_BAO_CAO_NGAY'!$M$6:$M$505,MATCH(B388,'05_BAO_CAO_NGAY'!$A$6:$A$505,0)),""))</x:f>
      </x:c>
      <x:c r="J388" s="21"/>
      <x:c r="K388" s="29" t="str">
        <x:f>IF(J388="","",IFERROR(INDEX(DM_LY_DO_DUNG!$C$6:$C$105,MATCH(J388,DM_LY_DO_DUNG!$A$6:$A$105,0)),""))</x:f>
      </x:c>
      <x:c r="L388" s="21"/>
      <x:c r="M388" s="21"/>
      <x:c r="N388" s="21"/>
      <x:c r="O388" s="21"/>
      <x:c r="P388" s="21"/>
      <x:c r="Q388" s="43"/>
      <x:c r="R388" s="29" t="str">
        <x:f>IF(A388="","",IF(OR(B388="",C388="",D388="",J388=""),"Thiếu dữ liệu",IF(D388&lt;C388,"Sai thời gian",IF(AND(P388="Đã đóng",Q388=""),"Thiếu thời điểm đóng","Hợp lệ"))))</x:f>
      </x:c>
    </x:row>
    <x:row r="389">
      <x:c r="A389" s="21"/>
      <x:c r="B389" s="21"/>
      <x:c r="C389" s="43"/>
      <x:c r="D389" s="43"/>
      <x:c r="E389" s="39" t="str">
        <x:f>IF(A389="","",MAX(0,(D389-C389)*1440))</x:f>
      </x:c>
      <x:c r="F389" s="29" t="str">
        <x:f>IF(B389="","",IFERROR(INDEX('05_BAO_CAO_NGAY'!$D$6:$D$505,MATCH(B389,'05_BAO_CAO_NGAY'!$A$6:$A$505,0)),""))</x:f>
      </x:c>
      <x:c r="G389" s="29" t="str">
        <x:f>IF(B389="","",IFERROR(INDEX('05_BAO_CAO_NGAY'!$E$6:$E$505,MATCH(B389,'05_BAO_CAO_NGAY'!$A$6:$A$505,0)),""))</x:f>
      </x:c>
      <x:c r="H389" s="29" t="str">
        <x:f>IF(B389="","",IFERROR(INDEX('05_BAO_CAO_NGAY'!$J$6:$J$505,MATCH(B389,'05_BAO_CAO_NGAY'!$A$6:$A$505,0)),""))</x:f>
      </x:c>
      <x:c r="I389" s="29" t="str">
        <x:f>IF(B389="","",IFERROR(INDEX('05_BAO_CAO_NGAY'!$M$6:$M$505,MATCH(B389,'05_BAO_CAO_NGAY'!$A$6:$A$505,0)),""))</x:f>
      </x:c>
      <x:c r="J389" s="21"/>
      <x:c r="K389" s="29" t="str">
        <x:f>IF(J389="","",IFERROR(INDEX(DM_LY_DO_DUNG!$C$6:$C$105,MATCH(J389,DM_LY_DO_DUNG!$A$6:$A$105,0)),""))</x:f>
      </x:c>
      <x:c r="L389" s="21"/>
      <x:c r="M389" s="21"/>
      <x:c r="N389" s="21"/>
      <x:c r="O389" s="21"/>
      <x:c r="P389" s="21"/>
      <x:c r="Q389" s="43"/>
      <x:c r="R389" s="29" t="str">
        <x:f>IF(A389="","",IF(OR(B389="",C389="",D389="",J389=""),"Thiếu dữ liệu",IF(D389&lt;C389,"Sai thời gian",IF(AND(P389="Đã đóng",Q389=""),"Thiếu thời điểm đóng","Hợp lệ"))))</x:f>
      </x:c>
    </x:row>
    <x:row r="390">
      <x:c r="A390" s="21"/>
      <x:c r="B390" s="21"/>
      <x:c r="C390" s="43"/>
      <x:c r="D390" s="43"/>
      <x:c r="E390" s="39" t="str">
        <x:f>IF(A390="","",MAX(0,(D390-C390)*1440))</x:f>
      </x:c>
      <x:c r="F390" s="29" t="str">
        <x:f>IF(B390="","",IFERROR(INDEX('05_BAO_CAO_NGAY'!$D$6:$D$505,MATCH(B390,'05_BAO_CAO_NGAY'!$A$6:$A$505,0)),""))</x:f>
      </x:c>
      <x:c r="G390" s="29" t="str">
        <x:f>IF(B390="","",IFERROR(INDEX('05_BAO_CAO_NGAY'!$E$6:$E$505,MATCH(B390,'05_BAO_CAO_NGAY'!$A$6:$A$505,0)),""))</x:f>
      </x:c>
      <x:c r="H390" s="29" t="str">
        <x:f>IF(B390="","",IFERROR(INDEX('05_BAO_CAO_NGAY'!$J$6:$J$505,MATCH(B390,'05_BAO_CAO_NGAY'!$A$6:$A$505,0)),""))</x:f>
      </x:c>
      <x:c r="I390" s="29" t="str">
        <x:f>IF(B390="","",IFERROR(INDEX('05_BAO_CAO_NGAY'!$M$6:$M$505,MATCH(B390,'05_BAO_CAO_NGAY'!$A$6:$A$505,0)),""))</x:f>
      </x:c>
      <x:c r="J390" s="21"/>
      <x:c r="K390" s="29" t="str">
        <x:f>IF(J390="","",IFERROR(INDEX(DM_LY_DO_DUNG!$C$6:$C$105,MATCH(J390,DM_LY_DO_DUNG!$A$6:$A$105,0)),""))</x:f>
      </x:c>
      <x:c r="L390" s="21"/>
      <x:c r="M390" s="21"/>
      <x:c r="N390" s="21"/>
      <x:c r="O390" s="21"/>
      <x:c r="P390" s="21"/>
      <x:c r="Q390" s="43"/>
      <x:c r="R390" s="29" t="str">
        <x:f>IF(A390="","",IF(OR(B390="",C390="",D390="",J390=""),"Thiếu dữ liệu",IF(D390&lt;C390,"Sai thời gian",IF(AND(P390="Đã đóng",Q390=""),"Thiếu thời điểm đóng","Hợp lệ"))))</x:f>
      </x:c>
    </x:row>
    <x:row r="391">
      <x:c r="A391" s="21"/>
      <x:c r="B391" s="21"/>
      <x:c r="C391" s="43"/>
      <x:c r="D391" s="43"/>
      <x:c r="E391" s="39" t="str">
        <x:f>IF(A391="","",MAX(0,(D391-C391)*1440))</x:f>
      </x:c>
      <x:c r="F391" s="29" t="str">
        <x:f>IF(B391="","",IFERROR(INDEX('05_BAO_CAO_NGAY'!$D$6:$D$505,MATCH(B391,'05_BAO_CAO_NGAY'!$A$6:$A$505,0)),""))</x:f>
      </x:c>
      <x:c r="G391" s="29" t="str">
        <x:f>IF(B391="","",IFERROR(INDEX('05_BAO_CAO_NGAY'!$E$6:$E$505,MATCH(B391,'05_BAO_CAO_NGAY'!$A$6:$A$505,0)),""))</x:f>
      </x:c>
      <x:c r="H391" s="29" t="str">
        <x:f>IF(B391="","",IFERROR(INDEX('05_BAO_CAO_NGAY'!$J$6:$J$505,MATCH(B391,'05_BAO_CAO_NGAY'!$A$6:$A$505,0)),""))</x:f>
      </x:c>
      <x:c r="I391" s="29" t="str">
        <x:f>IF(B391="","",IFERROR(INDEX('05_BAO_CAO_NGAY'!$M$6:$M$505,MATCH(B391,'05_BAO_CAO_NGAY'!$A$6:$A$505,0)),""))</x:f>
      </x:c>
      <x:c r="J391" s="21"/>
      <x:c r="K391" s="29" t="str">
        <x:f>IF(J391="","",IFERROR(INDEX(DM_LY_DO_DUNG!$C$6:$C$105,MATCH(J391,DM_LY_DO_DUNG!$A$6:$A$105,0)),""))</x:f>
      </x:c>
      <x:c r="L391" s="21"/>
      <x:c r="M391" s="21"/>
      <x:c r="N391" s="21"/>
      <x:c r="O391" s="21"/>
      <x:c r="P391" s="21"/>
      <x:c r="Q391" s="43"/>
      <x:c r="R391" s="29" t="str">
        <x:f>IF(A391="","",IF(OR(B391="",C391="",D391="",J391=""),"Thiếu dữ liệu",IF(D391&lt;C391,"Sai thời gian",IF(AND(P391="Đã đóng",Q391=""),"Thiếu thời điểm đóng","Hợp lệ"))))</x:f>
      </x:c>
    </x:row>
    <x:row r="392">
      <x:c r="A392" s="21"/>
      <x:c r="B392" s="21"/>
      <x:c r="C392" s="43"/>
      <x:c r="D392" s="43"/>
      <x:c r="E392" s="39" t="str">
        <x:f>IF(A392="","",MAX(0,(D392-C392)*1440))</x:f>
      </x:c>
      <x:c r="F392" s="29" t="str">
        <x:f>IF(B392="","",IFERROR(INDEX('05_BAO_CAO_NGAY'!$D$6:$D$505,MATCH(B392,'05_BAO_CAO_NGAY'!$A$6:$A$505,0)),""))</x:f>
      </x:c>
      <x:c r="G392" s="29" t="str">
        <x:f>IF(B392="","",IFERROR(INDEX('05_BAO_CAO_NGAY'!$E$6:$E$505,MATCH(B392,'05_BAO_CAO_NGAY'!$A$6:$A$505,0)),""))</x:f>
      </x:c>
      <x:c r="H392" s="29" t="str">
        <x:f>IF(B392="","",IFERROR(INDEX('05_BAO_CAO_NGAY'!$J$6:$J$505,MATCH(B392,'05_BAO_CAO_NGAY'!$A$6:$A$505,0)),""))</x:f>
      </x:c>
      <x:c r="I392" s="29" t="str">
        <x:f>IF(B392="","",IFERROR(INDEX('05_BAO_CAO_NGAY'!$M$6:$M$505,MATCH(B392,'05_BAO_CAO_NGAY'!$A$6:$A$505,0)),""))</x:f>
      </x:c>
      <x:c r="J392" s="21"/>
      <x:c r="K392" s="29" t="str">
        <x:f>IF(J392="","",IFERROR(INDEX(DM_LY_DO_DUNG!$C$6:$C$105,MATCH(J392,DM_LY_DO_DUNG!$A$6:$A$105,0)),""))</x:f>
      </x:c>
      <x:c r="L392" s="21"/>
      <x:c r="M392" s="21"/>
      <x:c r="N392" s="21"/>
      <x:c r="O392" s="21"/>
      <x:c r="P392" s="21"/>
      <x:c r="Q392" s="43"/>
      <x:c r="R392" s="29" t="str">
        <x:f>IF(A392="","",IF(OR(B392="",C392="",D392="",J392=""),"Thiếu dữ liệu",IF(D392&lt;C392,"Sai thời gian",IF(AND(P392="Đã đóng",Q392=""),"Thiếu thời điểm đóng","Hợp lệ"))))</x:f>
      </x:c>
    </x:row>
    <x:row r="393">
      <x:c r="A393" s="21"/>
      <x:c r="B393" s="21"/>
      <x:c r="C393" s="43"/>
      <x:c r="D393" s="43"/>
      <x:c r="E393" s="39" t="str">
        <x:f>IF(A393="","",MAX(0,(D393-C393)*1440))</x:f>
      </x:c>
      <x:c r="F393" s="29" t="str">
        <x:f>IF(B393="","",IFERROR(INDEX('05_BAO_CAO_NGAY'!$D$6:$D$505,MATCH(B393,'05_BAO_CAO_NGAY'!$A$6:$A$505,0)),""))</x:f>
      </x:c>
      <x:c r="G393" s="29" t="str">
        <x:f>IF(B393="","",IFERROR(INDEX('05_BAO_CAO_NGAY'!$E$6:$E$505,MATCH(B393,'05_BAO_CAO_NGAY'!$A$6:$A$505,0)),""))</x:f>
      </x:c>
      <x:c r="H393" s="29" t="str">
        <x:f>IF(B393="","",IFERROR(INDEX('05_BAO_CAO_NGAY'!$J$6:$J$505,MATCH(B393,'05_BAO_CAO_NGAY'!$A$6:$A$505,0)),""))</x:f>
      </x:c>
      <x:c r="I393" s="29" t="str">
        <x:f>IF(B393="","",IFERROR(INDEX('05_BAO_CAO_NGAY'!$M$6:$M$505,MATCH(B393,'05_BAO_CAO_NGAY'!$A$6:$A$505,0)),""))</x:f>
      </x:c>
      <x:c r="J393" s="21"/>
      <x:c r="K393" s="29" t="str">
        <x:f>IF(J393="","",IFERROR(INDEX(DM_LY_DO_DUNG!$C$6:$C$105,MATCH(J393,DM_LY_DO_DUNG!$A$6:$A$105,0)),""))</x:f>
      </x:c>
      <x:c r="L393" s="21"/>
      <x:c r="M393" s="21"/>
      <x:c r="N393" s="21"/>
      <x:c r="O393" s="21"/>
      <x:c r="P393" s="21"/>
      <x:c r="Q393" s="43"/>
      <x:c r="R393" s="29" t="str">
        <x:f>IF(A393="","",IF(OR(B393="",C393="",D393="",J393=""),"Thiếu dữ liệu",IF(D393&lt;C393,"Sai thời gian",IF(AND(P393="Đã đóng",Q393=""),"Thiếu thời điểm đóng","Hợp lệ"))))</x:f>
      </x:c>
    </x:row>
    <x:row r="394">
      <x:c r="A394" s="21"/>
      <x:c r="B394" s="21"/>
      <x:c r="C394" s="43"/>
      <x:c r="D394" s="43"/>
      <x:c r="E394" s="39" t="str">
        <x:f>IF(A394="","",MAX(0,(D394-C394)*1440))</x:f>
      </x:c>
      <x:c r="F394" s="29" t="str">
        <x:f>IF(B394="","",IFERROR(INDEX('05_BAO_CAO_NGAY'!$D$6:$D$505,MATCH(B394,'05_BAO_CAO_NGAY'!$A$6:$A$505,0)),""))</x:f>
      </x:c>
      <x:c r="G394" s="29" t="str">
        <x:f>IF(B394="","",IFERROR(INDEX('05_BAO_CAO_NGAY'!$E$6:$E$505,MATCH(B394,'05_BAO_CAO_NGAY'!$A$6:$A$505,0)),""))</x:f>
      </x:c>
      <x:c r="H394" s="29" t="str">
        <x:f>IF(B394="","",IFERROR(INDEX('05_BAO_CAO_NGAY'!$J$6:$J$505,MATCH(B394,'05_BAO_CAO_NGAY'!$A$6:$A$505,0)),""))</x:f>
      </x:c>
      <x:c r="I394" s="29" t="str">
        <x:f>IF(B394="","",IFERROR(INDEX('05_BAO_CAO_NGAY'!$M$6:$M$505,MATCH(B394,'05_BAO_CAO_NGAY'!$A$6:$A$505,0)),""))</x:f>
      </x:c>
      <x:c r="J394" s="21"/>
      <x:c r="K394" s="29" t="str">
        <x:f>IF(J394="","",IFERROR(INDEX(DM_LY_DO_DUNG!$C$6:$C$105,MATCH(J394,DM_LY_DO_DUNG!$A$6:$A$105,0)),""))</x:f>
      </x:c>
      <x:c r="L394" s="21"/>
      <x:c r="M394" s="21"/>
      <x:c r="N394" s="21"/>
      <x:c r="O394" s="21"/>
      <x:c r="P394" s="21"/>
      <x:c r="Q394" s="43"/>
      <x:c r="R394" s="29" t="str">
        <x:f>IF(A394="","",IF(OR(B394="",C394="",D394="",J394=""),"Thiếu dữ liệu",IF(D394&lt;C394,"Sai thời gian",IF(AND(P394="Đã đóng",Q394=""),"Thiếu thời điểm đóng","Hợp lệ"))))</x:f>
      </x:c>
    </x:row>
    <x:row r="395">
      <x:c r="A395" s="21"/>
      <x:c r="B395" s="21"/>
      <x:c r="C395" s="43"/>
      <x:c r="D395" s="43"/>
      <x:c r="E395" s="39" t="str">
        <x:f>IF(A395="","",MAX(0,(D395-C395)*1440))</x:f>
      </x:c>
      <x:c r="F395" s="29" t="str">
        <x:f>IF(B395="","",IFERROR(INDEX('05_BAO_CAO_NGAY'!$D$6:$D$505,MATCH(B395,'05_BAO_CAO_NGAY'!$A$6:$A$505,0)),""))</x:f>
      </x:c>
      <x:c r="G395" s="29" t="str">
        <x:f>IF(B395="","",IFERROR(INDEX('05_BAO_CAO_NGAY'!$E$6:$E$505,MATCH(B395,'05_BAO_CAO_NGAY'!$A$6:$A$505,0)),""))</x:f>
      </x:c>
      <x:c r="H395" s="29" t="str">
        <x:f>IF(B395="","",IFERROR(INDEX('05_BAO_CAO_NGAY'!$J$6:$J$505,MATCH(B395,'05_BAO_CAO_NGAY'!$A$6:$A$505,0)),""))</x:f>
      </x:c>
      <x:c r="I395" s="29" t="str">
        <x:f>IF(B395="","",IFERROR(INDEX('05_BAO_CAO_NGAY'!$M$6:$M$505,MATCH(B395,'05_BAO_CAO_NGAY'!$A$6:$A$505,0)),""))</x:f>
      </x:c>
      <x:c r="J395" s="21"/>
      <x:c r="K395" s="29" t="str">
        <x:f>IF(J395="","",IFERROR(INDEX(DM_LY_DO_DUNG!$C$6:$C$105,MATCH(J395,DM_LY_DO_DUNG!$A$6:$A$105,0)),""))</x:f>
      </x:c>
      <x:c r="L395" s="21"/>
      <x:c r="M395" s="21"/>
      <x:c r="N395" s="21"/>
      <x:c r="O395" s="21"/>
      <x:c r="P395" s="21"/>
      <x:c r="Q395" s="43"/>
      <x:c r="R395" s="29" t="str">
        <x:f>IF(A395="","",IF(OR(B395="",C395="",D395="",J395=""),"Thiếu dữ liệu",IF(D395&lt;C395,"Sai thời gian",IF(AND(P395="Đã đóng",Q395=""),"Thiếu thời điểm đóng","Hợp lệ"))))</x:f>
      </x:c>
    </x:row>
    <x:row r="396">
      <x:c r="A396" s="21"/>
      <x:c r="B396" s="21"/>
      <x:c r="C396" s="43"/>
      <x:c r="D396" s="43"/>
      <x:c r="E396" s="39" t="str">
        <x:f>IF(A396="","",MAX(0,(D396-C396)*1440))</x:f>
      </x:c>
      <x:c r="F396" s="29" t="str">
        <x:f>IF(B396="","",IFERROR(INDEX('05_BAO_CAO_NGAY'!$D$6:$D$505,MATCH(B396,'05_BAO_CAO_NGAY'!$A$6:$A$505,0)),""))</x:f>
      </x:c>
      <x:c r="G396" s="29" t="str">
        <x:f>IF(B396="","",IFERROR(INDEX('05_BAO_CAO_NGAY'!$E$6:$E$505,MATCH(B396,'05_BAO_CAO_NGAY'!$A$6:$A$505,0)),""))</x:f>
      </x:c>
      <x:c r="H396" s="29" t="str">
        <x:f>IF(B396="","",IFERROR(INDEX('05_BAO_CAO_NGAY'!$J$6:$J$505,MATCH(B396,'05_BAO_CAO_NGAY'!$A$6:$A$505,0)),""))</x:f>
      </x:c>
      <x:c r="I396" s="29" t="str">
        <x:f>IF(B396="","",IFERROR(INDEX('05_BAO_CAO_NGAY'!$M$6:$M$505,MATCH(B396,'05_BAO_CAO_NGAY'!$A$6:$A$505,0)),""))</x:f>
      </x:c>
      <x:c r="J396" s="21"/>
      <x:c r="K396" s="29" t="str">
        <x:f>IF(J396="","",IFERROR(INDEX(DM_LY_DO_DUNG!$C$6:$C$105,MATCH(J396,DM_LY_DO_DUNG!$A$6:$A$105,0)),""))</x:f>
      </x:c>
      <x:c r="L396" s="21"/>
      <x:c r="M396" s="21"/>
      <x:c r="N396" s="21"/>
      <x:c r="O396" s="21"/>
      <x:c r="P396" s="21"/>
      <x:c r="Q396" s="43"/>
      <x:c r="R396" s="29" t="str">
        <x:f>IF(A396="","",IF(OR(B396="",C396="",D396="",J396=""),"Thiếu dữ liệu",IF(D396&lt;C396,"Sai thời gian",IF(AND(P396="Đã đóng",Q396=""),"Thiếu thời điểm đóng","Hợp lệ"))))</x:f>
      </x:c>
    </x:row>
    <x:row r="397">
      <x:c r="A397" s="21"/>
      <x:c r="B397" s="21"/>
      <x:c r="C397" s="43"/>
      <x:c r="D397" s="43"/>
      <x:c r="E397" s="39" t="str">
        <x:f>IF(A397="","",MAX(0,(D397-C397)*1440))</x:f>
      </x:c>
      <x:c r="F397" s="29" t="str">
        <x:f>IF(B397="","",IFERROR(INDEX('05_BAO_CAO_NGAY'!$D$6:$D$505,MATCH(B397,'05_BAO_CAO_NGAY'!$A$6:$A$505,0)),""))</x:f>
      </x:c>
      <x:c r="G397" s="29" t="str">
        <x:f>IF(B397="","",IFERROR(INDEX('05_BAO_CAO_NGAY'!$E$6:$E$505,MATCH(B397,'05_BAO_CAO_NGAY'!$A$6:$A$505,0)),""))</x:f>
      </x:c>
      <x:c r="H397" s="29" t="str">
        <x:f>IF(B397="","",IFERROR(INDEX('05_BAO_CAO_NGAY'!$J$6:$J$505,MATCH(B397,'05_BAO_CAO_NGAY'!$A$6:$A$505,0)),""))</x:f>
      </x:c>
      <x:c r="I397" s="29" t="str">
        <x:f>IF(B397="","",IFERROR(INDEX('05_BAO_CAO_NGAY'!$M$6:$M$505,MATCH(B397,'05_BAO_CAO_NGAY'!$A$6:$A$505,0)),""))</x:f>
      </x:c>
      <x:c r="J397" s="21"/>
      <x:c r="K397" s="29" t="str">
        <x:f>IF(J397="","",IFERROR(INDEX(DM_LY_DO_DUNG!$C$6:$C$105,MATCH(J397,DM_LY_DO_DUNG!$A$6:$A$105,0)),""))</x:f>
      </x:c>
      <x:c r="L397" s="21"/>
      <x:c r="M397" s="21"/>
      <x:c r="N397" s="21"/>
      <x:c r="O397" s="21"/>
      <x:c r="P397" s="21"/>
      <x:c r="Q397" s="43"/>
      <x:c r="R397" s="29" t="str">
        <x:f>IF(A397="","",IF(OR(B397="",C397="",D397="",J397=""),"Thiếu dữ liệu",IF(D397&lt;C397,"Sai thời gian",IF(AND(P397="Đã đóng",Q397=""),"Thiếu thời điểm đóng","Hợp lệ"))))</x:f>
      </x:c>
    </x:row>
    <x:row r="398">
      <x:c r="A398" s="21"/>
      <x:c r="B398" s="21"/>
      <x:c r="C398" s="43"/>
      <x:c r="D398" s="43"/>
      <x:c r="E398" s="39" t="str">
        <x:f>IF(A398="","",MAX(0,(D398-C398)*1440))</x:f>
      </x:c>
      <x:c r="F398" s="29" t="str">
        <x:f>IF(B398="","",IFERROR(INDEX('05_BAO_CAO_NGAY'!$D$6:$D$505,MATCH(B398,'05_BAO_CAO_NGAY'!$A$6:$A$505,0)),""))</x:f>
      </x:c>
      <x:c r="G398" s="29" t="str">
        <x:f>IF(B398="","",IFERROR(INDEX('05_BAO_CAO_NGAY'!$E$6:$E$505,MATCH(B398,'05_BAO_CAO_NGAY'!$A$6:$A$505,0)),""))</x:f>
      </x:c>
      <x:c r="H398" s="29" t="str">
        <x:f>IF(B398="","",IFERROR(INDEX('05_BAO_CAO_NGAY'!$J$6:$J$505,MATCH(B398,'05_BAO_CAO_NGAY'!$A$6:$A$505,0)),""))</x:f>
      </x:c>
      <x:c r="I398" s="29" t="str">
        <x:f>IF(B398="","",IFERROR(INDEX('05_BAO_CAO_NGAY'!$M$6:$M$505,MATCH(B398,'05_BAO_CAO_NGAY'!$A$6:$A$505,0)),""))</x:f>
      </x:c>
      <x:c r="J398" s="21"/>
      <x:c r="K398" s="29" t="str">
        <x:f>IF(J398="","",IFERROR(INDEX(DM_LY_DO_DUNG!$C$6:$C$105,MATCH(J398,DM_LY_DO_DUNG!$A$6:$A$105,0)),""))</x:f>
      </x:c>
      <x:c r="L398" s="21"/>
      <x:c r="M398" s="21"/>
      <x:c r="N398" s="21"/>
      <x:c r="O398" s="21"/>
      <x:c r="P398" s="21"/>
      <x:c r="Q398" s="43"/>
      <x:c r="R398" s="29" t="str">
        <x:f>IF(A398="","",IF(OR(B398="",C398="",D398="",J398=""),"Thiếu dữ liệu",IF(D398&lt;C398,"Sai thời gian",IF(AND(P398="Đã đóng",Q398=""),"Thiếu thời điểm đóng","Hợp lệ"))))</x:f>
      </x:c>
    </x:row>
    <x:row r="399">
      <x:c r="A399" s="21"/>
      <x:c r="B399" s="21"/>
      <x:c r="C399" s="43"/>
      <x:c r="D399" s="43"/>
      <x:c r="E399" s="39" t="str">
        <x:f>IF(A399="","",MAX(0,(D399-C399)*1440))</x:f>
      </x:c>
      <x:c r="F399" s="29" t="str">
        <x:f>IF(B399="","",IFERROR(INDEX('05_BAO_CAO_NGAY'!$D$6:$D$505,MATCH(B399,'05_BAO_CAO_NGAY'!$A$6:$A$505,0)),""))</x:f>
      </x:c>
      <x:c r="G399" s="29" t="str">
        <x:f>IF(B399="","",IFERROR(INDEX('05_BAO_CAO_NGAY'!$E$6:$E$505,MATCH(B399,'05_BAO_CAO_NGAY'!$A$6:$A$505,0)),""))</x:f>
      </x:c>
      <x:c r="H399" s="29" t="str">
        <x:f>IF(B399="","",IFERROR(INDEX('05_BAO_CAO_NGAY'!$J$6:$J$505,MATCH(B399,'05_BAO_CAO_NGAY'!$A$6:$A$505,0)),""))</x:f>
      </x:c>
      <x:c r="I399" s="29" t="str">
        <x:f>IF(B399="","",IFERROR(INDEX('05_BAO_CAO_NGAY'!$M$6:$M$505,MATCH(B399,'05_BAO_CAO_NGAY'!$A$6:$A$505,0)),""))</x:f>
      </x:c>
      <x:c r="J399" s="21"/>
      <x:c r="K399" s="29" t="str">
        <x:f>IF(J399="","",IFERROR(INDEX(DM_LY_DO_DUNG!$C$6:$C$105,MATCH(J399,DM_LY_DO_DUNG!$A$6:$A$105,0)),""))</x:f>
      </x:c>
      <x:c r="L399" s="21"/>
      <x:c r="M399" s="21"/>
      <x:c r="N399" s="21"/>
      <x:c r="O399" s="21"/>
      <x:c r="P399" s="21"/>
      <x:c r="Q399" s="43"/>
      <x:c r="R399" s="29" t="str">
        <x:f>IF(A399="","",IF(OR(B399="",C399="",D399="",J399=""),"Thiếu dữ liệu",IF(D399&lt;C399,"Sai thời gian",IF(AND(P399="Đã đóng",Q399=""),"Thiếu thời điểm đóng","Hợp lệ"))))</x:f>
      </x:c>
    </x:row>
    <x:row r="400">
      <x:c r="A400" s="21"/>
      <x:c r="B400" s="21"/>
      <x:c r="C400" s="43"/>
      <x:c r="D400" s="43"/>
      <x:c r="E400" s="39" t="str">
        <x:f>IF(A400="","",MAX(0,(D400-C400)*1440))</x:f>
      </x:c>
      <x:c r="F400" s="29" t="str">
        <x:f>IF(B400="","",IFERROR(INDEX('05_BAO_CAO_NGAY'!$D$6:$D$505,MATCH(B400,'05_BAO_CAO_NGAY'!$A$6:$A$505,0)),""))</x:f>
      </x:c>
      <x:c r="G400" s="29" t="str">
        <x:f>IF(B400="","",IFERROR(INDEX('05_BAO_CAO_NGAY'!$E$6:$E$505,MATCH(B400,'05_BAO_CAO_NGAY'!$A$6:$A$505,0)),""))</x:f>
      </x:c>
      <x:c r="H400" s="29" t="str">
        <x:f>IF(B400="","",IFERROR(INDEX('05_BAO_CAO_NGAY'!$J$6:$J$505,MATCH(B400,'05_BAO_CAO_NGAY'!$A$6:$A$505,0)),""))</x:f>
      </x:c>
      <x:c r="I400" s="29" t="str">
        <x:f>IF(B400="","",IFERROR(INDEX('05_BAO_CAO_NGAY'!$M$6:$M$505,MATCH(B400,'05_BAO_CAO_NGAY'!$A$6:$A$505,0)),""))</x:f>
      </x:c>
      <x:c r="J400" s="21"/>
      <x:c r="K400" s="29" t="str">
        <x:f>IF(J400="","",IFERROR(INDEX(DM_LY_DO_DUNG!$C$6:$C$105,MATCH(J400,DM_LY_DO_DUNG!$A$6:$A$105,0)),""))</x:f>
      </x:c>
      <x:c r="L400" s="21"/>
      <x:c r="M400" s="21"/>
      <x:c r="N400" s="21"/>
      <x:c r="O400" s="21"/>
      <x:c r="P400" s="21"/>
      <x:c r="Q400" s="43"/>
      <x:c r="R400" s="29" t="str">
        <x:f>IF(A400="","",IF(OR(B400="",C400="",D400="",J400=""),"Thiếu dữ liệu",IF(D400&lt;C400,"Sai thời gian",IF(AND(P400="Đã đóng",Q400=""),"Thiếu thời điểm đóng","Hợp lệ"))))</x:f>
      </x:c>
    </x:row>
    <x:row r="401">
      <x:c r="A401" s="21"/>
      <x:c r="B401" s="21"/>
      <x:c r="C401" s="43"/>
      <x:c r="D401" s="43"/>
      <x:c r="E401" s="39" t="str">
        <x:f>IF(A401="","",MAX(0,(D401-C401)*1440))</x:f>
      </x:c>
      <x:c r="F401" s="29" t="str">
        <x:f>IF(B401="","",IFERROR(INDEX('05_BAO_CAO_NGAY'!$D$6:$D$505,MATCH(B401,'05_BAO_CAO_NGAY'!$A$6:$A$505,0)),""))</x:f>
      </x:c>
      <x:c r="G401" s="29" t="str">
        <x:f>IF(B401="","",IFERROR(INDEX('05_BAO_CAO_NGAY'!$E$6:$E$505,MATCH(B401,'05_BAO_CAO_NGAY'!$A$6:$A$505,0)),""))</x:f>
      </x:c>
      <x:c r="H401" s="29" t="str">
        <x:f>IF(B401="","",IFERROR(INDEX('05_BAO_CAO_NGAY'!$J$6:$J$505,MATCH(B401,'05_BAO_CAO_NGAY'!$A$6:$A$505,0)),""))</x:f>
      </x:c>
      <x:c r="I401" s="29" t="str">
        <x:f>IF(B401="","",IFERROR(INDEX('05_BAO_CAO_NGAY'!$M$6:$M$505,MATCH(B401,'05_BAO_CAO_NGAY'!$A$6:$A$505,0)),""))</x:f>
      </x:c>
      <x:c r="J401" s="21"/>
      <x:c r="K401" s="29" t="str">
        <x:f>IF(J401="","",IFERROR(INDEX(DM_LY_DO_DUNG!$C$6:$C$105,MATCH(J401,DM_LY_DO_DUNG!$A$6:$A$105,0)),""))</x:f>
      </x:c>
      <x:c r="L401" s="21"/>
      <x:c r="M401" s="21"/>
      <x:c r="N401" s="21"/>
      <x:c r="O401" s="21"/>
      <x:c r="P401" s="21"/>
      <x:c r="Q401" s="43"/>
      <x:c r="R401" s="29" t="str">
        <x:f>IF(A401="","",IF(OR(B401="",C401="",D401="",J401=""),"Thiếu dữ liệu",IF(D401&lt;C401,"Sai thời gian",IF(AND(P401="Đã đóng",Q401=""),"Thiếu thời điểm đóng","Hợp lệ"))))</x:f>
      </x:c>
    </x:row>
    <x:row r="402">
      <x:c r="A402" s="21"/>
      <x:c r="B402" s="21"/>
      <x:c r="C402" s="43"/>
      <x:c r="D402" s="43"/>
      <x:c r="E402" s="39" t="str">
        <x:f>IF(A402="","",MAX(0,(D402-C402)*1440))</x:f>
      </x:c>
      <x:c r="F402" s="29" t="str">
        <x:f>IF(B402="","",IFERROR(INDEX('05_BAO_CAO_NGAY'!$D$6:$D$505,MATCH(B402,'05_BAO_CAO_NGAY'!$A$6:$A$505,0)),""))</x:f>
      </x:c>
      <x:c r="G402" s="29" t="str">
        <x:f>IF(B402="","",IFERROR(INDEX('05_BAO_CAO_NGAY'!$E$6:$E$505,MATCH(B402,'05_BAO_CAO_NGAY'!$A$6:$A$505,0)),""))</x:f>
      </x:c>
      <x:c r="H402" s="29" t="str">
        <x:f>IF(B402="","",IFERROR(INDEX('05_BAO_CAO_NGAY'!$J$6:$J$505,MATCH(B402,'05_BAO_CAO_NGAY'!$A$6:$A$505,0)),""))</x:f>
      </x:c>
      <x:c r="I402" s="29" t="str">
        <x:f>IF(B402="","",IFERROR(INDEX('05_BAO_CAO_NGAY'!$M$6:$M$505,MATCH(B402,'05_BAO_CAO_NGAY'!$A$6:$A$505,0)),""))</x:f>
      </x:c>
      <x:c r="J402" s="21"/>
      <x:c r="K402" s="29" t="str">
        <x:f>IF(J402="","",IFERROR(INDEX(DM_LY_DO_DUNG!$C$6:$C$105,MATCH(J402,DM_LY_DO_DUNG!$A$6:$A$105,0)),""))</x:f>
      </x:c>
      <x:c r="L402" s="21"/>
      <x:c r="M402" s="21"/>
      <x:c r="N402" s="21"/>
      <x:c r="O402" s="21"/>
      <x:c r="P402" s="21"/>
      <x:c r="Q402" s="43"/>
      <x:c r="R402" s="29" t="str">
        <x:f>IF(A402="","",IF(OR(B402="",C402="",D402="",J402=""),"Thiếu dữ liệu",IF(D402&lt;C402,"Sai thời gian",IF(AND(P402="Đã đóng",Q402=""),"Thiếu thời điểm đóng","Hợp lệ"))))</x:f>
      </x:c>
    </x:row>
    <x:row r="403">
      <x:c r="A403" s="21"/>
      <x:c r="B403" s="21"/>
      <x:c r="C403" s="43"/>
      <x:c r="D403" s="43"/>
      <x:c r="E403" s="39" t="str">
        <x:f>IF(A403="","",MAX(0,(D403-C403)*1440))</x:f>
      </x:c>
      <x:c r="F403" s="29" t="str">
        <x:f>IF(B403="","",IFERROR(INDEX('05_BAO_CAO_NGAY'!$D$6:$D$505,MATCH(B403,'05_BAO_CAO_NGAY'!$A$6:$A$505,0)),""))</x:f>
      </x:c>
      <x:c r="G403" s="29" t="str">
        <x:f>IF(B403="","",IFERROR(INDEX('05_BAO_CAO_NGAY'!$E$6:$E$505,MATCH(B403,'05_BAO_CAO_NGAY'!$A$6:$A$505,0)),""))</x:f>
      </x:c>
      <x:c r="H403" s="29" t="str">
        <x:f>IF(B403="","",IFERROR(INDEX('05_BAO_CAO_NGAY'!$J$6:$J$505,MATCH(B403,'05_BAO_CAO_NGAY'!$A$6:$A$505,0)),""))</x:f>
      </x:c>
      <x:c r="I403" s="29" t="str">
        <x:f>IF(B403="","",IFERROR(INDEX('05_BAO_CAO_NGAY'!$M$6:$M$505,MATCH(B403,'05_BAO_CAO_NGAY'!$A$6:$A$505,0)),""))</x:f>
      </x:c>
      <x:c r="J403" s="21"/>
      <x:c r="K403" s="29" t="str">
        <x:f>IF(J403="","",IFERROR(INDEX(DM_LY_DO_DUNG!$C$6:$C$105,MATCH(J403,DM_LY_DO_DUNG!$A$6:$A$105,0)),""))</x:f>
      </x:c>
      <x:c r="L403" s="21"/>
      <x:c r="M403" s="21"/>
      <x:c r="N403" s="21"/>
      <x:c r="O403" s="21"/>
      <x:c r="P403" s="21"/>
      <x:c r="Q403" s="43"/>
      <x:c r="R403" s="29" t="str">
        <x:f>IF(A403="","",IF(OR(B403="",C403="",D403="",J403=""),"Thiếu dữ liệu",IF(D403&lt;C403,"Sai thời gian",IF(AND(P403="Đã đóng",Q403=""),"Thiếu thời điểm đóng","Hợp lệ"))))</x:f>
      </x:c>
    </x:row>
    <x:row r="404">
      <x:c r="A404" s="21"/>
      <x:c r="B404" s="21"/>
      <x:c r="C404" s="43"/>
      <x:c r="D404" s="43"/>
      <x:c r="E404" s="39" t="str">
        <x:f>IF(A404="","",MAX(0,(D404-C404)*1440))</x:f>
      </x:c>
      <x:c r="F404" s="29" t="str">
        <x:f>IF(B404="","",IFERROR(INDEX('05_BAO_CAO_NGAY'!$D$6:$D$505,MATCH(B404,'05_BAO_CAO_NGAY'!$A$6:$A$505,0)),""))</x:f>
      </x:c>
      <x:c r="G404" s="29" t="str">
        <x:f>IF(B404="","",IFERROR(INDEX('05_BAO_CAO_NGAY'!$E$6:$E$505,MATCH(B404,'05_BAO_CAO_NGAY'!$A$6:$A$505,0)),""))</x:f>
      </x:c>
      <x:c r="H404" s="29" t="str">
        <x:f>IF(B404="","",IFERROR(INDEX('05_BAO_CAO_NGAY'!$J$6:$J$505,MATCH(B404,'05_BAO_CAO_NGAY'!$A$6:$A$505,0)),""))</x:f>
      </x:c>
      <x:c r="I404" s="29" t="str">
        <x:f>IF(B404="","",IFERROR(INDEX('05_BAO_CAO_NGAY'!$M$6:$M$505,MATCH(B404,'05_BAO_CAO_NGAY'!$A$6:$A$505,0)),""))</x:f>
      </x:c>
      <x:c r="J404" s="21"/>
      <x:c r="K404" s="29" t="str">
        <x:f>IF(J404="","",IFERROR(INDEX(DM_LY_DO_DUNG!$C$6:$C$105,MATCH(J404,DM_LY_DO_DUNG!$A$6:$A$105,0)),""))</x:f>
      </x:c>
      <x:c r="L404" s="21"/>
      <x:c r="M404" s="21"/>
      <x:c r="N404" s="21"/>
      <x:c r="O404" s="21"/>
      <x:c r="P404" s="21"/>
      <x:c r="Q404" s="43"/>
      <x:c r="R404" s="29" t="str">
        <x:f>IF(A404="","",IF(OR(B404="",C404="",D404="",J404=""),"Thiếu dữ liệu",IF(D404&lt;C404,"Sai thời gian",IF(AND(P404="Đã đóng",Q404=""),"Thiếu thời điểm đóng","Hợp lệ"))))</x:f>
      </x:c>
    </x:row>
    <x:row r="405">
      <x:c r="A405" s="21"/>
      <x:c r="B405" s="21"/>
      <x:c r="C405" s="43"/>
      <x:c r="D405" s="43"/>
      <x:c r="E405" s="39" t="str">
        <x:f>IF(A405="","",MAX(0,(D405-C405)*1440))</x:f>
      </x:c>
      <x:c r="F405" s="29" t="str">
        <x:f>IF(B405="","",IFERROR(INDEX('05_BAO_CAO_NGAY'!$D$6:$D$505,MATCH(B405,'05_BAO_CAO_NGAY'!$A$6:$A$505,0)),""))</x:f>
      </x:c>
      <x:c r="G405" s="29" t="str">
        <x:f>IF(B405="","",IFERROR(INDEX('05_BAO_CAO_NGAY'!$E$6:$E$505,MATCH(B405,'05_BAO_CAO_NGAY'!$A$6:$A$505,0)),""))</x:f>
      </x:c>
      <x:c r="H405" s="29" t="str">
        <x:f>IF(B405="","",IFERROR(INDEX('05_BAO_CAO_NGAY'!$J$6:$J$505,MATCH(B405,'05_BAO_CAO_NGAY'!$A$6:$A$505,0)),""))</x:f>
      </x:c>
      <x:c r="I405" s="29" t="str">
        <x:f>IF(B405="","",IFERROR(INDEX('05_BAO_CAO_NGAY'!$M$6:$M$505,MATCH(B405,'05_BAO_CAO_NGAY'!$A$6:$A$505,0)),""))</x:f>
      </x:c>
      <x:c r="J405" s="21"/>
      <x:c r="K405" s="29" t="str">
        <x:f>IF(J405="","",IFERROR(INDEX(DM_LY_DO_DUNG!$C$6:$C$105,MATCH(J405,DM_LY_DO_DUNG!$A$6:$A$105,0)),""))</x:f>
      </x:c>
      <x:c r="L405" s="21"/>
      <x:c r="M405" s="21"/>
      <x:c r="N405" s="21"/>
      <x:c r="O405" s="21"/>
      <x:c r="P405" s="21"/>
      <x:c r="Q405" s="43"/>
      <x:c r="R405" s="29" t="str">
        <x:f>IF(A405="","",IF(OR(B405="",C405="",D405="",J405=""),"Thiếu dữ liệu",IF(D405&lt;C405,"Sai thời gian",IF(AND(P405="Đã đóng",Q405=""),"Thiếu thời điểm đóng","Hợp lệ"))))</x:f>
      </x:c>
    </x:row>
    <x:row r="406">
      <x:c r="A406" s="21"/>
      <x:c r="B406" s="21"/>
      <x:c r="C406" s="43"/>
      <x:c r="D406" s="43"/>
      <x:c r="E406" s="39" t="str">
        <x:f>IF(A406="","",MAX(0,(D406-C406)*1440))</x:f>
      </x:c>
      <x:c r="F406" s="29" t="str">
        <x:f>IF(B406="","",IFERROR(INDEX('05_BAO_CAO_NGAY'!$D$6:$D$505,MATCH(B406,'05_BAO_CAO_NGAY'!$A$6:$A$505,0)),""))</x:f>
      </x:c>
      <x:c r="G406" s="29" t="str">
        <x:f>IF(B406="","",IFERROR(INDEX('05_BAO_CAO_NGAY'!$E$6:$E$505,MATCH(B406,'05_BAO_CAO_NGAY'!$A$6:$A$505,0)),""))</x:f>
      </x:c>
      <x:c r="H406" s="29" t="str">
        <x:f>IF(B406="","",IFERROR(INDEX('05_BAO_CAO_NGAY'!$J$6:$J$505,MATCH(B406,'05_BAO_CAO_NGAY'!$A$6:$A$505,0)),""))</x:f>
      </x:c>
      <x:c r="I406" s="29" t="str">
        <x:f>IF(B406="","",IFERROR(INDEX('05_BAO_CAO_NGAY'!$M$6:$M$505,MATCH(B406,'05_BAO_CAO_NGAY'!$A$6:$A$505,0)),""))</x:f>
      </x:c>
      <x:c r="J406" s="21"/>
      <x:c r="K406" s="29" t="str">
        <x:f>IF(J406="","",IFERROR(INDEX(DM_LY_DO_DUNG!$C$6:$C$105,MATCH(J406,DM_LY_DO_DUNG!$A$6:$A$105,0)),""))</x:f>
      </x:c>
      <x:c r="L406" s="21"/>
      <x:c r="M406" s="21"/>
      <x:c r="N406" s="21"/>
      <x:c r="O406" s="21"/>
      <x:c r="P406" s="21"/>
      <x:c r="Q406" s="43"/>
      <x:c r="R406" s="29" t="str">
        <x:f>IF(A406="","",IF(OR(B406="",C406="",D406="",J406=""),"Thiếu dữ liệu",IF(D406&lt;C406,"Sai thời gian",IF(AND(P406="Đã đóng",Q406=""),"Thiếu thời điểm đóng","Hợp lệ"))))</x:f>
      </x:c>
    </x:row>
    <x:row r="407">
      <x:c r="A407" s="21"/>
      <x:c r="B407" s="21"/>
      <x:c r="C407" s="43"/>
      <x:c r="D407" s="43"/>
      <x:c r="E407" s="39" t="str">
        <x:f>IF(A407="","",MAX(0,(D407-C407)*1440))</x:f>
      </x:c>
      <x:c r="F407" s="29" t="str">
        <x:f>IF(B407="","",IFERROR(INDEX('05_BAO_CAO_NGAY'!$D$6:$D$505,MATCH(B407,'05_BAO_CAO_NGAY'!$A$6:$A$505,0)),""))</x:f>
      </x:c>
      <x:c r="G407" s="29" t="str">
        <x:f>IF(B407="","",IFERROR(INDEX('05_BAO_CAO_NGAY'!$E$6:$E$505,MATCH(B407,'05_BAO_CAO_NGAY'!$A$6:$A$505,0)),""))</x:f>
      </x:c>
      <x:c r="H407" s="29" t="str">
        <x:f>IF(B407="","",IFERROR(INDEX('05_BAO_CAO_NGAY'!$J$6:$J$505,MATCH(B407,'05_BAO_CAO_NGAY'!$A$6:$A$505,0)),""))</x:f>
      </x:c>
      <x:c r="I407" s="29" t="str">
        <x:f>IF(B407="","",IFERROR(INDEX('05_BAO_CAO_NGAY'!$M$6:$M$505,MATCH(B407,'05_BAO_CAO_NGAY'!$A$6:$A$505,0)),""))</x:f>
      </x:c>
      <x:c r="J407" s="21"/>
      <x:c r="K407" s="29" t="str">
        <x:f>IF(J407="","",IFERROR(INDEX(DM_LY_DO_DUNG!$C$6:$C$105,MATCH(J407,DM_LY_DO_DUNG!$A$6:$A$105,0)),""))</x:f>
      </x:c>
      <x:c r="L407" s="21"/>
      <x:c r="M407" s="21"/>
      <x:c r="N407" s="21"/>
      <x:c r="O407" s="21"/>
      <x:c r="P407" s="21"/>
      <x:c r="Q407" s="43"/>
      <x:c r="R407" s="29" t="str">
        <x:f>IF(A407="","",IF(OR(B407="",C407="",D407="",J407=""),"Thiếu dữ liệu",IF(D407&lt;C407,"Sai thời gian",IF(AND(P407="Đã đóng",Q407=""),"Thiếu thời điểm đóng","Hợp lệ"))))</x:f>
      </x:c>
    </x:row>
    <x:row r="408">
      <x:c r="A408" s="21"/>
      <x:c r="B408" s="21"/>
      <x:c r="C408" s="43"/>
      <x:c r="D408" s="43"/>
      <x:c r="E408" s="39" t="str">
        <x:f>IF(A408="","",MAX(0,(D408-C408)*1440))</x:f>
      </x:c>
      <x:c r="F408" s="29" t="str">
        <x:f>IF(B408="","",IFERROR(INDEX('05_BAO_CAO_NGAY'!$D$6:$D$505,MATCH(B408,'05_BAO_CAO_NGAY'!$A$6:$A$505,0)),""))</x:f>
      </x:c>
      <x:c r="G408" s="29" t="str">
        <x:f>IF(B408="","",IFERROR(INDEX('05_BAO_CAO_NGAY'!$E$6:$E$505,MATCH(B408,'05_BAO_CAO_NGAY'!$A$6:$A$505,0)),""))</x:f>
      </x:c>
      <x:c r="H408" s="29" t="str">
        <x:f>IF(B408="","",IFERROR(INDEX('05_BAO_CAO_NGAY'!$J$6:$J$505,MATCH(B408,'05_BAO_CAO_NGAY'!$A$6:$A$505,0)),""))</x:f>
      </x:c>
      <x:c r="I408" s="29" t="str">
        <x:f>IF(B408="","",IFERROR(INDEX('05_BAO_CAO_NGAY'!$M$6:$M$505,MATCH(B408,'05_BAO_CAO_NGAY'!$A$6:$A$505,0)),""))</x:f>
      </x:c>
      <x:c r="J408" s="21"/>
      <x:c r="K408" s="29" t="str">
        <x:f>IF(J408="","",IFERROR(INDEX(DM_LY_DO_DUNG!$C$6:$C$105,MATCH(J408,DM_LY_DO_DUNG!$A$6:$A$105,0)),""))</x:f>
      </x:c>
      <x:c r="L408" s="21"/>
      <x:c r="M408" s="21"/>
      <x:c r="N408" s="21"/>
      <x:c r="O408" s="21"/>
      <x:c r="P408" s="21"/>
      <x:c r="Q408" s="43"/>
      <x:c r="R408" s="29" t="str">
        <x:f>IF(A408="","",IF(OR(B408="",C408="",D408="",J408=""),"Thiếu dữ liệu",IF(D408&lt;C408,"Sai thời gian",IF(AND(P408="Đã đóng",Q408=""),"Thiếu thời điểm đóng","Hợp lệ"))))</x:f>
      </x:c>
    </x:row>
    <x:row r="409">
      <x:c r="A409" s="21"/>
      <x:c r="B409" s="21"/>
      <x:c r="C409" s="43"/>
      <x:c r="D409" s="43"/>
      <x:c r="E409" s="39" t="str">
        <x:f>IF(A409="","",MAX(0,(D409-C409)*1440))</x:f>
      </x:c>
      <x:c r="F409" s="29" t="str">
        <x:f>IF(B409="","",IFERROR(INDEX('05_BAO_CAO_NGAY'!$D$6:$D$505,MATCH(B409,'05_BAO_CAO_NGAY'!$A$6:$A$505,0)),""))</x:f>
      </x:c>
      <x:c r="G409" s="29" t="str">
        <x:f>IF(B409="","",IFERROR(INDEX('05_BAO_CAO_NGAY'!$E$6:$E$505,MATCH(B409,'05_BAO_CAO_NGAY'!$A$6:$A$505,0)),""))</x:f>
      </x:c>
      <x:c r="H409" s="29" t="str">
        <x:f>IF(B409="","",IFERROR(INDEX('05_BAO_CAO_NGAY'!$J$6:$J$505,MATCH(B409,'05_BAO_CAO_NGAY'!$A$6:$A$505,0)),""))</x:f>
      </x:c>
      <x:c r="I409" s="29" t="str">
        <x:f>IF(B409="","",IFERROR(INDEX('05_BAO_CAO_NGAY'!$M$6:$M$505,MATCH(B409,'05_BAO_CAO_NGAY'!$A$6:$A$505,0)),""))</x:f>
      </x:c>
      <x:c r="J409" s="21"/>
      <x:c r="K409" s="29" t="str">
        <x:f>IF(J409="","",IFERROR(INDEX(DM_LY_DO_DUNG!$C$6:$C$105,MATCH(J409,DM_LY_DO_DUNG!$A$6:$A$105,0)),""))</x:f>
      </x:c>
      <x:c r="L409" s="21"/>
      <x:c r="M409" s="21"/>
      <x:c r="N409" s="21"/>
      <x:c r="O409" s="21"/>
      <x:c r="P409" s="21"/>
      <x:c r="Q409" s="43"/>
      <x:c r="R409" s="29" t="str">
        <x:f>IF(A409="","",IF(OR(B409="",C409="",D409="",J409=""),"Thiếu dữ liệu",IF(D409&lt;C409,"Sai thời gian",IF(AND(P409="Đã đóng",Q409=""),"Thiếu thời điểm đóng","Hợp lệ"))))</x:f>
      </x:c>
    </x:row>
    <x:row r="410">
      <x:c r="A410" s="21"/>
      <x:c r="B410" s="21"/>
      <x:c r="C410" s="43"/>
      <x:c r="D410" s="43"/>
      <x:c r="E410" s="39" t="str">
        <x:f>IF(A410="","",MAX(0,(D410-C410)*1440))</x:f>
      </x:c>
      <x:c r="F410" s="29" t="str">
        <x:f>IF(B410="","",IFERROR(INDEX('05_BAO_CAO_NGAY'!$D$6:$D$505,MATCH(B410,'05_BAO_CAO_NGAY'!$A$6:$A$505,0)),""))</x:f>
      </x:c>
      <x:c r="G410" s="29" t="str">
        <x:f>IF(B410="","",IFERROR(INDEX('05_BAO_CAO_NGAY'!$E$6:$E$505,MATCH(B410,'05_BAO_CAO_NGAY'!$A$6:$A$505,0)),""))</x:f>
      </x:c>
      <x:c r="H410" s="29" t="str">
        <x:f>IF(B410="","",IFERROR(INDEX('05_BAO_CAO_NGAY'!$J$6:$J$505,MATCH(B410,'05_BAO_CAO_NGAY'!$A$6:$A$505,0)),""))</x:f>
      </x:c>
      <x:c r="I410" s="29" t="str">
        <x:f>IF(B410="","",IFERROR(INDEX('05_BAO_CAO_NGAY'!$M$6:$M$505,MATCH(B410,'05_BAO_CAO_NGAY'!$A$6:$A$505,0)),""))</x:f>
      </x:c>
      <x:c r="J410" s="21"/>
      <x:c r="K410" s="29" t="str">
        <x:f>IF(J410="","",IFERROR(INDEX(DM_LY_DO_DUNG!$C$6:$C$105,MATCH(J410,DM_LY_DO_DUNG!$A$6:$A$105,0)),""))</x:f>
      </x:c>
      <x:c r="L410" s="21"/>
      <x:c r="M410" s="21"/>
      <x:c r="N410" s="21"/>
      <x:c r="O410" s="21"/>
      <x:c r="P410" s="21"/>
      <x:c r="Q410" s="43"/>
      <x:c r="R410" s="29" t="str">
        <x:f>IF(A410="","",IF(OR(B410="",C410="",D410="",J410=""),"Thiếu dữ liệu",IF(D410&lt;C410,"Sai thời gian",IF(AND(P410="Đã đóng",Q410=""),"Thiếu thời điểm đóng","Hợp lệ"))))</x:f>
      </x:c>
    </x:row>
    <x:row r="411">
      <x:c r="A411" s="21"/>
      <x:c r="B411" s="21"/>
      <x:c r="C411" s="43"/>
      <x:c r="D411" s="43"/>
      <x:c r="E411" s="39" t="str">
        <x:f>IF(A411="","",MAX(0,(D411-C411)*1440))</x:f>
      </x:c>
      <x:c r="F411" s="29" t="str">
        <x:f>IF(B411="","",IFERROR(INDEX('05_BAO_CAO_NGAY'!$D$6:$D$505,MATCH(B411,'05_BAO_CAO_NGAY'!$A$6:$A$505,0)),""))</x:f>
      </x:c>
      <x:c r="G411" s="29" t="str">
        <x:f>IF(B411="","",IFERROR(INDEX('05_BAO_CAO_NGAY'!$E$6:$E$505,MATCH(B411,'05_BAO_CAO_NGAY'!$A$6:$A$505,0)),""))</x:f>
      </x:c>
      <x:c r="H411" s="29" t="str">
        <x:f>IF(B411="","",IFERROR(INDEX('05_BAO_CAO_NGAY'!$J$6:$J$505,MATCH(B411,'05_BAO_CAO_NGAY'!$A$6:$A$505,0)),""))</x:f>
      </x:c>
      <x:c r="I411" s="29" t="str">
        <x:f>IF(B411="","",IFERROR(INDEX('05_BAO_CAO_NGAY'!$M$6:$M$505,MATCH(B411,'05_BAO_CAO_NGAY'!$A$6:$A$505,0)),""))</x:f>
      </x:c>
      <x:c r="J411" s="21"/>
      <x:c r="K411" s="29" t="str">
        <x:f>IF(J411="","",IFERROR(INDEX(DM_LY_DO_DUNG!$C$6:$C$105,MATCH(J411,DM_LY_DO_DUNG!$A$6:$A$105,0)),""))</x:f>
      </x:c>
      <x:c r="L411" s="21"/>
      <x:c r="M411" s="21"/>
      <x:c r="N411" s="21"/>
      <x:c r="O411" s="21"/>
      <x:c r="P411" s="21"/>
      <x:c r="Q411" s="43"/>
      <x:c r="R411" s="29" t="str">
        <x:f>IF(A411="","",IF(OR(B411="",C411="",D411="",J411=""),"Thiếu dữ liệu",IF(D411&lt;C411,"Sai thời gian",IF(AND(P411="Đã đóng",Q411=""),"Thiếu thời điểm đóng","Hợp lệ"))))</x:f>
      </x:c>
    </x:row>
    <x:row r="412">
      <x:c r="A412" s="21"/>
      <x:c r="B412" s="21"/>
      <x:c r="C412" s="43"/>
      <x:c r="D412" s="43"/>
      <x:c r="E412" s="39" t="str">
        <x:f>IF(A412="","",MAX(0,(D412-C412)*1440))</x:f>
      </x:c>
      <x:c r="F412" s="29" t="str">
        <x:f>IF(B412="","",IFERROR(INDEX('05_BAO_CAO_NGAY'!$D$6:$D$505,MATCH(B412,'05_BAO_CAO_NGAY'!$A$6:$A$505,0)),""))</x:f>
      </x:c>
      <x:c r="G412" s="29" t="str">
        <x:f>IF(B412="","",IFERROR(INDEX('05_BAO_CAO_NGAY'!$E$6:$E$505,MATCH(B412,'05_BAO_CAO_NGAY'!$A$6:$A$505,0)),""))</x:f>
      </x:c>
      <x:c r="H412" s="29" t="str">
        <x:f>IF(B412="","",IFERROR(INDEX('05_BAO_CAO_NGAY'!$J$6:$J$505,MATCH(B412,'05_BAO_CAO_NGAY'!$A$6:$A$505,0)),""))</x:f>
      </x:c>
      <x:c r="I412" s="29" t="str">
        <x:f>IF(B412="","",IFERROR(INDEX('05_BAO_CAO_NGAY'!$M$6:$M$505,MATCH(B412,'05_BAO_CAO_NGAY'!$A$6:$A$505,0)),""))</x:f>
      </x:c>
      <x:c r="J412" s="21"/>
      <x:c r="K412" s="29" t="str">
        <x:f>IF(J412="","",IFERROR(INDEX(DM_LY_DO_DUNG!$C$6:$C$105,MATCH(J412,DM_LY_DO_DUNG!$A$6:$A$105,0)),""))</x:f>
      </x:c>
      <x:c r="L412" s="21"/>
      <x:c r="M412" s="21"/>
      <x:c r="N412" s="21"/>
      <x:c r="O412" s="21"/>
      <x:c r="P412" s="21"/>
      <x:c r="Q412" s="43"/>
      <x:c r="R412" s="29" t="str">
        <x:f>IF(A412="","",IF(OR(B412="",C412="",D412="",J412=""),"Thiếu dữ liệu",IF(D412&lt;C412,"Sai thời gian",IF(AND(P412="Đã đóng",Q412=""),"Thiếu thời điểm đóng","Hợp lệ"))))</x:f>
      </x:c>
    </x:row>
    <x:row r="413">
      <x:c r="A413" s="21"/>
      <x:c r="B413" s="21"/>
      <x:c r="C413" s="43"/>
      <x:c r="D413" s="43"/>
      <x:c r="E413" s="39" t="str">
        <x:f>IF(A413="","",MAX(0,(D413-C413)*1440))</x:f>
      </x:c>
      <x:c r="F413" s="29" t="str">
        <x:f>IF(B413="","",IFERROR(INDEX('05_BAO_CAO_NGAY'!$D$6:$D$505,MATCH(B413,'05_BAO_CAO_NGAY'!$A$6:$A$505,0)),""))</x:f>
      </x:c>
      <x:c r="G413" s="29" t="str">
        <x:f>IF(B413="","",IFERROR(INDEX('05_BAO_CAO_NGAY'!$E$6:$E$505,MATCH(B413,'05_BAO_CAO_NGAY'!$A$6:$A$505,0)),""))</x:f>
      </x:c>
      <x:c r="H413" s="29" t="str">
        <x:f>IF(B413="","",IFERROR(INDEX('05_BAO_CAO_NGAY'!$J$6:$J$505,MATCH(B413,'05_BAO_CAO_NGAY'!$A$6:$A$505,0)),""))</x:f>
      </x:c>
      <x:c r="I413" s="29" t="str">
        <x:f>IF(B413="","",IFERROR(INDEX('05_BAO_CAO_NGAY'!$M$6:$M$505,MATCH(B413,'05_BAO_CAO_NGAY'!$A$6:$A$505,0)),""))</x:f>
      </x:c>
      <x:c r="J413" s="21"/>
      <x:c r="K413" s="29" t="str">
        <x:f>IF(J413="","",IFERROR(INDEX(DM_LY_DO_DUNG!$C$6:$C$105,MATCH(J413,DM_LY_DO_DUNG!$A$6:$A$105,0)),""))</x:f>
      </x:c>
      <x:c r="L413" s="21"/>
      <x:c r="M413" s="21"/>
      <x:c r="N413" s="21"/>
      <x:c r="O413" s="21"/>
      <x:c r="P413" s="21"/>
      <x:c r="Q413" s="43"/>
      <x:c r="R413" s="29" t="str">
        <x:f>IF(A413="","",IF(OR(B413="",C413="",D413="",J413=""),"Thiếu dữ liệu",IF(D413&lt;C413,"Sai thời gian",IF(AND(P413="Đã đóng",Q413=""),"Thiếu thời điểm đóng","Hợp lệ"))))</x:f>
      </x:c>
    </x:row>
    <x:row r="414">
      <x:c r="A414" s="21"/>
      <x:c r="B414" s="21"/>
      <x:c r="C414" s="43"/>
      <x:c r="D414" s="43"/>
      <x:c r="E414" s="39" t="str">
        <x:f>IF(A414="","",MAX(0,(D414-C414)*1440))</x:f>
      </x:c>
      <x:c r="F414" s="29" t="str">
        <x:f>IF(B414="","",IFERROR(INDEX('05_BAO_CAO_NGAY'!$D$6:$D$505,MATCH(B414,'05_BAO_CAO_NGAY'!$A$6:$A$505,0)),""))</x:f>
      </x:c>
      <x:c r="G414" s="29" t="str">
        <x:f>IF(B414="","",IFERROR(INDEX('05_BAO_CAO_NGAY'!$E$6:$E$505,MATCH(B414,'05_BAO_CAO_NGAY'!$A$6:$A$505,0)),""))</x:f>
      </x:c>
      <x:c r="H414" s="29" t="str">
        <x:f>IF(B414="","",IFERROR(INDEX('05_BAO_CAO_NGAY'!$J$6:$J$505,MATCH(B414,'05_BAO_CAO_NGAY'!$A$6:$A$505,0)),""))</x:f>
      </x:c>
      <x:c r="I414" s="29" t="str">
        <x:f>IF(B414="","",IFERROR(INDEX('05_BAO_CAO_NGAY'!$M$6:$M$505,MATCH(B414,'05_BAO_CAO_NGAY'!$A$6:$A$505,0)),""))</x:f>
      </x:c>
      <x:c r="J414" s="21"/>
      <x:c r="K414" s="29" t="str">
        <x:f>IF(J414="","",IFERROR(INDEX(DM_LY_DO_DUNG!$C$6:$C$105,MATCH(J414,DM_LY_DO_DUNG!$A$6:$A$105,0)),""))</x:f>
      </x:c>
      <x:c r="L414" s="21"/>
      <x:c r="M414" s="21"/>
      <x:c r="N414" s="21"/>
      <x:c r="O414" s="21"/>
      <x:c r="P414" s="21"/>
      <x:c r="Q414" s="43"/>
      <x:c r="R414" s="29" t="str">
        <x:f>IF(A414="","",IF(OR(B414="",C414="",D414="",J414=""),"Thiếu dữ liệu",IF(D414&lt;C414,"Sai thời gian",IF(AND(P414="Đã đóng",Q414=""),"Thiếu thời điểm đóng","Hợp lệ"))))</x:f>
      </x:c>
    </x:row>
    <x:row r="415">
      <x:c r="A415" s="21"/>
      <x:c r="B415" s="21"/>
      <x:c r="C415" s="43"/>
      <x:c r="D415" s="43"/>
      <x:c r="E415" s="39" t="str">
        <x:f>IF(A415="","",MAX(0,(D415-C415)*1440))</x:f>
      </x:c>
      <x:c r="F415" s="29" t="str">
        <x:f>IF(B415="","",IFERROR(INDEX('05_BAO_CAO_NGAY'!$D$6:$D$505,MATCH(B415,'05_BAO_CAO_NGAY'!$A$6:$A$505,0)),""))</x:f>
      </x:c>
      <x:c r="G415" s="29" t="str">
        <x:f>IF(B415="","",IFERROR(INDEX('05_BAO_CAO_NGAY'!$E$6:$E$505,MATCH(B415,'05_BAO_CAO_NGAY'!$A$6:$A$505,0)),""))</x:f>
      </x:c>
      <x:c r="H415" s="29" t="str">
        <x:f>IF(B415="","",IFERROR(INDEX('05_BAO_CAO_NGAY'!$J$6:$J$505,MATCH(B415,'05_BAO_CAO_NGAY'!$A$6:$A$505,0)),""))</x:f>
      </x:c>
      <x:c r="I415" s="29" t="str">
        <x:f>IF(B415="","",IFERROR(INDEX('05_BAO_CAO_NGAY'!$M$6:$M$505,MATCH(B415,'05_BAO_CAO_NGAY'!$A$6:$A$505,0)),""))</x:f>
      </x:c>
      <x:c r="J415" s="21"/>
      <x:c r="K415" s="29" t="str">
        <x:f>IF(J415="","",IFERROR(INDEX(DM_LY_DO_DUNG!$C$6:$C$105,MATCH(J415,DM_LY_DO_DUNG!$A$6:$A$105,0)),""))</x:f>
      </x:c>
      <x:c r="L415" s="21"/>
      <x:c r="M415" s="21"/>
      <x:c r="N415" s="21"/>
      <x:c r="O415" s="21"/>
      <x:c r="P415" s="21"/>
      <x:c r="Q415" s="43"/>
      <x:c r="R415" s="29" t="str">
        <x:f>IF(A415="","",IF(OR(B415="",C415="",D415="",J415=""),"Thiếu dữ liệu",IF(D415&lt;C415,"Sai thời gian",IF(AND(P415="Đã đóng",Q415=""),"Thiếu thời điểm đóng","Hợp lệ"))))</x:f>
      </x:c>
    </x:row>
    <x:row r="416">
      <x:c r="A416" s="21"/>
      <x:c r="B416" s="21"/>
      <x:c r="C416" s="43"/>
      <x:c r="D416" s="43"/>
      <x:c r="E416" s="39" t="str">
        <x:f>IF(A416="","",MAX(0,(D416-C416)*1440))</x:f>
      </x:c>
      <x:c r="F416" s="29" t="str">
        <x:f>IF(B416="","",IFERROR(INDEX('05_BAO_CAO_NGAY'!$D$6:$D$505,MATCH(B416,'05_BAO_CAO_NGAY'!$A$6:$A$505,0)),""))</x:f>
      </x:c>
      <x:c r="G416" s="29" t="str">
        <x:f>IF(B416="","",IFERROR(INDEX('05_BAO_CAO_NGAY'!$E$6:$E$505,MATCH(B416,'05_BAO_CAO_NGAY'!$A$6:$A$505,0)),""))</x:f>
      </x:c>
      <x:c r="H416" s="29" t="str">
        <x:f>IF(B416="","",IFERROR(INDEX('05_BAO_CAO_NGAY'!$J$6:$J$505,MATCH(B416,'05_BAO_CAO_NGAY'!$A$6:$A$505,0)),""))</x:f>
      </x:c>
      <x:c r="I416" s="29" t="str">
        <x:f>IF(B416="","",IFERROR(INDEX('05_BAO_CAO_NGAY'!$M$6:$M$505,MATCH(B416,'05_BAO_CAO_NGAY'!$A$6:$A$505,0)),""))</x:f>
      </x:c>
      <x:c r="J416" s="21"/>
      <x:c r="K416" s="29" t="str">
        <x:f>IF(J416="","",IFERROR(INDEX(DM_LY_DO_DUNG!$C$6:$C$105,MATCH(J416,DM_LY_DO_DUNG!$A$6:$A$105,0)),""))</x:f>
      </x:c>
      <x:c r="L416" s="21"/>
      <x:c r="M416" s="21"/>
      <x:c r="N416" s="21"/>
      <x:c r="O416" s="21"/>
      <x:c r="P416" s="21"/>
      <x:c r="Q416" s="43"/>
      <x:c r="R416" s="29" t="str">
        <x:f>IF(A416="","",IF(OR(B416="",C416="",D416="",J416=""),"Thiếu dữ liệu",IF(D416&lt;C416,"Sai thời gian",IF(AND(P416="Đã đóng",Q416=""),"Thiếu thời điểm đóng","Hợp lệ"))))</x:f>
      </x:c>
    </x:row>
    <x:row r="417">
      <x:c r="A417" s="21"/>
      <x:c r="B417" s="21"/>
      <x:c r="C417" s="43"/>
      <x:c r="D417" s="43"/>
      <x:c r="E417" s="39" t="str">
        <x:f>IF(A417="","",MAX(0,(D417-C417)*1440))</x:f>
      </x:c>
      <x:c r="F417" s="29" t="str">
        <x:f>IF(B417="","",IFERROR(INDEX('05_BAO_CAO_NGAY'!$D$6:$D$505,MATCH(B417,'05_BAO_CAO_NGAY'!$A$6:$A$505,0)),""))</x:f>
      </x:c>
      <x:c r="G417" s="29" t="str">
        <x:f>IF(B417="","",IFERROR(INDEX('05_BAO_CAO_NGAY'!$E$6:$E$505,MATCH(B417,'05_BAO_CAO_NGAY'!$A$6:$A$505,0)),""))</x:f>
      </x:c>
      <x:c r="H417" s="29" t="str">
        <x:f>IF(B417="","",IFERROR(INDEX('05_BAO_CAO_NGAY'!$J$6:$J$505,MATCH(B417,'05_BAO_CAO_NGAY'!$A$6:$A$505,0)),""))</x:f>
      </x:c>
      <x:c r="I417" s="29" t="str">
        <x:f>IF(B417="","",IFERROR(INDEX('05_BAO_CAO_NGAY'!$M$6:$M$505,MATCH(B417,'05_BAO_CAO_NGAY'!$A$6:$A$505,0)),""))</x:f>
      </x:c>
      <x:c r="J417" s="21"/>
      <x:c r="K417" s="29" t="str">
        <x:f>IF(J417="","",IFERROR(INDEX(DM_LY_DO_DUNG!$C$6:$C$105,MATCH(J417,DM_LY_DO_DUNG!$A$6:$A$105,0)),""))</x:f>
      </x:c>
      <x:c r="L417" s="21"/>
      <x:c r="M417" s="21"/>
      <x:c r="N417" s="21"/>
      <x:c r="O417" s="21"/>
      <x:c r="P417" s="21"/>
      <x:c r="Q417" s="43"/>
      <x:c r="R417" s="29" t="str">
        <x:f>IF(A417="","",IF(OR(B417="",C417="",D417="",J417=""),"Thiếu dữ liệu",IF(D417&lt;C417,"Sai thời gian",IF(AND(P417="Đã đóng",Q417=""),"Thiếu thời điểm đóng","Hợp lệ"))))</x:f>
      </x:c>
    </x:row>
    <x:row r="418">
      <x:c r="A418" s="21"/>
      <x:c r="B418" s="21"/>
      <x:c r="C418" s="43"/>
      <x:c r="D418" s="43"/>
      <x:c r="E418" s="39" t="str">
        <x:f>IF(A418="","",MAX(0,(D418-C418)*1440))</x:f>
      </x:c>
      <x:c r="F418" s="29" t="str">
        <x:f>IF(B418="","",IFERROR(INDEX('05_BAO_CAO_NGAY'!$D$6:$D$505,MATCH(B418,'05_BAO_CAO_NGAY'!$A$6:$A$505,0)),""))</x:f>
      </x:c>
      <x:c r="G418" s="29" t="str">
        <x:f>IF(B418="","",IFERROR(INDEX('05_BAO_CAO_NGAY'!$E$6:$E$505,MATCH(B418,'05_BAO_CAO_NGAY'!$A$6:$A$505,0)),""))</x:f>
      </x:c>
      <x:c r="H418" s="29" t="str">
        <x:f>IF(B418="","",IFERROR(INDEX('05_BAO_CAO_NGAY'!$J$6:$J$505,MATCH(B418,'05_BAO_CAO_NGAY'!$A$6:$A$505,0)),""))</x:f>
      </x:c>
      <x:c r="I418" s="29" t="str">
        <x:f>IF(B418="","",IFERROR(INDEX('05_BAO_CAO_NGAY'!$M$6:$M$505,MATCH(B418,'05_BAO_CAO_NGAY'!$A$6:$A$505,0)),""))</x:f>
      </x:c>
      <x:c r="J418" s="21"/>
      <x:c r="K418" s="29" t="str">
        <x:f>IF(J418="","",IFERROR(INDEX(DM_LY_DO_DUNG!$C$6:$C$105,MATCH(J418,DM_LY_DO_DUNG!$A$6:$A$105,0)),""))</x:f>
      </x:c>
      <x:c r="L418" s="21"/>
      <x:c r="M418" s="21"/>
      <x:c r="N418" s="21"/>
      <x:c r="O418" s="21"/>
      <x:c r="P418" s="21"/>
      <x:c r="Q418" s="43"/>
      <x:c r="R418" s="29" t="str">
        <x:f>IF(A418="","",IF(OR(B418="",C418="",D418="",J418=""),"Thiếu dữ liệu",IF(D418&lt;C418,"Sai thời gian",IF(AND(P418="Đã đóng",Q418=""),"Thiếu thời điểm đóng","Hợp lệ"))))</x:f>
      </x:c>
    </x:row>
    <x:row r="419">
      <x:c r="A419" s="21"/>
      <x:c r="B419" s="21"/>
      <x:c r="C419" s="43"/>
      <x:c r="D419" s="43"/>
      <x:c r="E419" s="39" t="str">
        <x:f>IF(A419="","",MAX(0,(D419-C419)*1440))</x:f>
      </x:c>
      <x:c r="F419" s="29" t="str">
        <x:f>IF(B419="","",IFERROR(INDEX('05_BAO_CAO_NGAY'!$D$6:$D$505,MATCH(B419,'05_BAO_CAO_NGAY'!$A$6:$A$505,0)),""))</x:f>
      </x:c>
      <x:c r="G419" s="29" t="str">
        <x:f>IF(B419="","",IFERROR(INDEX('05_BAO_CAO_NGAY'!$E$6:$E$505,MATCH(B419,'05_BAO_CAO_NGAY'!$A$6:$A$505,0)),""))</x:f>
      </x:c>
      <x:c r="H419" s="29" t="str">
        <x:f>IF(B419="","",IFERROR(INDEX('05_BAO_CAO_NGAY'!$J$6:$J$505,MATCH(B419,'05_BAO_CAO_NGAY'!$A$6:$A$505,0)),""))</x:f>
      </x:c>
      <x:c r="I419" s="29" t="str">
        <x:f>IF(B419="","",IFERROR(INDEX('05_BAO_CAO_NGAY'!$M$6:$M$505,MATCH(B419,'05_BAO_CAO_NGAY'!$A$6:$A$505,0)),""))</x:f>
      </x:c>
      <x:c r="J419" s="21"/>
      <x:c r="K419" s="29" t="str">
        <x:f>IF(J419="","",IFERROR(INDEX(DM_LY_DO_DUNG!$C$6:$C$105,MATCH(J419,DM_LY_DO_DUNG!$A$6:$A$105,0)),""))</x:f>
      </x:c>
      <x:c r="L419" s="21"/>
      <x:c r="M419" s="21"/>
      <x:c r="N419" s="21"/>
      <x:c r="O419" s="21"/>
      <x:c r="P419" s="21"/>
      <x:c r="Q419" s="43"/>
      <x:c r="R419" s="29" t="str">
        <x:f>IF(A419="","",IF(OR(B419="",C419="",D419="",J419=""),"Thiếu dữ liệu",IF(D419&lt;C419,"Sai thời gian",IF(AND(P419="Đã đóng",Q419=""),"Thiếu thời điểm đóng","Hợp lệ"))))</x:f>
      </x:c>
    </x:row>
    <x:row r="420">
      <x:c r="A420" s="21"/>
      <x:c r="B420" s="21"/>
      <x:c r="C420" s="43"/>
      <x:c r="D420" s="43"/>
      <x:c r="E420" s="39" t="str">
        <x:f>IF(A420="","",MAX(0,(D420-C420)*1440))</x:f>
      </x:c>
      <x:c r="F420" s="29" t="str">
        <x:f>IF(B420="","",IFERROR(INDEX('05_BAO_CAO_NGAY'!$D$6:$D$505,MATCH(B420,'05_BAO_CAO_NGAY'!$A$6:$A$505,0)),""))</x:f>
      </x:c>
      <x:c r="G420" s="29" t="str">
        <x:f>IF(B420="","",IFERROR(INDEX('05_BAO_CAO_NGAY'!$E$6:$E$505,MATCH(B420,'05_BAO_CAO_NGAY'!$A$6:$A$505,0)),""))</x:f>
      </x:c>
      <x:c r="H420" s="29" t="str">
        <x:f>IF(B420="","",IFERROR(INDEX('05_BAO_CAO_NGAY'!$J$6:$J$505,MATCH(B420,'05_BAO_CAO_NGAY'!$A$6:$A$505,0)),""))</x:f>
      </x:c>
      <x:c r="I420" s="29" t="str">
        <x:f>IF(B420="","",IFERROR(INDEX('05_BAO_CAO_NGAY'!$M$6:$M$505,MATCH(B420,'05_BAO_CAO_NGAY'!$A$6:$A$505,0)),""))</x:f>
      </x:c>
      <x:c r="J420" s="21"/>
      <x:c r="K420" s="29" t="str">
        <x:f>IF(J420="","",IFERROR(INDEX(DM_LY_DO_DUNG!$C$6:$C$105,MATCH(J420,DM_LY_DO_DUNG!$A$6:$A$105,0)),""))</x:f>
      </x:c>
      <x:c r="L420" s="21"/>
      <x:c r="M420" s="21"/>
      <x:c r="N420" s="21"/>
      <x:c r="O420" s="21"/>
      <x:c r="P420" s="21"/>
      <x:c r="Q420" s="43"/>
      <x:c r="R420" s="29" t="str">
        <x:f>IF(A420="","",IF(OR(B420="",C420="",D420="",J420=""),"Thiếu dữ liệu",IF(D420&lt;C420,"Sai thời gian",IF(AND(P420="Đã đóng",Q420=""),"Thiếu thời điểm đóng","Hợp lệ"))))</x:f>
      </x:c>
    </x:row>
    <x:row r="421">
      <x:c r="A421" s="21"/>
      <x:c r="B421" s="21"/>
      <x:c r="C421" s="43"/>
      <x:c r="D421" s="43"/>
      <x:c r="E421" s="39" t="str">
        <x:f>IF(A421="","",MAX(0,(D421-C421)*1440))</x:f>
      </x:c>
      <x:c r="F421" s="29" t="str">
        <x:f>IF(B421="","",IFERROR(INDEX('05_BAO_CAO_NGAY'!$D$6:$D$505,MATCH(B421,'05_BAO_CAO_NGAY'!$A$6:$A$505,0)),""))</x:f>
      </x:c>
      <x:c r="G421" s="29" t="str">
        <x:f>IF(B421="","",IFERROR(INDEX('05_BAO_CAO_NGAY'!$E$6:$E$505,MATCH(B421,'05_BAO_CAO_NGAY'!$A$6:$A$505,0)),""))</x:f>
      </x:c>
      <x:c r="H421" s="29" t="str">
        <x:f>IF(B421="","",IFERROR(INDEX('05_BAO_CAO_NGAY'!$J$6:$J$505,MATCH(B421,'05_BAO_CAO_NGAY'!$A$6:$A$505,0)),""))</x:f>
      </x:c>
      <x:c r="I421" s="29" t="str">
        <x:f>IF(B421="","",IFERROR(INDEX('05_BAO_CAO_NGAY'!$M$6:$M$505,MATCH(B421,'05_BAO_CAO_NGAY'!$A$6:$A$505,0)),""))</x:f>
      </x:c>
      <x:c r="J421" s="21"/>
      <x:c r="K421" s="29" t="str">
        <x:f>IF(J421="","",IFERROR(INDEX(DM_LY_DO_DUNG!$C$6:$C$105,MATCH(J421,DM_LY_DO_DUNG!$A$6:$A$105,0)),""))</x:f>
      </x:c>
      <x:c r="L421" s="21"/>
      <x:c r="M421" s="21"/>
      <x:c r="N421" s="21"/>
      <x:c r="O421" s="21"/>
      <x:c r="P421" s="21"/>
      <x:c r="Q421" s="43"/>
      <x:c r="R421" s="29" t="str">
        <x:f>IF(A421="","",IF(OR(B421="",C421="",D421="",J421=""),"Thiếu dữ liệu",IF(D421&lt;C421,"Sai thời gian",IF(AND(P421="Đã đóng",Q421=""),"Thiếu thời điểm đóng","Hợp lệ"))))</x:f>
      </x:c>
    </x:row>
    <x:row r="422">
      <x:c r="A422" s="21"/>
      <x:c r="B422" s="21"/>
      <x:c r="C422" s="43"/>
      <x:c r="D422" s="43"/>
      <x:c r="E422" s="39" t="str">
        <x:f>IF(A422="","",MAX(0,(D422-C422)*1440))</x:f>
      </x:c>
      <x:c r="F422" s="29" t="str">
        <x:f>IF(B422="","",IFERROR(INDEX('05_BAO_CAO_NGAY'!$D$6:$D$505,MATCH(B422,'05_BAO_CAO_NGAY'!$A$6:$A$505,0)),""))</x:f>
      </x:c>
      <x:c r="G422" s="29" t="str">
        <x:f>IF(B422="","",IFERROR(INDEX('05_BAO_CAO_NGAY'!$E$6:$E$505,MATCH(B422,'05_BAO_CAO_NGAY'!$A$6:$A$505,0)),""))</x:f>
      </x:c>
      <x:c r="H422" s="29" t="str">
        <x:f>IF(B422="","",IFERROR(INDEX('05_BAO_CAO_NGAY'!$J$6:$J$505,MATCH(B422,'05_BAO_CAO_NGAY'!$A$6:$A$505,0)),""))</x:f>
      </x:c>
      <x:c r="I422" s="29" t="str">
        <x:f>IF(B422="","",IFERROR(INDEX('05_BAO_CAO_NGAY'!$M$6:$M$505,MATCH(B422,'05_BAO_CAO_NGAY'!$A$6:$A$505,0)),""))</x:f>
      </x:c>
      <x:c r="J422" s="21"/>
      <x:c r="K422" s="29" t="str">
        <x:f>IF(J422="","",IFERROR(INDEX(DM_LY_DO_DUNG!$C$6:$C$105,MATCH(J422,DM_LY_DO_DUNG!$A$6:$A$105,0)),""))</x:f>
      </x:c>
      <x:c r="L422" s="21"/>
      <x:c r="M422" s="21"/>
      <x:c r="N422" s="21"/>
      <x:c r="O422" s="21"/>
      <x:c r="P422" s="21"/>
      <x:c r="Q422" s="43"/>
      <x:c r="R422" s="29" t="str">
        <x:f>IF(A422="","",IF(OR(B422="",C422="",D422="",J422=""),"Thiếu dữ liệu",IF(D422&lt;C422,"Sai thời gian",IF(AND(P422="Đã đóng",Q422=""),"Thiếu thời điểm đóng","Hợp lệ"))))</x:f>
      </x:c>
    </x:row>
    <x:row r="423">
      <x:c r="A423" s="21"/>
      <x:c r="B423" s="21"/>
      <x:c r="C423" s="43"/>
      <x:c r="D423" s="43"/>
      <x:c r="E423" s="39" t="str">
        <x:f>IF(A423="","",MAX(0,(D423-C423)*1440))</x:f>
      </x:c>
      <x:c r="F423" s="29" t="str">
        <x:f>IF(B423="","",IFERROR(INDEX('05_BAO_CAO_NGAY'!$D$6:$D$505,MATCH(B423,'05_BAO_CAO_NGAY'!$A$6:$A$505,0)),""))</x:f>
      </x:c>
      <x:c r="G423" s="29" t="str">
        <x:f>IF(B423="","",IFERROR(INDEX('05_BAO_CAO_NGAY'!$E$6:$E$505,MATCH(B423,'05_BAO_CAO_NGAY'!$A$6:$A$505,0)),""))</x:f>
      </x:c>
      <x:c r="H423" s="29" t="str">
        <x:f>IF(B423="","",IFERROR(INDEX('05_BAO_CAO_NGAY'!$J$6:$J$505,MATCH(B423,'05_BAO_CAO_NGAY'!$A$6:$A$505,0)),""))</x:f>
      </x:c>
      <x:c r="I423" s="29" t="str">
        <x:f>IF(B423="","",IFERROR(INDEX('05_BAO_CAO_NGAY'!$M$6:$M$505,MATCH(B423,'05_BAO_CAO_NGAY'!$A$6:$A$505,0)),""))</x:f>
      </x:c>
      <x:c r="J423" s="21"/>
      <x:c r="K423" s="29" t="str">
        <x:f>IF(J423="","",IFERROR(INDEX(DM_LY_DO_DUNG!$C$6:$C$105,MATCH(J423,DM_LY_DO_DUNG!$A$6:$A$105,0)),""))</x:f>
      </x:c>
      <x:c r="L423" s="21"/>
      <x:c r="M423" s="21"/>
      <x:c r="N423" s="21"/>
      <x:c r="O423" s="21"/>
      <x:c r="P423" s="21"/>
      <x:c r="Q423" s="43"/>
      <x:c r="R423" s="29" t="str">
        <x:f>IF(A423="","",IF(OR(B423="",C423="",D423="",J423=""),"Thiếu dữ liệu",IF(D423&lt;C423,"Sai thời gian",IF(AND(P423="Đã đóng",Q423=""),"Thiếu thời điểm đóng","Hợp lệ"))))</x:f>
      </x:c>
    </x:row>
    <x:row r="424">
      <x:c r="A424" s="21"/>
      <x:c r="B424" s="21"/>
      <x:c r="C424" s="43"/>
      <x:c r="D424" s="43"/>
      <x:c r="E424" s="39" t="str">
        <x:f>IF(A424="","",MAX(0,(D424-C424)*1440))</x:f>
      </x:c>
      <x:c r="F424" s="29" t="str">
        <x:f>IF(B424="","",IFERROR(INDEX('05_BAO_CAO_NGAY'!$D$6:$D$505,MATCH(B424,'05_BAO_CAO_NGAY'!$A$6:$A$505,0)),""))</x:f>
      </x:c>
      <x:c r="G424" s="29" t="str">
        <x:f>IF(B424="","",IFERROR(INDEX('05_BAO_CAO_NGAY'!$E$6:$E$505,MATCH(B424,'05_BAO_CAO_NGAY'!$A$6:$A$505,0)),""))</x:f>
      </x:c>
      <x:c r="H424" s="29" t="str">
        <x:f>IF(B424="","",IFERROR(INDEX('05_BAO_CAO_NGAY'!$J$6:$J$505,MATCH(B424,'05_BAO_CAO_NGAY'!$A$6:$A$505,0)),""))</x:f>
      </x:c>
      <x:c r="I424" s="29" t="str">
        <x:f>IF(B424="","",IFERROR(INDEX('05_BAO_CAO_NGAY'!$M$6:$M$505,MATCH(B424,'05_BAO_CAO_NGAY'!$A$6:$A$505,0)),""))</x:f>
      </x:c>
      <x:c r="J424" s="21"/>
      <x:c r="K424" s="29" t="str">
        <x:f>IF(J424="","",IFERROR(INDEX(DM_LY_DO_DUNG!$C$6:$C$105,MATCH(J424,DM_LY_DO_DUNG!$A$6:$A$105,0)),""))</x:f>
      </x:c>
      <x:c r="L424" s="21"/>
      <x:c r="M424" s="21"/>
      <x:c r="N424" s="21"/>
      <x:c r="O424" s="21"/>
      <x:c r="P424" s="21"/>
      <x:c r="Q424" s="43"/>
      <x:c r="R424" s="29" t="str">
        <x:f>IF(A424="","",IF(OR(B424="",C424="",D424="",J424=""),"Thiếu dữ liệu",IF(D424&lt;C424,"Sai thời gian",IF(AND(P424="Đã đóng",Q424=""),"Thiếu thời điểm đóng","Hợp lệ"))))</x:f>
      </x:c>
    </x:row>
    <x:row r="425">
      <x:c r="A425" s="21"/>
      <x:c r="B425" s="21"/>
      <x:c r="C425" s="43"/>
      <x:c r="D425" s="43"/>
      <x:c r="E425" s="39" t="str">
        <x:f>IF(A425="","",MAX(0,(D425-C425)*1440))</x:f>
      </x:c>
      <x:c r="F425" s="29" t="str">
        <x:f>IF(B425="","",IFERROR(INDEX('05_BAO_CAO_NGAY'!$D$6:$D$505,MATCH(B425,'05_BAO_CAO_NGAY'!$A$6:$A$505,0)),""))</x:f>
      </x:c>
      <x:c r="G425" s="29" t="str">
        <x:f>IF(B425="","",IFERROR(INDEX('05_BAO_CAO_NGAY'!$E$6:$E$505,MATCH(B425,'05_BAO_CAO_NGAY'!$A$6:$A$505,0)),""))</x:f>
      </x:c>
      <x:c r="H425" s="29" t="str">
        <x:f>IF(B425="","",IFERROR(INDEX('05_BAO_CAO_NGAY'!$J$6:$J$505,MATCH(B425,'05_BAO_CAO_NGAY'!$A$6:$A$505,0)),""))</x:f>
      </x:c>
      <x:c r="I425" s="29" t="str">
        <x:f>IF(B425="","",IFERROR(INDEX('05_BAO_CAO_NGAY'!$M$6:$M$505,MATCH(B425,'05_BAO_CAO_NGAY'!$A$6:$A$505,0)),""))</x:f>
      </x:c>
      <x:c r="J425" s="21"/>
      <x:c r="K425" s="29" t="str">
        <x:f>IF(J425="","",IFERROR(INDEX(DM_LY_DO_DUNG!$C$6:$C$105,MATCH(J425,DM_LY_DO_DUNG!$A$6:$A$105,0)),""))</x:f>
      </x:c>
      <x:c r="L425" s="21"/>
      <x:c r="M425" s="21"/>
      <x:c r="N425" s="21"/>
      <x:c r="O425" s="21"/>
      <x:c r="P425" s="21"/>
      <x:c r="Q425" s="43"/>
      <x:c r="R425" s="29" t="str">
        <x:f>IF(A425="","",IF(OR(B425="",C425="",D425="",J425=""),"Thiếu dữ liệu",IF(D425&lt;C425,"Sai thời gian",IF(AND(P425="Đã đóng",Q425=""),"Thiếu thời điểm đóng","Hợp lệ"))))</x:f>
      </x:c>
    </x:row>
    <x:row r="426">
      <x:c r="A426" s="21"/>
      <x:c r="B426" s="21"/>
      <x:c r="C426" s="43"/>
      <x:c r="D426" s="43"/>
      <x:c r="E426" s="39" t="str">
        <x:f>IF(A426="","",MAX(0,(D426-C426)*1440))</x:f>
      </x:c>
      <x:c r="F426" s="29" t="str">
        <x:f>IF(B426="","",IFERROR(INDEX('05_BAO_CAO_NGAY'!$D$6:$D$505,MATCH(B426,'05_BAO_CAO_NGAY'!$A$6:$A$505,0)),""))</x:f>
      </x:c>
      <x:c r="G426" s="29" t="str">
        <x:f>IF(B426="","",IFERROR(INDEX('05_BAO_CAO_NGAY'!$E$6:$E$505,MATCH(B426,'05_BAO_CAO_NGAY'!$A$6:$A$505,0)),""))</x:f>
      </x:c>
      <x:c r="H426" s="29" t="str">
        <x:f>IF(B426="","",IFERROR(INDEX('05_BAO_CAO_NGAY'!$J$6:$J$505,MATCH(B426,'05_BAO_CAO_NGAY'!$A$6:$A$505,0)),""))</x:f>
      </x:c>
      <x:c r="I426" s="29" t="str">
        <x:f>IF(B426="","",IFERROR(INDEX('05_BAO_CAO_NGAY'!$M$6:$M$505,MATCH(B426,'05_BAO_CAO_NGAY'!$A$6:$A$505,0)),""))</x:f>
      </x:c>
      <x:c r="J426" s="21"/>
      <x:c r="K426" s="29" t="str">
        <x:f>IF(J426="","",IFERROR(INDEX(DM_LY_DO_DUNG!$C$6:$C$105,MATCH(J426,DM_LY_DO_DUNG!$A$6:$A$105,0)),""))</x:f>
      </x:c>
      <x:c r="L426" s="21"/>
      <x:c r="M426" s="21"/>
      <x:c r="N426" s="21"/>
      <x:c r="O426" s="21"/>
      <x:c r="P426" s="21"/>
      <x:c r="Q426" s="43"/>
      <x:c r="R426" s="29" t="str">
        <x:f>IF(A426="","",IF(OR(B426="",C426="",D426="",J426=""),"Thiếu dữ liệu",IF(D426&lt;C426,"Sai thời gian",IF(AND(P426="Đã đóng",Q426=""),"Thiếu thời điểm đóng","Hợp lệ"))))</x:f>
      </x:c>
    </x:row>
    <x:row r="427">
      <x:c r="A427" s="21"/>
      <x:c r="B427" s="21"/>
      <x:c r="C427" s="43"/>
      <x:c r="D427" s="43"/>
      <x:c r="E427" s="39" t="str">
        <x:f>IF(A427="","",MAX(0,(D427-C427)*1440))</x:f>
      </x:c>
      <x:c r="F427" s="29" t="str">
        <x:f>IF(B427="","",IFERROR(INDEX('05_BAO_CAO_NGAY'!$D$6:$D$505,MATCH(B427,'05_BAO_CAO_NGAY'!$A$6:$A$505,0)),""))</x:f>
      </x:c>
      <x:c r="G427" s="29" t="str">
        <x:f>IF(B427="","",IFERROR(INDEX('05_BAO_CAO_NGAY'!$E$6:$E$505,MATCH(B427,'05_BAO_CAO_NGAY'!$A$6:$A$505,0)),""))</x:f>
      </x:c>
      <x:c r="H427" s="29" t="str">
        <x:f>IF(B427="","",IFERROR(INDEX('05_BAO_CAO_NGAY'!$J$6:$J$505,MATCH(B427,'05_BAO_CAO_NGAY'!$A$6:$A$505,0)),""))</x:f>
      </x:c>
      <x:c r="I427" s="29" t="str">
        <x:f>IF(B427="","",IFERROR(INDEX('05_BAO_CAO_NGAY'!$M$6:$M$505,MATCH(B427,'05_BAO_CAO_NGAY'!$A$6:$A$505,0)),""))</x:f>
      </x:c>
      <x:c r="J427" s="21"/>
      <x:c r="K427" s="29" t="str">
        <x:f>IF(J427="","",IFERROR(INDEX(DM_LY_DO_DUNG!$C$6:$C$105,MATCH(J427,DM_LY_DO_DUNG!$A$6:$A$105,0)),""))</x:f>
      </x:c>
      <x:c r="L427" s="21"/>
      <x:c r="M427" s="21"/>
      <x:c r="N427" s="21"/>
      <x:c r="O427" s="21"/>
      <x:c r="P427" s="21"/>
      <x:c r="Q427" s="43"/>
      <x:c r="R427" s="29" t="str">
        <x:f>IF(A427="","",IF(OR(B427="",C427="",D427="",J427=""),"Thiếu dữ liệu",IF(D427&lt;C427,"Sai thời gian",IF(AND(P427="Đã đóng",Q427=""),"Thiếu thời điểm đóng","Hợp lệ"))))</x:f>
      </x:c>
    </x:row>
    <x:row r="428">
      <x:c r="A428" s="21"/>
      <x:c r="B428" s="21"/>
      <x:c r="C428" s="43"/>
      <x:c r="D428" s="43"/>
      <x:c r="E428" s="39" t="str">
        <x:f>IF(A428="","",MAX(0,(D428-C428)*1440))</x:f>
      </x:c>
      <x:c r="F428" s="29" t="str">
        <x:f>IF(B428="","",IFERROR(INDEX('05_BAO_CAO_NGAY'!$D$6:$D$505,MATCH(B428,'05_BAO_CAO_NGAY'!$A$6:$A$505,0)),""))</x:f>
      </x:c>
      <x:c r="G428" s="29" t="str">
        <x:f>IF(B428="","",IFERROR(INDEX('05_BAO_CAO_NGAY'!$E$6:$E$505,MATCH(B428,'05_BAO_CAO_NGAY'!$A$6:$A$505,0)),""))</x:f>
      </x:c>
      <x:c r="H428" s="29" t="str">
        <x:f>IF(B428="","",IFERROR(INDEX('05_BAO_CAO_NGAY'!$J$6:$J$505,MATCH(B428,'05_BAO_CAO_NGAY'!$A$6:$A$505,0)),""))</x:f>
      </x:c>
      <x:c r="I428" s="29" t="str">
        <x:f>IF(B428="","",IFERROR(INDEX('05_BAO_CAO_NGAY'!$M$6:$M$505,MATCH(B428,'05_BAO_CAO_NGAY'!$A$6:$A$505,0)),""))</x:f>
      </x:c>
      <x:c r="J428" s="21"/>
      <x:c r="K428" s="29" t="str">
        <x:f>IF(J428="","",IFERROR(INDEX(DM_LY_DO_DUNG!$C$6:$C$105,MATCH(J428,DM_LY_DO_DUNG!$A$6:$A$105,0)),""))</x:f>
      </x:c>
      <x:c r="L428" s="21"/>
      <x:c r="M428" s="21"/>
      <x:c r="N428" s="21"/>
      <x:c r="O428" s="21"/>
      <x:c r="P428" s="21"/>
      <x:c r="Q428" s="43"/>
      <x:c r="R428" s="29" t="str">
        <x:f>IF(A428="","",IF(OR(B428="",C428="",D428="",J428=""),"Thiếu dữ liệu",IF(D428&lt;C428,"Sai thời gian",IF(AND(P428="Đã đóng",Q428=""),"Thiếu thời điểm đóng","Hợp lệ"))))</x:f>
      </x:c>
    </x:row>
    <x:row r="429">
      <x:c r="A429" s="21"/>
      <x:c r="B429" s="21"/>
      <x:c r="C429" s="43"/>
      <x:c r="D429" s="43"/>
      <x:c r="E429" s="39" t="str">
        <x:f>IF(A429="","",MAX(0,(D429-C429)*1440))</x:f>
      </x:c>
      <x:c r="F429" s="29" t="str">
        <x:f>IF(B429="","",IFERROR(INDEX('05_BAO_CAO_NGAY'!$D$6:$D$505,MATCH(B429,'05_BAO_CAO_NGAY'!$A$6:$A$505,0)),""))</x:f>
      </x:c>
      <x:c r="G429" s="29" t="str">
        <x:f>IF(B429="","",IFERROR(INDEX('05_BAO_CAO_NGAY'!$E$6:$E$505,MATCH(B429,'05_BAO_CAO_NGAY'!$A$6:$A$505,0)),""))</x:f>
      </x:c>
      <x:c r="H429" s="29" t="str">
        <x:f>IF(B429="","",IFERROR(INDEX('05_BAO_CAO_NGAY'!$J$6:$J$505,MATCH(B429,'05_BAO_CAO_NGAY'!$A$6:$A$505,0)),""))</x:f>
      </x:c>
      <x:c r="I429" s="29" t="str">
        <x:f>IF(B429="","",IFERROR(INDEX('05_BAO_CAO_NGAY'!$M$6:$M$505,MATCH(B429,'05_BAO_CAO_NGAY'!$A$6:$A$505,0)),""))</x:f>
      </x:c>
      <x:c r="J429" s="21"/>
      <x:c r="K429" s="29" t="str">
        <x:f>IF(J429="","",IFERROR(INDEX(DM_LY_DO_DUNG!$C$6:$C$105,MATCH(J429,DM_LY_DO_DUNG!$A$6:$A$105,0)),""))</x:f>
      </x:c>
      <x:c r="L429" s="21"/>
      <x:c r="M429" s="21"/>
      <x:c r="N429" s="21"/>
      <x:c r="O429" s="21"/>
      <x:c r="P429" s="21"/>
      <x:c r="Q429" s="43"/>
      <x:c r="R429" s="29" t="str">
        <x:f>IF(A429="","",IF(OR(B429="",C429="",D429="",J429=""),"Thiếu dữ liệu",IF(D429&lt;C429,"Sai thời gian",IF(AND(P429="Đã đóng",Q429=""),"Thiếu thời điểm đóng","Hợp lệ"))))</x:f>
      </x:c>
    </x:row>
    <x:row r="430">
      <x:c r="A430" s="21"/>
      <x:c r="B430" s="21"/>
      <x:c r="C430" s="43"/>
      <x:c r="D430" s="43"/>
      <x:c r="E430" s="39" t="str">
        <x:f>IF(A430="","",MAX(0,(D430-C430)*1440))</x:f>
      </x:c>
      <x:c r="F430" s="29" t="str">
        <x:f>IF(B430="","",IFERROR(INDEX('05_BAO_CAO_NGAY'!$D$6:$D$505,MATCH(B430,'05_BAO_CAO_NGAY'!$A$6:$A$505,0)),""))</x:f>
      </x:c>
      <x:c r="G430" s="29" t="str">
        <x:f>IF(B430="","",IFERROR(INDEX('05_BAO_CAO_NGAY'!$E$6:$E$505,MATCH(B430,'05_BAO_CAO_NGAY'!$A$6:$A$505,0)),""))</x:f>
      </x:c>
      <x:c r="H430" s="29" t="str">
        <x:f>IF(B430="","",IFERROR(INDEX('05_BAO_CAO_NGAY'!$J$6:$J$505,MATCH(B430,'05_BAO_CAO_NGAY'!$A$6:$A$505,0)),""))</x:f>
      </x:c>
      <x:c r="I430" s="29" t="str">
        <x:f>IF(B430="","",IFERROR(INDEX('05_BAO_CAO_NGAY'!$M$6:$M$505,MATCH(B430,'05_BAO_CAO_NGAY'!$A$6:$A$505,0)),""))</x:f>
      </x:c>
      <x:c r="J430" s="21"/>
      <x:c r="K430" s="29" t="str">
        <x:f>IF(J430="","",IFERROR(INDEX(DM_LY_DO_DUNG!$C$6:$C$105,MATCH(J430,DM_LY_DO_DUNG!$A$6:$A$105,0)),""))</x:f>
      </x:c>
      <x:c r="L430" s="21"/>
      <x:c r="M430" s="21"/>
      <x:c r="N430" s="21"/>
      <x:c r="O430" s="21"/>
      <x:c r="P430" s="21"/>
      <x:c r="Q430" s="43"/>
      <x:c r="R430" s="29" t="str">
        <x:f>IF(A430="","",IF(OR(B430="",C430="",D430="",J430=""),"Thiếu dữ liệu",IF(D430&lt;C430,"Sai thời gian",IF(AND(P430="Đã đóng",Q430=""),"Thiếu thời điểm đóng","Hợp lệ"))))</x:f>
      </x:c>
    </x:row>
    <x:row r="431">
      <x:c r="A431" s="21"/>
      <x:c r="B431" s="21"/>
      <x:c r="C431" s="43"/>
      <x:c r="D431" s="43"/>
      <x:c r="E431" s="39" t="str">
        <x:f>IF(A431="","",MAX(0,(D431-C431)*1440))</x:f>
      </x:c>
      <x:c r="F431" s="29" t="str">
        <x:f>IF(B431="","",IFERROR(INDEX('05_BAO_CAO_NGAY'!$D$6:$D$505,MATCH(B431,'05_BAO_CAO_NGAY'!$A$6:$A$505,0)),""))</x:f>
      </x:c>
      <x:c r="G431" s="29" t="str">
        <x:f>IF(B431="","",IFERROR(INDEX('05_BAO_CAO_NGAY'!$E$6:$E$505,MATCH(B431,'05_BAO_CAO_NGAY'!$A$6:$A$505,0)),""))</x:f>
      </x:c>
      <x:c r="H431" s="29" t="str">
        <x:f>IF(B431="","",IFERROR(INDEX('05_BAO_CAO_NGAY'!$J$6:$J$505,MATCH(B431,'05_BAO_CAO_NGAY'!$A$6:$A$505,0)),""))</x:f>
      </x:c>
      <x:c r="I431" s="29" t="str">
        <x:f>IF(B431="","",IFERROR(INDEX('05_BAO_CAO_NGAY'!$M$6:$M$505,MATCH(B431,'05_BAO_CAO_NGAY'!$A$6:$A$505,0)),""))</x:f>
      </x:c>
      <x:c r="J431" s="21"/>
      <x:c r="K431" s="29" t="str">
        <x:f>IF(J431="","",IFERROR(INDEX(DM_LY_DO_DUNG!$C$6:$C$105,MATCH(J431,DM_LY_DO_DUNG!$A$6:$A$105,0)),""))</x:f>
      </x:c>
      <x:c r="L431" s="21"/>
      <x:c r="M431" s="21"/>
      <x:c r="N431" s="21"/>
      <x:c r="O431" s="21"/>
      <x:c r="P431" s="21"/>
      <x:c r="Q431" s="43"/>
      <x:c r="R431" s="29" t="str">
        <x:f>IF(A431="","",IF(OR(B431="",C431="",D431="",J431=""),"Thiếu dữ liệu",IF(D431&lt;C431,"Sai thời gian",IF(AND(P431="Đã đóng",Q431=""),"Thiếu thời điểm đóng","Hợp lệ"))))</x:f>
      </x:c>
    </x:row>
    <x:row r="432">
      <x:c r="A432" s="21"/>
      <x:c r="B432" s="21"/>
      <x:c r="C432" s="43"/>
      <x:c r="D432" s="43"/>
      <x:c r="E432" s="39" t="str">
        <x:f>IF(A432="","",MAX(0,(D432-C432)*1440))</x:f>
      </x:c>
      <x:c r="F432" s="29" t="str">
        <x:f>IF(B432="","",IFERROR(INDEX('05_BAO_CAO_NGAY'!$D$6:$D$505,MATCH(B432,'05_BAO_CAO_NGAY'!$A$6:$A$505,0)),""))</x:f>
      </x:c>
      <x:c r="G432" s="29" t="str">
        <x:f>IF(B432="","",IFERROR(INDEX('05_BAO_CAO_NGAY'!$E$6:$E$505,MATCH(B432,'05_BAO_CAO_NGAY'!$A$6:$A$505,0)),""))</x:f>
      </x:c>
      <x:c r="H432" s="29" t="str">
        <x:f>IF(B432="","",IFERROR(INDEX('05_BAO_CAO_NGAY'!$J$6:$J$505,MATCH(B432,'05_BAO_CAO_NGAY'!$A$6:$A$505,0)),""))</x:f>
      </x:c>
      <x:c r="I432" s="29" t="str">
        <x:f>IF(B432="","",IFERROR(INDEX('05_BAO_CAO_NGAY'!$M$6:$M$505,MATCH(B432,'05_BAO_CAO_NGAY'!$A$6:$A$505,0)),""))</x:f>
      </x:c>
      <x:c r="J432" s="21"/>
      <x:c r="K432" s="29" t="str">
        <x:f>IF(J432="","",IFERROR(INDEX(DM_LY_DO_DUNG!$C$6:$C$105,MATCH(J432,DM_LY_DO_DUNG!$A$6:$A$105,0)),""))</x:f>
      </x:c>
      <x:c r="L432" s="21"/>
      <x:c r="M432" s="21"/>
      <x:c r="N432" s="21"/>
      <x:c r="O432" s="21"/>
      <x:c r="P432" s="21"/>
      <x:c r="Q432" s="43"/>
      <x:c r="R432" s="29" t="str">
        <x:f>IF(A432="","",IF(OR(B432="",C432="",D432="",J432=""),"Thiếu dữ liệu",IF(D432&lt;C432,"Sai thời gian",IF(AND(P432="Đã đóng",Q432=""),"Thiếu thời điểm đóng","Hợp lệ"))))</x:f>
      </x:c>
    </x:row>
    <x:row r="433">
      <x:c r="A433" s="21"/>
      <x:c r="B433" s="21"/>
      <x:c r="C433" s="43"/>
      <x:c r="D433" s="43"/>
      <x:c r="E433" s="39" t="str">
        <x:f>IF(A433="","",MAX(0,(D433-C433)*1440))</x:f>
      </x:c>
      <x:c r="F433" s="29" t="str">
        <x:f>IF(B433="","",IFERROR(INDEX('05_BAO_CAO_NGAY'!$D$6:$D$505,MATCH(B433,'05_BAO_CAO_NGAY'!$A$6:$A$505,0)),""))</x:f>
      </x:c>
      <x:c r="G433" s="29" t="str">
        <x:f>IF(B433="","",IFERROR(INDEX('05_BAO_CAO_NGAY'!$E$6:$E$505,MATCH(B433,'05_BAO_CAO_NGAY'!$A$6:$A$505,0)),""))</x:f>
      </x:c>
      <x:c r="H433" s="29" t="str">
        <x:f>IF(B433="","",IFERROR(INDEX('05_BAO_CAO_NGAY'!$J$6:$J$505,MATCH(B433,'05_BAO_CAO_NGAY'!$A$6:$A$505,0)),""))</x:f>
      </x:c>
      <x:c r="I433" s="29" t="str">
        <x:f>IF(B433="","",IFERROR(INDEX('05_BAO_CAO_NGAY'!$M$6:$M$505,MATCH(B433,'05_BAO_CAO_NGAY'!$A$6:$A$505,0)),""))</x:f>
      </x:c>
      <x:c r="J433" s="21"/>
      <x:c r="K433" s="29" t="str">
        <x:f>IF(J433="","",IFERROR(INDEX(DM_LY_DO_DUNG!$C$6:$C$105,MATCH(J433,DM_LY_DO_DUNG!$A$6:$A$105,0)),""))</x:f>
      </x:c>
      <x:c r="L433" s="21"/>
      <x:c r="M433" s="21"/>
      <x:c r="N433" s="21"/>
      <x:c r="O433" s="21"/>
      <x:c r="P433" s="21"/>
      <x:c r="Q433" s="43"/>
      <x:c r="R433" s="29" t="str">
        <x:f>IF(A433="","",IF(OR(B433="",C433="",D433="",J433=""),"Thiếu dữ liệu",IF(D433&lt;C433,"Sai thời gian",IF(AND(P433="Đã đóng",Q433=""),"Thiếu thời điểm đóng","Hợp lệ"))))</x:f>
      </x:c>
    </x:row>
    <x:row r="434">
      <x:c r="A434" s="21"/>
      <x:c r="B434" s="21"/>
      <x:c r="C434" s="43"/>
      <x:c r="D434" s="43"/>
      <x:c r="E434" s="39" t="str">
        <x:f>IF(A434="","",MAX(0,(D434-C434)*1440))</x:f>
      </x:c>
      <x:c r="F434" s="29" t="str">
        <x:f>IF(B434="","",IFERROR(INDEX('05_BAO_CAO_NGAY'!$D$6:$D$505,MATCH(B434,'05_BAO_CAO_NGAY'!$A$6:$A$505,0)),""))</x:f>
      </x:c>
      <x:c r="G434" s="29" t="str">
        <x:f>IF(B434="","",IFERROR(INDEX('05_BAO_CAO_NGAY'!$E$6:$E$505,MATCH(B434,'05_BAO_CAO_NGAY'!$A$6:$A$505,0)),""))</x:f>
      </x:c>
      <x:c r="H434" s="29" t="str">
        <x:f>IF(B434="","",IFERROR(INDEX('05_BAO_CAO_NGAY'!$J$6:$J$505,MATCH(B434,'05_BAO_CAO_NGAY'!$A$6:$A$505,0)),""))</x:f>
      </x:c>
      <x:c r="I434" s="29" t="str">
        <x:f>IF(B434="","",IFERROR(INDEX('05_BAO_CAO_NGAY'!$M$6:$M$505,MATCH(B434,'05_BAO_CAO_NGAY'!$A$6:$A$505,0)),""))</x:f>
      </x:c>
      <x:c r="J434" s="21"/>
      <x:c r="K434" s="29" t="str">
        <x:f>IF(J434="","",IFERROR(INDEX(DM_LY_DO_DUNG!$C$6:$C$105,MATCH(J434,DM_LY_DO_DUNG!$A$6:$A$105,0)),""))</x:f>
      </x:c>
      <x:c r="L434" s="21"/>
      <x:c r="M434" s="21"/>
      <x:c r="N434" s="21"/>
      <x:c r="O434" s="21"/>
      <x:c r="P434" s="21"/>
      <x:c r="Q434" s="43"/>
      <x:c r="R434" s="29" t="str">
        <x:f>IF(A434="","",IF(OR(B434="",C434="",D434="",J434=""),"Thiếu dữ liệu",IF(D434&lt;C434,"Sai thời gian",IF(AND(P434="Đã đóng",Q434=""),"Thiếu thời điểm đóng","Hợp lệ"))))</x:f>
      </x:c>
    </x:row>
    <x:row r="435">
      <x:c r="A435" s="21"/>
      <x:c r="B435" s="21"/>
      <x:c r="C435" s="43"/>
      <x:c r="D435" s="43"/>
      <x:c r="E435" s="39" t="str">
        <x:f>IF(A435="","",MAX(0,(D435-C435)*1440))</x:f>
      </x:c>
      <x:c r="F435" s="29" t="str">
        <x:f>IF(B435="","",IFERROR(INDEX('05_BAO_CAO_NGAY'!$D$6:$D$505,MATCH(B435,'05_BAO_CAO_NGAY'!$A$6:$A$505,0)),""))</x:f>
      </x:c>
      <x:c r="G435" s="29" t="str">
        <x:f>IF(B435="","",IFERROR(INDEX('05_BAO_CAO_NGAY'!$E$6:$E$505,MATCH(B435,'05_BAO_CAO_NGAY'!$A$6:$A$505,0)),""))</x:f>
      </x:c>
      <x:c r="H435" s="29" t="str">
        <x:f>IF(B435="","",IFERROR(INDEX('05_BAO_CAO_NGAY'!$J$6:$J$505,MATCH(B435,'05_BAO_CAO_NGAY'!$A$6:$A$505,0)),""))</x:f>
      </x:c>
      <x:c r="I435" s="29" t="str">
        <x:f>IF(B435="","",IFERROR(INDEX('05_BAO_CAO_NGAY'!$M$6:$M$505,MATCH(B435,'05_BAO_CAO_NGAY'!$A$6:$A$505,0)),""))</x:f>
      </x:c>
      <x:c r="J435" s="21"/>
      <x:c r="K435" s="29" t="str">
        <x:f>IF(J435="","",IFERROR(INDEX(DM_LY_DO_DUNG!$C$6:$C$105,MATCH(J435,DM_LY_DO_DUNG!$A$6:$A$105,0)),""))</x:f>
      </x:c>
      <x:c r="L435" s="21"/>
      <x:c r="M435" s="21"/>
      <x:c r="N435" s="21"/>
      <x:c r="O435" s="21"/>
      <x:c r="P435" s="21"/>
      <x:c r="Q435" s="43"/>
      <x:c r="R435" s="29" t="str">
        <x:f>IF(A435="","",IF(OR(B435="",C435="",D435="",J435=""),"Thiếu dữ liệu",IF(D435&lt;C435,"Sai thời gian",IF(AND(P435="Đã đóng",Q435=""),"Thiếu thời điểm đóng","Hợp lệ"))))</x:f>
      </x:c>
    </x:row>
    <x:row r="436">
      <x:c r="A436" s="21"/>
      <x:c r="B436" s="21"/>
      <x:c r="C436" s="43"/>
      <x:c r="D436" s="43"/>
      <x:c r="E436" s="39" t="str">
        <x:f>IF(A436="","",MAX(0,(D436-C436)*1440))</x:f>
      </x:c>
      <x:c r="F436" s="29" t="str">
        <x:f>IF(B436="","",IFERROR(INDEX('05_BAO_CAO_NGAY'!$D$6:$D$505,MATCH(B436,'05_BAO_CAO_NGAY'!$A$6:$A$505,0)),""))</x:f>
      </x:c>
      <x:c r="G436" s="29" t="str">
        <x:f>IF(B436="","",IFERROR(INDEX('05_BAO_CAO_NGAY'!$E$6:$E$505,MATCH(B436,'05_BAO_CAO_NGAY'!$A$6:$A$505,0)),""))</x:f>
      </x:c>
      <x:c r="H436" s="29" t="str">
        <x:f>IF(B436="","",IFERROR(INDEX('05_BAO_CAO_NGAY'!$J$6:$J$505,MATCH(B436,'05_BAO_CAO_NGAY'!$A$6:$A$505,0)),""))</x:f>
      </x:c>
      <x:c r="I436" s="29" t="str">
        <x:f>IF(B436="","",IFERROR(INDEX('05_BAO_CAO_NGAY'!$M$6:$M$505,MATCH(B436,'05_BAO_CAO_NGAY'!$A$6:$A$505,0)),""))</x:f>
      </x:c>
      <x:c r="J436" s="21"/>
      <x:c r="K436" s="29" t="str">
        <x:f>IF(J436="","",IFERROR(INDEX(DM_LY_DO_DUNG!$C$6:$C$105,MATCH(J436,DM_LY_DO_DUNG!$A$6:$A$105,0)),""))</x:f>
      </x:c>
      <x:c r="L436" s="21"/>
      <x:c r="M436" s="21"/>
      <x:c r="N436" s="21"/>
      <x:c r="O436" s="21"/>
      <x:c r="P436" s="21"/>
      <x:c r="Q436" s="43"/>
      <x:c r="R436" s="29" t="str">
        <x:f>IF(A436="","",IF(OR(B436="",C436="",D436="",J436=""),"Thiếu dữ liệu",IF(D436&lt;C436,"Sai thời gian",IF(AND(P436="Đã đóng",Q436=""),"Thiếu thời điểm đóng","Hợp lệ"))))</x:f>
      </x:c>
    </x:row>
    <x:row r="437">
      <x:c r="A437" s="21"/>
      <x:c r="B437" s="21"/>
      <x:c r="C437" s="43"/>
      <x:c r="D437" s="43"/>
      <x:c r="E437" s="39" t="str">
        <x:f>IF(A437="","",MAX(0,(D437-C437)*1440))</x:f>
      </x:c>
      <x:c r="F437" s="29" t="str">
        <x:f>IF(B437="","",IFERROR(INDEX('05_BAO_CAO_NGAY'!$D$6:$D$505,MATCH(B437,'05_BAO_CAO_NGAY'!$A$6:$A$505,0)),""))</x:f>
      </x:c>
      <x:c r="G437" s="29" t="str">
        <x:f>IF(B437="","",IFERROR(INDEX('05_BAO_CAO_NGAY'!$E$6:$E$505,MATCH(B437,'05_BAO_CAO_NGAY'!$A$6:$A$505,0)),""))</x:f>
      </x:c>
      <x:c r="H437" s="29" t="str">
        <x:f>IF(B437="","",IFERROR(INDEX('05_BAO_CAO_NGAY'!$J$6:$J$505,MATCH(B437,'05_BAO_CAO_NGAY'!$A$6:$A$505,0)),""))</x:f>
      </x:c>
      <x:c r="I437" s="29" t="str">
        <x:f>IF(B437="","",IFERROR(INDEX('05_BAO_CAO_NGAY'!$M$6:$M$505,MATCH(B437,'05_BAO_CAO_NGAY'!$A$6:$A$505,0)),""))</x:f>
      </x:c>
      <x:c r="J437" s="21"/>
      <x:c r="K437" s="29" t="str">
        <x:f>IF(J437="","",IFERROR(INDEX(DM_LY_DO_DUNG!$C$6:$C$105,MATCH(J437,DM_LY_DO_DUNG!$A$6:$A$105,0)),""))</x:f>
      </x:c>
      <x:c r="L437" s="21"/>
      <x:c r="M437" s="21"/>
      <x:c r="N437" s="21"/>
      <x:c r="O437" s="21"/>
      <x:c r="P437" s="21"/>
      <x:c r="Q437" s="43"/>
      <x:c r="R437" s="29" t="str">
        <x:f>IF(A437="","",IF(OR(B437="",C437="",D437="",J437=""),"Thiếu dữ liệu",IF(D437&lt;C437,"Sai thời gian",IF(AND(P437="Đã đóng",Q437=""),"Thiếu thời điểm đóng","Hợp lệ"))))</x:f>
      </x:c>
    </x:row>
    <x:row r="438">
      <x:c r="A438" s="21"/>
      <x:c r="B438" s="21"/>
      <x:c r="C438" s="43"/>
      <x:c r="D438" s="43"/>
      <x:c r="E438" s="39" t="str">
        <x:f>IF(A438="","",MAX(0,(D438-C438)*1440))</x:f>
      </x:c>
      <x:c r="F438" s="29" t="str">
        <x:f>IF(B438="","",IFERROR(INDEX('05_BAO_CAO_NGAY'!$D$6:$D$505,MATCH(B438,'05_BAO_CAO_NGAY'!$A$6:$A$505,0)),""))</x:f>
      </x:c>
      <x:c r="G438" s="29" t="str">
        <x:f>IF(B438="","",IFERROR(INDEX('05_BAO_CAO_NGAY'!$E$6:$E$505,MATCH(B438,'05_BAO_CAO_NGAY'!$A$6:$A$505,0)),""))</x:f>
      </x:c>
      <x:c r="H438" s="29" t="str">
        <x:f>IF(B438="","",IFERROR(INDEX('05_BAO_CAO_NGAY'!$J$6:$J$505,MATCH(B438,'05_BAO_CAO_NGAY'!$A$6:$A$505,0)),""))</x:f>
      </x:c>
      <x:c r="I438" s="29" t="str">
        <x:f>IF(B438="","",IFERROR(INDEX('05_BAO_CAO_NGAY'!$M$6:$M$505,MATCH(B438,'05_BAO_CAO_NGAY'!$A$6:$A$505,0)),""))</x:f>
      </x:c>
      <x:c r="J438" s="21"/>
      <x:c r="K438" s="29" t="str">
        <x:f>IF(J438="","",IFERROR(INDEX(DM_LY_DO_DUNG!$C$6:$C$105,MATCH(J438,DM_LY_DO_DUNG!$A$6:$A$105,0)),""))</x:f>
      </x:c>
      <x:c r="L438" s="21"/>
      <x:c r="M438" s="21"/>
      <x:c r="N438" s="21"/>
      <x:c r="O438" s="21"/>
      <x:c r="P438" s="21"/>
      <x:c r="Q438" s="43"/>
      <x:c r="R438" s="29" t="str">
        <x:f>IF(A438="","",IF(OR(B438="",C438="",D438="",J438=""),"Thiếu dữ liệu",IF(D438&lt;C438,"Sai thời gian",IF(AND(P438="Đã đóng",Q438=""),"Thiếu thời điểm đóng","Hợp lệ"))))</x:f>
      </x:c>
    </x:row>
    <x:row r="439">
      <x:c r="A439" s="21"/>
      <x:c r="B439" s="21"/>
      <x:c r="C439" s="43"/>
      <x:c r="D439" s="43"/>
      <x:c r="E439" s="39" t="str">
        <x:f>IF(A439="","",MAX(0,(D439-C439)*1440))</x:f>
      </x:c>
      <x:c r="F439" s="29" t="str">
        <x:f>IF(B439="","",IFERROR(INDEX('05_BAO_CAO_NGAY'!$D$6:$D$505,MATCH(B439,'05_BAO_CAO_NGAY'!$A$6:$A$505,0)),""))</x:f>
      </x:c>
      <x:c r="G439" s="29" t="str">
        <x:f>IF(B439="","",IFERROR(INDEX('05_BAO_CAO_NGAY'!$E$6:$E$505,MATCH(B439,'05_BAO_CAO_NGAY'!$A$6:$A$505,0)),""))</x:f>
      </x:c>
      <x:c r="H439" s="29" t="str">
        <x:f>IF(B439="","",IFERROR(INDEX('05_BAO_CAO_NGAY'!$J$6:$J$505,MATCH(B439,'05_BAO_CAO_NGAY'!$A$6:$A$505,0)),""))</x:f>
      </x:c>
      <x:c r="I439" s="29" t="str">
        <x:f>IF(B439="","",IFERROR(INDEX('05_BAO_CAO_NGAY'!$M$6:$M$505,MATCH(B439,'05_BAO_CAO_NGAY'!$A$6:$A$505,0)),""))</x:f>
      </x:c>
      <x:c r="J439" s="21"/>
      <x:c r="K439" s="29" t="str">
        <x:f>IF(J439="","",IFERROR(INDEX(DM_LY_DO_DUNG!$C$6:$C$105,MATCH(J439,DM_LY_DO_DUNG!$A$6:$A$105,0)),""))</x:f>
      </x:c>
      <x:c r="L439" s="21"/>
      <x:c r="M439" s="21"/>
      <x:c r="N439" s="21"/>
      <x:c r="O439" s="21"/>
      <x:c r="P439" s="21"/>
      <x:c r="Q439" s="43"/>
      <x:c r="R439" s="29" t="str">
        <x:f>IF(A439="","",IF(OR(B439="",C439="",D439="",J439=""),"Thiếu dữ liệu",IF(D439&lt;C439,"Sai thời gian",IF(AND(P439="Đã đóng",Q439=""),"Thiếu thời điểm đóng","Hợp lệ"))))</x:f>
      </x:c>
    </x:row>
    <x:row r="440">
      <x:c r="A440" s="21"/>
      <x:c r="B440" s="21"/>
      <x:c r="C440" s="43"/>
      <x:c r="D440" s="43"/>
      <x:c r="E440" s="39" t="str">
        <x:f>IF(A440="","",MAX(0,(D440-C440)*1440))</x:f>
      </x:c>
      <x:c r="F440" s="29" t="str">
        <x:f>IF(B440="","",IFERROR(INDEX('05_BAO_CAO_NGAY'!$D$6:$D$505,MATCH(B440,'05_BAO_CAO_NGAY'!$A$6:$A$505,0)),""))</x:f>
      </x:c>
      <x:c r="G440" s="29" t="str">
        <x:f>IF(B440="","",IFERROR(INDEX('05_BAO_CAO_NGAY'!$E$6:$E$505,MATCH(B440,'05_BAO_CAO_NGAY'!$A$6:$A$505,0)),""))</x:f>
      </x:c>
      <x:c r="H440" s="29" t="str">
        <x:f>IF(B440="","",IFERROR(INDEX('05_BAO_CAO_NGAY'!$J$6:$J$505,MATCH(B440,'05_BAO_CAO_NGAY'!$A$6:$A$505,0)),""))</x:f>
      </x:c>
      <x:c r="I440" s="29" t="str">
        <x:f>IF(B440="","",IFERROR(INDEX('05_BAO_CAO_NGAY'!$M$6:$M$505,MATCH(B440,'05_BAO_CAO_NGAY'!$A$6:$A$505,0)),""))</x:f>
      </x:c>
      <x:c r="J440" s="21"/>
      <x:c r="K440" s="29" t="str">
        <x:f>IF(J440="","",IFERROR(INDEX(DM_LY_DO_DUNG!$C$6:$C$105,MATCH(J440,DM_LY_DO_DUNG!$A$6:$A$105,0)),""))</x:f>
      </x:c>
      <x:c r="L440" s="21"/>
      <x:c r="M440" s="21"/>
      <x:c r="N440" s="21"/>
      <x:c r="O440" s="21"/>
      <x:c r="P440" s="21"/>
      <x:c r="Q440" s="43"/>
      <x:c r="R440" s="29" t="str">
        <x:f>IF(A440="","",IF(OR(B440="",C440="",D440="",J440=""),"Thiếu dữ liệu",IF(D440&lt;C440,"Sai thời gian",IF(AND(P440="Đã đóng",Q440=""),"Thiếu thời điểm đóng","Hợp lệ"))))</x:f>
      </x:c>
    </x:row>
    <x:row r="441">
      <x:c r="A441" s="21"/>
      <x:c r="B441" s="21"/>
      <x:c r="C441" s="43"/>
      <x:c r="D441" s="43"/>
      <x:c r="E441" s="39" t="str">
        <x:f>IF(A441="","",MAX(0,(D441-C441)*1440))</x:f>
      </x:c>
      <x:c r="F441" s="29" t="str">
        <x:f>IF(B441="","",IFERROR(INDEX('05_BAO_CAO_NGAY'!$D$6:$D$505,MATCH(B441,'05_BAO_CAO_NGAY'!$A$6:$A$505,0)),""))</x:f>
      </x:c>
      <x:c r="G441" s="29" t="str">
        <x:f>IF(B441="","",IFERROR(INDEX('05_BAO_CAO_NGAY'!$E$6:$E$505,MATCH(B441,'05_BAO_CAO_NGAY'!$A$6:$A$505,0)),""))</x:f>
      </x:c>
      <x:c r="H441" s="29" t="str">
        <x:f>IF(B441="","",IFERROR(INDEX('05_BAO_CAO_NGAY'!$J$6:$J$505,MATCH(B441,'05_BAO_CAO_NGAY'!$A$6:$A$505,0)),""))</x:f>
      </x:c>
      <x:c r="I441" s="29" t="str">
        <x:f>IF(B441="","",IFERROR(INDEX('05_BAO_CAO_NGAY'!$M$6:$M$505,MATCH(B441,'05_BAO_CAO_NGAY'!$A$6:$A$505,0)),""))</x:f>
      </x:c>
      <x:c r="J441" s="21"/>
      <x:c r="K441" s="29" t="str">
        <x:f>IF(J441="","",IFERROR(INDEX(DM_LY_DO_DUNG!$C$6:$C$105,MATCH(J441,DM_LY_DO_DUNG!$A$6:$A$105,0)),""))</x:f>
      </x:c>
      <x:c r="L441" s="21"/>
      <x:c r="M441" s="21"/>
      <x:c r="N441" s="21"/>
      <x:c r="O441" s="21"/>
      <x:c r="P441" s="21"/>
      <x:c r="Q441" s="43"/>
      <x:c r="R441" s="29" t="str">
        <x:f>IF(A441="","",IF(OR(B441="",C441="",D441="",J441=""),"Thiếu dữ liệu",IF(D441&lt;C441,"Sai thời gian",IF(AND(P441="Đã đóng",Q441=""),"Thiếu thời điểm đóng","Hợp lệ"))))</x:f>
      </x:c>
    </x:row>
    <x:row r="442">
      <x:c r="A442" s="21"/>
      <x:c r="B442" s="21"/>
      <x:c r="C442" s="43"/>
      <x:c r="D442" s="43"/>
      <x:c r="E442" s="39" t="str">
        <x:f>IF(A442="","",MAX(0,(D442-C442)*1440))</x:f>
      </x:c>
      <x:c r="F442" s="29" t="str">
        <x:f>IF(B442="","",IFERROR(INDEX('05_BAO_CAO_NGAY'!$D$6:$D$505,MATCH(B442,'05_BAO_CAO_NGAY'!$A$6:$A$505,0)),""))</x:f>
      </x:c>
      <x:c r="G442" s="29" t="str">
        <x:f>IF(B442="","",IFERROR(INDEX('05_BAO_CAO_NGAY'!$E$6:$E$505,MATCH(B442,'05_BAO_CAO_NGAY'!$A$6:$A$505,0)),""))</x:f>
      </x:c>
      <x:c r="H442" s="29" t="str">
        <x:f>IF(B442="","",IFERROR(INDEX('05_BAO_CAO_NGAY'!$J$6:$J$505,MATCH(B442,'05_BAO_CAO_NGAY'!$A$6:$A$505,0)),""))</x:f>
      </x:c>
      <x:c r="I442" s="29" t="str">
        <x:f>IF(B442="","",IFERROR(INDEX('05_BAO_CAO_NGAY'!$M$6:$M$505,MATCH(B442,'05_BAO_CAO_NGAY'!$A$6:$A$505,0)),""))</x:f>
      </x:c>
      <x:c r="J442" s="21"/>
      <x:c r="K442" s="29" t="str">
        <x:f>IF(J442="","",IFERROR(INDEX(DM_LY_DO_DUNG!$C$6:$C$105,MATCH(J442,DM_LY_DO_DUNG!$A$6:$A$105,0)),""))</x:f>
      </x:c>
      <x:c r="L442" s="21"/>
      <x:c r="M442" s="21"/>
      <x:c r="N442" s="21"/>
      <x:c r="O442" s="21"/>
      <x:c r="P442" s="21"/>
      <x:c r="Q442" s="43"/>
      <x:c r="R442" s="29" t="str">
        <x:f>IF(A442="","",IF(OR(B442="",C442="",D442="",J442=""),"Thiếu dữ liệu",IF(D442&lt;C442,"Sai thời gian",IF(AND(P442="Đã đóng",Q442=""),"Thiếu thời điểm đóng","Hợp lệ"))))</x:f>
      </x:c>
    </x:row>
    <x:row r="443">
      <x:c r="A443" s="21"/>
      <x:c r="B443" s="21"/>
      <x:c r="C443" s="43"/>
      <x:c r="D443" s="43"/>
      <x:c r="E443" s="39" t="str">
        <x:f>IF(A443="","",MAX(0,(D443-C443)*1440))</x:f>
      </x:c>
      <x:c r="F443" s="29" t="str">
        <x:f>IF(B443="","",IFERROR(INDEX('05_BAO_CAO_NGAY'!$D$6:$D$505,MATCH(B443,'05_BAO_CAO_NGAY'!$A$6:$A$505,0)),""))</x:f>
      </x:c>
      <x:c r="G443" s="29" t="str">
        <x:f>IF(B443="","",IFERROR(INDEX('05_BAO_CAO_NGAY'!$E$6:$E$505,MATCH(B443,'05_BAO_CAO_NGAY'!$A$6:$A$505,0)),""))</x:f>
      </x:c>
      <x:c r="H443" s="29" t="str">
        <x:f>IF(B443="","",IFERROR(INDEX('05_BAO_CAO_NGAY'!$J$6:$J$505,MATCH(B443,'05_BAO_CAO_NGAY'!$A$6:$A$505,0)),""))</x:f>
      </x:c>
      <x:c r="I443" s="29" t="str">
        <x:f>IF(B443="","",IFERROR(INDEX('05_BAO_CAO_NGAY'!$M$6:$M$505,MATCH(B443,'05_BAO_CAO_NGAY'!$A$6:$A$505,0)),""))</x:f>
      </x:c>
      <x:c r="J443" s="21"/>
      <x:c r="K443" s="29" t="str">
        <x:f>IF(J443="","",IFERROR(INDEX(DM_LY_DO_DUNG!$C$6:$C$105,MATCH(J443,DM_LY_DO_DUNG!$A$6:$A$105,0)),""))</x:f>
      </x:c>
      <x:c r="L443" s="21"/>
      <x:c r="M443" s="21"/>
      <x:c r="N443" s="21"/>
      <x:c r="O443" s="21"/>
      <x:c r="P443" s="21"/>
      <x:c r="Q443" s="43"/>
      <x:c r="R443" s="29" t="str">
        <x:f>IF(A443="","",IF(OR(B443="",C443="",D443="",J443=""),"Thiếu dữ liệu",IF(D443&lt;C443,"Sai thời gian",IF(AND(P443="Đã đóng",Q443=""),"Thiếu thời điểm đóng","Hợp lệ"))))</x:f>
      </x:c>
    </x:row>
    <x:row r="444">
      <x:c r="A444" s="21"/>
      <x:c r="B444" s="21"/>
      <x:c r="C444" s="43"/>
      <x:c r="D444" s="43"/>
      <x:c r="E444" s="39" t="str">
        <x:f>IF(A444="","",MAX(0,(D444-C444)*1440))</x:f>
      </x:c>
      <x:c r="F444" s="29" t="str">
        <x:f>IF(B444="","",IFERROR(INDEX('05_BAO_CAO_NGAY'!$D$6:$D$505,MATCH(B444,'05_BAO_CAO_NGAY'!$A$6:$A$505,0)),""))</x:f>
      </x:c>
      <x:c r="G444" s="29" t="str">
        <x:f>IF(B444="","",IFERROR(INDEX('05_BAO_CAO_NGAY'!$E$6:$E$505,MATCH(B444,'05_BAO_CAO_NGAY'!$A$6:$A$505,0)),""))</x:f>
      </x:c>
      <x:c r="H444" s="29" t="str">
        <x:f>IF(B444="","",IFERROR(INDEX('05_BAO_CAO_NGAY'!$J$6:$J$505,MATCH(B444,'05_BAO_CAO_NGAY'!$A$6:$A$505,0)),""))</x:f>
      </x:c>
      <x:c r="I444" s="29" t="str">
        <x:f>IF(B444="","",IFERROR(INDEX('05_BAO_CAO_NGAY'!$M$6:$M$505,MATCH(B444,'05_BAO_CAO_NGAY'!$A$6:$A$505,0)),""))</x:f>
      </x:c>
      <x:c r="J444" s="21"/>
      <x:c r="K444" s="29" t="str">
        <x:f>IF(J444="","",IFERROR(INDEX(DM_LY_DO_DUNG!$C$6:$C$105,MATCH(J444,DM_LY_DO_DUNG!$A$6:$A$105,0)),""))</x:f>
      </x:c>
      <x:c r="L444" s="21"/>
      <x:c r="M444" s="21"/>
      <x:c r="N444" s="21"/>
      <x:c r="O444" s="21"/>
      <x:c r="P444" s="21"/>
      <x:c r="Q444" s="43"/>
      <x:c r="R444" s="29" t="str">
        <x:f>IF(A444="","",IF(OR(B444="",C444="",D444="",J444=""),"Thiếu dữ liệu",IF(D444&lt;C444,"Sai thời gian",IF(AND(P444="Đã đóng",Q444=""),"Thiếu thời điểm đóng","Hợp lệ"))))</x:f>
      </x:c>
    </x:row>
    <x:row r="445">
      <x:c r="A445" s="21"/>
      <x:c r="B445" s="21"/>
      <x:c r="C445" s="43"/>
      <x:c r="D445" s="43"/>
      <x:c r="E445" s="39" t="str">
        <x:f>IF(A445="","",MAX(0,(D445-C445)*1440))</x:f>
      </x:c>
      <x:c r="F445" s="29" t="str">
        <x:f>IF(B445="","",IFERROR(INDEX('05_BAO_CAO_NGAY'!$D$6:$D$505,MATCH(B445,'05_BAO_CAO_NGAY'!$A$6:$A$505,0)),""))</x:f>
      </x:c>
      <x:c r="G445" s="29" t="str">
        <x:f>IF(B445="","",IFERROR(INDEX('05_BAO_CAO_NGAY'!$E$6:$E$505,MATCH(B445,'05_BAO_CAO_NGAY'!$A$6:$A$505,0)),""))</x:f>
      </x:c>
      <x:c r="H445" s="29" t="str">
        <x:f>IF(B445="","",IFERROR(INDEX('05_BAO_CAO_NGAY'!$J$6:$J$505,MATCH(B445,'05_BAO_CAO_NGAY'!$A$6:$A$505,0)),""))</x:f>
      </x:c>
      <x:c r="I445" s="29" t="str">
        <x:f>IF(B445="","",IFERROR(INDEX('05_BAO_CAO_NGAY'!$M$6:$M$505,MATCH(B445,'05_BAO_CAO_NGAY'!$A$6:$A$505,0)),""))</x:f>
      </x:c>
      <x:c r="J445" s="21"/>
      <x:c r="K445" s="29" t="str">
        <x:f>IF(J445="","",IFERROR(INDEX(DM_LY_DO_DUNG!$C$6:$C$105,MATCH(J445,DM_LY_DO_DUNG!$A$6:$A$105,0)),""))</x:f>
      </x:c>
      <x:c r="L445" s="21"/>
      <x:c r="M445" s="21"/>
      <x:c r="N445" s="21"/>
      <x:c r="O445" s="21"/>
      <x:c r="P445" s="21"/>
      <x:c r="Q445" s="43"/>
      <x:c r="R445" s="29" t="str">
        <x:f>IF(A445="","",IF(OR(B445="",C445="",D445="",J445=""),"Thiếu dữ liệu",IF(D445&lt;C445,"Sai thời gian",IF(AND(P445="Đã đóng",Q445=""),"Thiếu thời điểm đóng","Hợp lệ"))))</x:f>
      </x:c>
    </x:row>
    <x:row r="446">
      <x:c r="A446" s="21"/>
      <x:c r="B446" s="21"/>
      <x:c r="C446" s="43"/>
      <x:c r="D446" s="43"/>
      <x:c r="E446" s="39" t="str">
        <x:f>IF(A446="","",MAX(0,(D446-C446)*1440))</x:f>
      </x:c>
      <x:c r="F446" s="29" t="str">
        <x:f>IF(B446="","",IFERROR(INDEX('05_BAO_CAO_NGAY'!$D$6:$D$505,MATCH(B446,'05_BAO_CAO_NGAY'!$A$6:$A$505,0)),""))</x:f>
      </x:c>
      <x:c r="G446" s="29" t="str">
        <x:f>IF(B446="","",IFERROR(INDEX('05_BAO_CAO_NGAY'!$E$6:$E$505,MATCH(B446,'05_BAO_CAO_NGAY'!$A$6:$A$505,0)),""))</x:f>
      </x:c>
      <x:c r="H446" s="29" t="str">
        <x:f>IF(B446="","",IFERROR(INDEX('05_BAO_CAO_NGAY'!$J$6:$J$505,MATCH(B446,'05_BAO_CAO_NGAY'!$A$6:$A$505,0)),""))</x:f>
      </x:c>
      <x:c r="I446" s="29" t="str">
        <x:f>IF(B446="","",IFERROR(INDEX('05_BAO_CAO_NGAY'!$M$6:$M$505,MATCH(B446,'05_BAO_CAO_NGAY'!$A$6:$A$505,0)),""))</x:f>
      </x:c>
      <x:c r="J446" s="21"/>
      <x:c r="K446" s="29" t="str">
        <x:f>IF(J446="","",IFERROR(INDEX(DM_LY_DO_DUNG!$C$6:$C$105,MATCH(J446,DM_LY_DO_DUNG!$A$6:$A$105,0)),""))</x:f>
      </x:c>
      <x:c r="L446" s="21"/>
      <x:c r="M446" s="21"/>
      <x:c r="N446" s="21"/>
      <x:c r="O446" s="21"/>
      <x:c r="P446" s="21"/>
      <x:c r="Q446" s="43"/>
      <x:c r="R446" s="29" t="str">
        <x:f>IF(A446="","",IF(OR(B446="",C446="",D446="",J446=""),"Thiếu dữ liệu",IF(D446&lt;C446,"Sai thời gian",IF(AND(P446="Đã đóng",Q446=""),"Thiếu thời điểm đóng","Hợp lệ"))))</x:f>
      </x:c>
    </x:row>
    <x:row r="447">
      <x:c r="A447" s="21"/>
      <x:c r="B447" s="21"/>
      <x:c r="C447" s="43"/>
      <x:c r="D447" s="43"/>
      <x:c r="E447" s="39" t="str">
        <x:f>IF(A447="","",MAX(0,(D447-C447)*1440))</x:f>
      </x:c>
      <x:c r="F447" s="29" t="str">
        <x:f>IF(B447="","",IFERROR(INDEX('05_BAO_CAO_NGAY'!$D$6:$D$505,MATCH(B447,'05_BAO_CAO_NGAY'!$A$6:$A$505,0)),""))</x:f>
      </x:c>
      <x:c r="G447" s="29" t="str">
        <x:f>IF(B447="","",IFERROR(INDEX('05_BAO_CAO_NGAY'!$E$6:$E$505,MATCH(B447,'05_BAO_CAO_NGAY'!$A$6:$A$505,0)),""))</x:f>
      </x:c>
      <x:c r="H447" s="29" t="str">
        <x:f>IF(B447="","",IFERROR(INDEX('05_BAO_CAO_NGAY'!$J$6:$J$505,MATCH(B447,'05_BAO_CAO_NGAY'!$A$6:$A$505,0)),""))</x:f>
      </x:c>
      <x:c r="I447" s="29" t="str">
        <x:f>IF(B447="","",IFERROR(INDEX('05_BAO_CAO_NGAY'!$M$6:$M$505,MATCH(B447,'05_BAO_CAO_NGAY'!$A$6:$A$505,0)),""))</x:f>
      </x:c>
      <x:c r="J447" s="21"/>
      <x:c r="K447" s="29" t="str">
        <x:f>IF(J447="","",IFERROR(INDEX(DM_LY_DO_DUNG!$C$6:$C$105,MATCH(J447,DM_LY_DO_DUNG!$A$6:$A$105,0)),""))</x:f>
      </x:c>
      <x:c r="L447" s="21"/>
      <x:c r="M447" s="21"/>
      <x:c r="N447" s="21"/>
      <x:c r="O447" s="21"/>
      <x:c r="P447" s="21"/>
      <x:c r="Q447" s="43"/>
      <x:c r="R447" s="29" t="str">
        <x:f>IF(A447="","",IF(OR(B447="",C447="",D447="",J447=""),"Thiếu dữ liệu",IF(D447&lt;C447,"Sai thời gian",IF(AND(P447="Đã đóng",Q447=""),"Thiếu thời điểm đóng","Hợp lệ"))))</x:f>
      </x:c>
    </x:row>
    <x:row r="448">
      <x:c r="A448" s="21"/>
      <x:c r="B448" s="21"/>
      <x:c r="C448" s="43"/>
      <x:c r="D448" s="43"/>
      <x:c r="E448" s="39" t="str">
        <x:f>IF(A448="","",MAX(0,(D448-C448)*1440))</x:f>
      </x:c>
      <x:c r="F448" s="29" t="str">
        <x:f>IF(B448="","",IFERROR(INDEX('05_BAO_CAO_NGAY'!$D$6:$D$505,MATCH(B448,'05_BAO_CAO_NGAY'!$A$6:$A$505,0)),""))</x:f>
      </x:c>
      <x:c r="G448" s="29" t="str">
        <x:f>IF(B448="","",IFERROR(INDEX('05_BAO_CAO_NGAY'!$E$6:$E$505,MATCH(B448,'05_BAO_CAO_NGAY'!$A$6:$A$505,0)),""))</x:f>
      </x:c>
      <x:c r="H448" s="29" t="str">
        <x:f>IF(B448="","",IFERROR(INDEX('05_BAO_CAO_NGAY'!$J$6:$J$505,MATCH(B448,'05_BAO_CAO_NGAY'!$A$6:$A$505,0)),""))</x:f>
      </x:c>
      <x:c r="I448" s="29" t="str">
        <x:f>IF(B448="","",IFERROR(INDEX('05_BAO_CAO_NGAY'!$M$6:$M$505,MATCH(B448,'05_BAO_CAO_NGAY'!$A$6:$A$505,0)),""))</x:f>
      </x:c>
      <x:c r="J448" s="21"/>
      <x:c r="K448" s="29" t="str">
        <x:f>IF(J448="","",IFERROR(INDEX(DM_LY_DO_DUNG!$C$6:$C$105,MATCH(J448,DM_LY_DO_DUNG!$A$6:$A$105,0)),""))</x:f>
      </x:c>
      <x:c r="L448" s="21"/>
      <x:c r="M448" s="21"/>
      <x:c r="N448" s="21"/>
      <x:c r="O448" s="21"/>
      <x:c r="P448" s="21"/>
      <x:c r="Q448" s="43"/>
      <x:c r="R448" s="29" t="str">
        <x:f>IF(A448="","",IF(OR(B448="",C448="",D448="",J448=""),"Thiếu dữ liệu",IF(D448&lt;C448,"Sai thời gian",IF(AND(P448="Đã đóng",Q448=""),"Thiếu thời điểm đóng","Hợp lệ"))))</x:f>
      </x:c>
    </x:row>
    <x:row r="449">
      <x:c r="A449" s="21"/>
      <x:c r="B449" s="21"/>
      <x:c r="C449" s="43"/>
      <x:c r="D449" s="43"/>
      <x:c r="E449" s="39" t="str">
        <x:f>IF(A449="","",MAX(0,(D449-C449)*1440))</x:f>
      </x:c>
      <x:c r="F449" s="29" t="str">
        <x:f>IF(B449="","",IFERROR(INDEX('05_BAO_CAO_NGAY'!$D$6:$D$505,MATCH(B449,'05_BAO_CAO_NGAY'!$A$6:$A$505,0)),""))</x:f>
      </x:c>
      <x:c r="G449" s="29" t="str">
        <x:f>IF(B449="","",IFERROR(INDEX('05_BAO_CAO_NGAY'!$E$6:$E$505,MATCH(B449,'05_BAO_CAO_NGAY'!$A$6:$A$505,0)),""))</x:f>
      </x:c>
      <x:c r="H449" s="29" t="str">
        <x:f>IF(B449="","",IFERROR(INDEX('05_BAO_CAO_NGAY'!$J$6:$J$505,MATCH(B449,'05_BAO_CAO_NGAY'!$A$6:$A$505,0)),""))</x:f>
      </x:c>
      <x:c r="I449" s="29" t="str">
        <x:f>IF(B449="","",IFERROR(INDEX('05_BAO_CAO_NGAY'!$M$6:$M$505,MATCH(B449,'05_BAO_CAO_NGAY'!$A$6:$A$505,0)),""))</x:f>
      </x:c>
      <x:c r="J449" s="21"/>
      <x:c r="K449" s="29" t="str">
        <x:f>IF(J449="","",IFERROR(INDEX(DM_LY_DO_DUNG!$C$6:$C$105,MATCH(J449,DM_LY_DO_DUNG!$A$6:$A$105,0)),""))</x:f>
      </x:c>
      <x:c r="L449" s="21"/>
      <x:c r="M449" s="21"/>
      <x:c r="N449" s="21"/>
      <x:c r="O449" s="21"/>
      <x:c r="P449" s="21"/>
      <x:c r="Q449" s="43"/>
      <x:c r="R449" s="29" t="str">
        <x:f>IF(A449="","",IF(OR(B449="",C449="",D449="",J449=""),"Thiếu dữ liệu",IF(D449&lt;C449,"Sai thời gian",IF(AND(P449="Đã đóng",Q449=""),"Thiếu thời điểm đóng","Hợp lệ"))))</x:f>
      </x:c>
    </x:row>
    <x:row r="450">
      <x:c r="A450" s="21"/>
      <x:c r="B450" s="21"/>
      <x:c r="C450" s="43"/>
      <x:c r="D450" s="43"/>
      <x:c r="E450" s="39" t="str">
        <x:f>IF(A450="","",MAX(0,(D450-C450)*1440))</x:f>
      </x:c>
      <x:c r="F450" s="29" t="str">
        <x:f>IF(B450="","",IFERROR(INDEX('05_BAO_CAO_NGAY'!$D$6:$D$505,MATCH(B450,'05_BAO_CAO_NGAY'!$A$6:$A$505,0)),""))</x:f>
      </x:c>
      <x:c r="G450" s="29" t="str">
        <x:f>IF(B450="","",IFERROR(INDEX('05_BAO_CAO_NGAY'!$E$6:$E$505,MATCH(B450,'05_BAO_CAO_NGAY'!$A$6:$A$505,0)),""))</x:f>
      </x:c>
      <x:c r="H450" s="29" t="str">
        <x:f>IF(B450="","",IFERROR(INDEX('05_BAO_CAO_NGAY'!$J$6:$J$505,MATCH(B450,'05_BAO_CAO_NGAY'!$A$6:$A$505,0)),""))</x:f>
      </x:c>
      <x:c r="I450" s="29" t="str">
        <x:f>IF(B450="","",IFERROR(INDEX('05_BAO_CAO_NGAY'!$M$6:$M$505,MATCH(B450,'05_BAO_CAO_NGAY'!$A$6:$A$505,0)),""))</x:f>
      </x:c>
      <x:c r="J450" s="21"/>
      <x:c r="K450" s="29" t="str">
        <x:f>IF(J450="","",IFERROR(INDEX(DM_LY_DO_DUNG!$C$6:$C$105,MATCH(J450,DM_LY_DO_DUNG!$A$6:$A$105,0)),""))</x:f>
      </x:c>
      <x:c r="L450" s="21"/>
      <x:c r="M450" s="21"/>
      <x:c r="N450" s="21"/>
      <x:c r="O450" s="21"/>
      <x:c r="P450" s="21"/>
      <x:c r="Q450" s="43"/>
      <x:c r="R450" s="29" t="str">
        <x:f>IF(A450="","",IF(OR(B450="",C450="",D450="",J450=""),"Thiếu dữ liệu",IF(D450&lt;C450,"Sai thời gian",IF(AND(P450="Đã đóng",Q450=""),"Thiếu thời điểm đóng","Hợp lệ"))))</x:f>
      </x:c>
    </x:row>
    <x:row r="451">
      <x:c r="A451" s="21"/>
      <x:c r="B451" s="21"/>
      <x:c r="C451" s="43"/>
      <x:c r="D451" s="43"/>
      <x:c r="E451" s="39" t="str">
        <x:f>IF(A451="","",MAX(0,(D451-C451)*1440))</x:f>
      </x:c>
      <x:c r="F451" s="29" t="str">
        <x:f>IF(B451="","",IFERROR(INDEX('05_BAO_CAO_NGAY'!$D$6:$D$505,MATCH(B451,'05_BAO_CAO_NGAY'!$A$6:$A$505,0)),""))</x:f>
      </x:c>
      <x:c r="G451" s="29" t="str">
        <x:f>IF(B451="","",IFERROR(INDEX('05_BAO_CAO_NGAY'!$E$6:$E$505,MATCH(B451,'05_BAO_CAO_NGAY'!$A$6:$A$505,0)),""))</x:f>
      </x:c>
      <x:c r="H451" s="29" t="str">
        <x:f>IF(B451="","",IFERROR(INDEX('05_BAO_CAO_NGAY'!$J$6:$J$505,MATCH(B451,'05_BAO_CAO_NGAY'!$A$6:$A$505,0)),""))</x:f>
      </x:c>
      <x:c r="I451" s="29" t="str">
        <x:f>IF(B451="","",IFERROR(INDEX('05_BAO_CAO_NGAY'!$M$6:$M$505,MATCH(B451,'05_BAO_CAO_NGAY'!$A$6:$A$505,0)),""))</x:f>
      </x:c>
      <x:c r="J451" s="21"/>
      <x:c r="K451" s="29" t="str">
        <x:f>IF(J451="","",IFERROR(INDEX(DM_LY_DO_DUNG!$C$6:$C$105,MATCH(J451,DM_LY_DO_DUNG!$A$6:$A$105,0)),""))</x:f>
      </x:c>
      <x:c r="L451" s="21"/>
      <x:c r="M451" s="21"/>
      <x:c r="N451" s="21"/>
      <x:c r="O451" s="21"/>
      <x:c r="P451" s="21"/>
      <x:c r="Q451" s="43"/>
      <x:c r="R451" s="29" t="str">
        <x:f>IF(A451="","",IF(OR(B451="",C451="",D451="",J451=""),"Thiếu dữ liệu",IF(D451&lt;C451,"Sai thời gian",IF(AND(P451="Đã đóng",Q451=""),"Thiếu thời điểm đóng","Hợp lệ"))))</x:f>
      </x:c>
    </x:row>
    <x:row r="452">
      <x:c r="A452" s="21"/>
      <x:c r="B452" s="21"/>
      <x:c r="C452" s="43"/>
      <x:c r="D452" s="43"/>
      <x:c r="E452" s="39" t="str">
        <x:f>IF(A452="","",MAX(0,(D452-C452)*1440))</x:f>
      </x:c>
      <x:c r="F452" s="29" t="str">
        <x:f>IF(B452="","",IFERROR(INDEX('05_BAO_CAO_NGAY'!$D$6:$D$505,MATCH(B452,'05_BAO_CAO_NGAY'!$A$6:$A$505,0)),""))</x:f>
      </x:c>
      <x:c r="G452" s="29" t="str">
        <x:f>IF(B452="","",IFERROR(INDEX('05_BAO_CAO_NGAY'!$E$6:$E$505,MATCH(B452,'05_BAO_CAO_NGAY'!$A$6:$A$505,0)),""))</x:f>
      </x:c>
      <x:c r="H452" s="29" t="str">
        <x:f>IF(B452="","",IFERROR(INDEX('05_BAO_CAO_NGAY'!$J$6:$J$505,MATCH(B452,'05_BAO_CAO_NGAY'!$A$6:$A$505,0)),""))</x:f>
      </x:c>
      <x:c r="I452" s="29" t="str">
        <x:f>IF(B452="","",IFERROR(INDEX('05_BAO_CAO_NGAY'!$M$6:$M$505,MATCH(B452,'05_BAO_CAO_NGAY'!$A$6:$A$505,0)),""))</x:f>
      </x:c>
      <x:c r="J452" s="21"/>
      <x:c r="K452" s="29" t="str">
        <x:f>IF(J452="","",IFERROR(INDEX(DM_LY_DO_DUNG!$C$6:$C$105,MATCH(J452,DM_LY_DO_DUNG!$A$6:$A$105,0)),""))</x:f>
      </x:c>
      <x:c r="L452" s="21"/>
      <x:c r="M452" s="21"/>
      <x:c r="N452" s="21"/>
      <x:c r="O452" s="21"/>
      <x:c r="P452" s="21"/>
      <x:c r="Q452" s="43"/>
      <x:c r="R452" s="29" t="str">
        <x:f>IF(A452="","",IF(OR(B452="",C452="",D452="",J452=""),"Thiếu dữ liệu",IF(D452&lt;C452,"Sai thời gian",IF(AND(P452="Đã đóng",Q452=""),"Thiếu thời điểm đóng","Hợp lệ"))))</x:f>
      </x:c>
    </x:row>
    <x:row r="453">
      <x:c r="A453" s="21"/>
      <x:c r="B453" s="21"/>
      <x:c r="C453" s="43"/>
      <x:c r="D453" s="43"/>
      <x:c r="E453" s="39" t="str">
        <x:f>IF(A453="","",MAX(0,(D453-C453)*1440))</x:f>
      </x:c>
      <x:c r="F453" s="29" t="str">
        <x:f>IF(B453="","",IFERROR(INDEX('05_BAO_CAO_NGAY'!$D$6:$D$505,MATCH(B453,'05_BAO_CAO_NGAY'!$A$6:$A$505,0)),""))</x:f>
      </x:c>
      <x:c r="G453" s="29" t="str">
        <x:f>IF(B453="","",IFERROR(INDEX('05_BAO_CAO_NGAY'!$E$6:$E$505,MATCH(B453,'05_BAO_CAO_NGAY'!$A$6:$A$505,0)),""))</x:f>
      </x:c>
      <x:c r="H453" s="29" t="str">
        <x:f>IF(B453="","",IFERROR(INDEX('05_BAO_CAO_NGAY'!$J$6:$J$505,MATCH(B453,'05_BAO_CAO_NGAY'!$A$6:$A$505,0)),""))</x:f>
      </x:c>
      <x:c r="I453" s="29" t="str">
        <x:f>IF(B453="","",IFERROR(INDEX('05_BAO_CAO_NGAY'!$M$6:$M$505,MATCH(B453,'05_BAO_CAO_NGAY'!$A$6:$A$505,0)),""))</x:f>
      </x:c>
      <x:c r="J453" s="21"/>
      <x:c r="K453" s="29" t="str">
        <x:f>IF(J453="","",IFERROR(INDEX(DM_LY_DO_DUNG!$C$6:$C$105,MATCH(J453,DM_LY_DO_DUNG!$A$6:$A$105,0)),""))</x:f>
      </x:c>
      <x:c r="L453" s="21"/>
      <x:c r="M453" s="21"/>
      <x:c r="N453" s="21"/>
      <x:c r="O453" s="21"/>
      <x:c r="P453" s="21"/>
      <x:c r="Q453" s="43"/>
      <x:c r="R453" s="29" t="str">
        <x:f>IF(A453="","",IF(OR(B453="",C453="",D453="",J453=""),"Thiếu dữ liệu",IF(D453&lt;C453,"Sai thời gian",IF(AND(P453="Đã đóng",Q453=""),"Thiếu thời điểm đóng","Hợp lệ"))))</x:f>
      </x:c>
    </x:row>
    <x:row r="454">
      <x:c r="A454" s="21"/>
      <x:c r="B454" s="21"/>
      <x:c r="C454" s="43"/>
      <x:c r="D454" s="43"/>
      <x:c r="E454" s="39" t="str">
        <x:f>IF(A454="","",MAX(0,(D454-C454)*1440))</x:f>
      </x:c>
      <x:c r="F454" s="29" t="str">
        <x:f>IF(B454="","",IFERROR(INDEX('05_BAO_CAO_NGAY'!$D$6:$D$505,MATCH(B454,'05_BAO_CAO_NGAY'!$A$6:$A$505,0)),""))</x:f>
      </x:c>
      <x:c r="G454" s="29" t="str">
        <x:f>IF(B454="","",IFERROR(INDEX('05_BAO_CAO_NGAY'!$E$6:$E$505,MATCH(B454,'05_BAO_CAO_NGAY'!$A$6:$A$505,0)),""))</x:f>
      </x:c>
      <x:c r="H454" s="29" t="str">
        <x:f>IF(B454="","",IFERROR(INDEX('05_BAO_CAO_NGAY'!$J$6:$J$505,MATCH(B454,'05_BAO_CAO_NGAY'!$A$6:$A$505,0)),""))</x:f>
      </x:c>
      <x:c r="I454" s="29" t="str">
        <x:f>IF(B454="","",IFERROR(INDEX('05_BAO_CAO_NGAY'!$M$6:$M$505,MATCH(B454,'05_BAO_CAO_NGAY'!$A$6:$A$505,0)),""))</x:f>
      </x:c>
      <x:c r="J454" s="21"/>
      <x:c r="K454" s="29" t="str">
        <x:f>IF(J454="","",IFERROR(INDEX(DM_LY_DO_DUNG!$C$6:$C$105,MATCH(J454,DM_LY_DO_DUNG!$A$6:$A$105,0)),""))</x:f>
      </x:c>
      <x:c r="L454" s="21"/>
      <x:c r="M454" s="21"/>
      <x:c r="N454" s="21"/>
      <x:c r="O454" s="21"/>
      <x:c r="P454" s="21"/>
      <x:c r="Q454" s="43"/>
      <x:c r="R454" s="29" t="str">
        <x:f>IF(A454="","",IF(OR(B454="",C454="",D454="",J454=""),"Thiếu dữ liệu",IF(D454&lt;C454,"Sai thời gian",IF(AND(P454="Đã đóng",Q454=""),"Thiếu thời điểm đóng","Hợp lệ"))))</x:f>
      </x:c>
    </x:row>
    <x:row r="455">
      <x:c r="A455" s="21"/>
      <x:c r="B455" s="21"/>
      <x:c r="C455" s="43"/>
      <x:c r="D455" s="43"/>
      <x:c r="E455" s="39" t="str">
        <x:f>IF(A455="","",MAX(0,(D455-C455)*1440))</x:f>
      </x:c>
      <x:c r="F455" s="29" t="str">
        <x:f>IF(B455="","",IFERROR(INDEX('05_BAO_CAO_NGAY'!$D$6:$D$505,MATCH(B455,'05_BAO_CAO_NGAY'!$A$6:$A$505,0)),""))</x:f>
      </x:c>
      <x:c r="G455" s="29" t="str">
        <x:f>IF(B455="","",IFERROR(INDEX('05_BAO_CAO_NGAY'!$E$6:$E$505,MATCH(B455,'05_BAO_CAO_NGAY'!$A$6:$A$505,0)),""))</x:f>
      </x:c>
      <x:c r="H455" s="29" t="str">
        <x:f>IF(B455="","",IFERROR(INDEX('05_BAO_CAO_NGAY'!$J$6:$J$505,MATCH(B455,'05_BAO_CAO_NGAY'!$A$6:$A$505,0)),""))</x:f>
      </x:c>
      <x:c r="I455" s="29" t="str">
        <x:f>IF(B455="","",IFERROR(INDEX('05_BAO_CAO_NGAY'!$M$6:$M$505,MATCH(B455,'05_BAO_CAO_NGAY'!$A$6:$A$505,0)),""))</x:f>
      </x:c>
      <x:c r="J455" s="21"/>
      <x:c r="K455" s="29" t="str">
        <x:f>IF(J455="","",IFERROR(INDEX(DM_LY_DO_DUNG!$C$6:$C$105,MATCH(J455,DM_LY_DO_DUNG!$A$6:$A$105,0)),""))</x:f>
      </x:c>
      <x:c r="L455" s="21"/>
      <x:c r="M455" s="21"/>
      <x:c r="N455" s="21"/>
      <x:c r="O455" s="21"/>
      <x:c r="P455" s="21"/>
      <x:c r="Q455" s="43"/>
      <x:c r="R455" s="29" t="str">
        <x:f>IF(A455="","",IF(OR(B455="",C455="",D455="",J455=""),"Thiếu dữ liệu",IF(D455&lt;C455,"Sai thời gian",IF(AND(P455="Đã đóng",Q455=""),"Thiếu thời điểm đóng","Hợp lệ"))))</x:f>
      </x:c>
    </x:row>
    <x:row r="456">
      <x:c r="A456" s="21"/>
      <x:c r="B456" s="21"/>
      <x:c r="C456" s="43"/>
      <x:c r="D456" s="43"/>
      <x:c r="E456" s="39" t="str">
        <x:f>IF(A456="","",MAX(0,(D456-C456)*1440))</x:f>
      </x:c>
      <x:c r="F456" s="29" t="str">
        <x:f>IF(B456="","",IFERROR(INDEX('05_BAO_CAO_NGAY'!$D$6:$D$505,MATCH(B456,'05_BAO_CAO_NGAY'!$A$6:$A$505,0)),""))</x:f>
      </x:c>
      <x:c r="G456" s="29" t="str">
        <x:f>IF(B456="","",IFERROR(INDEX('05_BAO_CAO_NGAY'!$E$6:$E$505,MATCH(B456,'05_BAO_CAO_NGAY'!$A$6:$A$505,0)),""))</x:f>
      </x:c>
      <x:c r="H456" s="29" t="str">
        <x:f>IF(B456="","",IFERROR(INDEX('05_BAO_CAO_NGAY'!$J$6:$J$505,MATCH(B456,'05_BAO_CAO_NGAY'!$A$6:$A$505,0)),""))</x:f>
      </x:c>
      <x:c r="I456" s="29" t="str">
        <x:f>IF(B456="","",IFERROR(INDEX('05_BAO_CAO_NGAY'!$M$6:$M$505,MATCH(B456,'05_BAO_CAO_NGAY'!$A$6:$A$505,0)),""))</x:f>
      </x:c>
      <x:c r="J456" s="21"/>
      <x:c r="K456" s="29" t="str">
        <x:f>IF(J456="","",IFERROR(INDEX(DM_LY_DO_DUNG!$C$6:$C$105,MATCH(J456,DM_LY_DO_DUNG!$A$6:$A$105,0)),""))</x:f>
      </x:c>
      <x:c r="L456" s="21"/>
      <x:c r="M456" s="21"/>
      <x:c r="N456" s="21"/>
      <x:c r="O456" s="21"/>
      <x:c r="P456" s="21"/>
      <x:c r="Q456" s="43"/>
      <x:c r="R456" s="29" t="str">
        <x:f>IF(A456="","",IF(OR(B456="",C456="",D456="",J456=""),"Thiếu dữ liệu",IF(D456&lt;C456,"Sai thời gian",IF(AND(P456="Đã đóng",Q456=""),"Thiếu thời điểm đóng","Hợp lệ"))))</x:f>
      </x:c>
    </x:row>
    <x:row r="457">
      <x:c r="A457" s="21"/>
      <x:c r="B457" s="21"/>
      <x:c r="C457" s="43"/>
      <x:c r="D457" s="43"/>
      <x:c r="E457" s="39" t="str">
        <x:f>IF(A457="","",MAX(0,(D457-C457)*1440))</x:f>
      </x:c>
      <x:c r="F457" s="29" t="str">
        <x:f>IF(B457="","",IFERROR(INDEX('05_BAO_CAO_NGAY'!$D$6:$D$505,MATCH(B457,'05_BAO_CAO_NGAY'!$A$6:$A$505,0)),""))</x:f>
      </x:c>
      <x:c r="G457" s="29" t="str">
        <x:f>IF(B457="","",IFERROR(INDEX('05_BAO_CAO_NGAY'!$E$6:$E$505,MATCH(B457,'05_BAO_CAO_NGAY'!$A$6:$A$505,0)),""))</x:f>
      </x:c>
      <x:c r="H457" s="29" t="str">
        <x:f>IF(B457="","",IFERROR(INDEX('05_BAO_CAO_NGAY'!$J$6:$J$505,MATCH(B457,'05_BAO_CAO_NGAY'!$A$6:$A$505,0)),""))</x:f>
      </x:c>
      <x:c r="I457" s="29" t="str">
        <x:f>IF(B457="","",IFERROR(INDEX('05_BAO_CAO_NGAY'!$M$6:$M$505,MATCH(B457,'05_BAO_CAO_NGAY'!$A$6:$A$505,0)),""))</x:f>
      </x:c>
      <x:c r="J457" s="21"/>
      <x:c r="K457" s="29" t="str">
        <x:f>IF(J457="","",IFERROR(INDEX(DM_LY_DO_DUNG!$C$6:$C$105,MATCH(J457,DM_LY_DO_DUNG!$A$6:$A$105,0)),""))</x:f>
      </x:c>
      <x:c r="L457" s="21"/>
      <x:c r="M457" s="21"/>
      <x:c r="N457" s="21"/>
      <x:c r="O457" s="21"/>
      <x:c r="P457" s="21"/>
      <x:c r="Q457" s="43"/>
      <x:c r="R457" s="29" t="str">
        <x:f>IF(A457="","",IF(OR(B457="",C457="",D457="",J457=""),"Thiếu dữ liệu",IF(D457&lt;C457,"Sai thời gian",IF(AND(P457="Đã đóng",Q457=""),"Thiếu thời điểm đóng","Hợp lệ"))))</x:f>
      </x:c>
    </x:row>
    <x:row r="458">
      <x:c r="A458" s="21"/>
      <x:c r="B458" s="21"/>
      <x:c r="C458" s="43"/>
      <x:c r="D458" s="43"/>
      <x:c r="E458" s="39" t="str">
        <x:f>IF(A458="","",MAX(0,(D458-C458)*1440))</x:f>
      </x:c>
      <x:c r="F458" s="29" t="str">
        <x:f>IF(B458="","",IFERROR(INDEX('05_BAO_CAO_NGAY'!$D$6:$D$505,MATCH(B458,'05_BAO_CAO_NGAY'!$A$6:$A$505,0)),""))</x:f>
      </x:c>
      <x:c r="G458" s="29" t="str">
        <x:f>IF(B458="","",IFERROR(INDEX('05_BAO_CAO_NGAY'!$E$6:$E$505,MATCH(B458,'05_BAO_CAO_NGAY'!$A$6:$A$505,0)),""))</x:f>
      </x:c>
      <x:c r="H458" s="29" t="str">
        <x:f>IF(B458="","",IFERROR(INDEX('05_BAO_CAO_NGAY'!$J$6:$J$505,MATCH(B458,'05_BAO_CAO_NGAY'!$A$6:$A$505,0)),""))</x:f>
      </x:c>
      <x:c r="I458" s="29" t="str">
        <x:f>IF(B458="","",IFERROR(INDEX('05_BAO_CAO_NGAY'!$M$6:$M$505,MATCH(B458,'05_BAO_CAO_NGAY'!$A$6:$A$505,0)),""))</x:f>
      </x:c>
      <x:c r="J458" s="21"/>
      <x:c r="K458" s="29" t="str">
        <x:f>IF(J458="","",IFERROR(INDEX(DM_LY_DO_DUNG!$C$6:$C$105,MATCH(J458,DM_LY_DO_DUNG!$A$6:$A$105,0)),""))</x:f>
      </x:c>
      <x:c r="L458" s="21"/>
      <x:c r="M458" s="21"/>
      <x:c r="N458" s="21"/>
      <x:c r="O458" s="21"/>
      <x:c r="P458" s="21"/>
      <x:c r="Q458" s="43"/>
      <x:c r="R458" s="29" t="str">
        <x:f>IF(A458="","",IF(OR(B458="",C458="",D458="",J458=""),"Thiếu dữ liệu",IF(D458&lt;C458,"Sai thời gian",IF(AND(P458="Đã đóng",Q458=""),"Thiếu thời điểm đóng","Hợp lệ"))))</x:f>
      </x:c>
    </x:row>
    <x:row r="459">
      <x:c r="A459" s="21"/>
      <x:c r="B459" s="21"/>
      <x:c r="C459" s="43"/>
      <x:c r="D459" s="43"/>
      <x:c r="E459" s="39" t="str">
        <x:f>IF(A459="","",MAX(0,(D459-C459)*1440))</x:f>
      </x:c>
      <x:c r="F459" s="29" t="str">
        <x:f>IF(B459="","",IFERROR(INDEX('05_BAO_CAO_NGAY'!$D$6:$D$505,MATCH(B459,'05_BAO_CAO_NGAY'!$A$6:$A$505,0)),""))</x:f>
      </x:c>
      <x:c r="G459" s="29" t="str">
        <x:f>IF(B459="","",IFERROR(INDEX('05_BAO_CAO_NGAY'!$E$6:$E$505,MATCH(B459,'05_BAO_CAO_NGAY'!$A$6:$A$505,0)),""))</x:f>
      </x:c>
      <x:c r="H459" s="29" t="str">
        <x:f>IF(B459="","",IFERROR(INDEX('05_BAO_CAO_NGAY'!$J$6:$J$505,MATCH(B459,'05_BAO_CAO_NGAY'!$A$6:$A$505,0)),""))</x:f>
      </x:c>
      <x:c r="I459" s="29" t="str">
        <x:f>IF(B459="","",IFERROR(INDEX('05_BAO_CAO_NGAY'!$M$6:$M$505,MATCH(B459,'05_BAO_CAO_NGAY'!$A$6:$A$505,0)),""))</x:f>
      </x:c>
      <x:c r="J459" s="21"/>
      <x:c r="K459" s="29" t="str">
        <x:f>IF(J459="","",IFERROR(INDEX(DM_LY_DO_DUNG!$C$6:$C$105,MATCH(J459,DM_LY_DO_DUNG!$A$6:$A$105,0)),""))</x:f>
      </x:c>
      <x:c r="L459" s="21"/>
      <x:c r="M459" s="21"/>
      <x:c r="N459" s="21"/>
      <x:c r="O459" s="21"/>
      <x:c r="P459" s="21"/>
      <x:c r="Q459" s="43"/>
      <x:c r="R459" s="29" t="str">
        <x:f>IF(A459="","",IF(OR(B459="",C459="",D459="",J459=""),"Thiếu dữ liệu",IF(D459&lt;C459,"Sai thời gian",IF(AND(P459="Đã đóng",Q459=""),"Thiếu thời điểm đóng","Hợp lệ"))))</x:f>
      </x:c>
    </x:row>
    <x:row r="460">
      <x:c r="A460" s="21"/>
      <x:c r="B460" s="21"/>
      <x:c r="C460" s="43"/>
      <x:c r="D460" s="43"/>
      <x:c r="E460" s="39" t="str">
        <x:f>IF(A460="","",MAX(0,(D460-C460)*1440))</x:f>
      </x:c>
      <x:c r="F460" s="29" t="str">
        <x:f>IF(B460="","",IFERROR(INDEX('05_BAO_CAO_NGAY'!$D$6:$D$505,MATCH(B460,'05_BAO_CAO_NGAY'!$A$6:$A$505,0)),""))</x:f>
      </x:c>
      <x:c r="G460" s="29" t="str">
        <x:f>IF(B460="","",IFERROR(INDEX('05_BAO_CAO_NGAY'!$E$6:$E$505,MATCH(B460,'05_BAO_CAO_NGAY'!$A$6:$A$505,0)),""))</x:f>
      </x:c>
      <x:c r="H460" s="29" t="str">
        <x:f>IF(B460="","",IFERROR(INDEX('05_BAO_CAO_NGAY'!$J$6:$J$505,MATCH(B460,'05_BAO_CAO_NGAY'!$A$6:$A$505,0)),""))</x:f>
      </x:c>
      <x:c r="I460" s="29" t="str">
        <x:f>IF(B460="","",IFERROR(INDEX('05_BAO_CAO_NGAY'!$M$6:$M$505,MATCH(B460,'05_BAO_CAO_NGAY'!$A$6:$A$505,0)),""))</x:f>
      </x:c>
      <x:c r="J460" s="21"/>
      <x:c r="K460" s="29" t="str">
        <x:f>IF(J460="","",IFERROR(INDEX(DM_LY_DO_DUNG!$C$6:$C$105,MATCH(J460,DM_LY_DO_DUNG!$A$6:$A$105,0)),""))</x:f>
      </x:c>
      <x:c r="L460" s="21"/>
      <x:c r="M460" s="21"/>
      <x:c r="N460" s="21"/>
      <x:c r="O460" s="21"/>
      <x:c r="P460" s="21"/>
      <x:c r="Q460" s="43"/>
      <x:c r="R460" s="29" t="str">
        <x:f>IF(A460="","",IF(OR(B460="",C460="",D460="",J460=""),"Thiếu dữ liệu",IF(D460&lt;C460,"Sai thời gian",IF(AND(P460="Đã đóng",Q460=""),"Thiếu thời điểm đóng","Hợp lệ"))))</x:f>
      </x:c>
    </x:row>
    <x:row r="461">
      <x:c r="A461" s="21"/>
      <x:c r="B461" s="21"/>
      <x:c r="C461" s="43"/>
      <x:c r="D461" s="43"/>
      <x:c r="E461" s="39" t="str">
        <x:f>IF(A461="","",MAX(0,(D461-C461)*1440))</x:f>
      </x:c>
      <x:c r="F461" s="29" t="str">
        <x:f>IF(B461="","",IFERROR(INDEX('05_BAO_CAO_NGAY'!$D$6:$D$505,MATCH(B461,'05_BAO_CAO_NGAY'!$A$6:$A$505,0)),""))</x:f>
      </x:c>
      <x:c r="G461" s="29" t="str">
        <x:f>IF(B461="","",IFERROR(INDEX('05_BAO_CAO_NGAY'!$E$6:$E$505,MATCH(B461,'05_BAO_CAO_NGAY'!$A$6:$A$505,0)),""))</x:f>
      </x:c>
      <x:c r="H461" s="29" t="str">
        <x:f>IF(B461="","",IFERROR(INDEX('05_BAO_CAO_NGAY'!$J$6:$J$505,MATCH(B461,'05_BAO_CAO_NGAY'!$A$6:$A$505,0)),""))</x:f>
      </x:c>
      <x:c r="I461" s="29" t="str">
        <x:f>IF(B461="","",IFERROR(INDEX('05_BAO_CAO_NGAY'!$M$6:$M$505,MATCH(B461,'05_BAO_CAO_NGAY'!$A$6:$A$505,0)),""))</x:f>
      </x:c>
      <x:c r="J461" s="21"/>
      <x:c r="K461" s="29" t="str">
        <x:f>IF(J461="","",IFERROR(INDEX(DM_LY_DO_DUNG!$C$6:$C$105,MATCH(J461,DM_LY_DO_DUNG!$A$6:$A$105,0)),""))</x:f>
      </x:c>
      <x:c r="L461" s="21"/>
      <x:c r="M461" s="21"/>
      <x:c r="N461" s="21"/>
      <x:c r="O461" s="21"/>
      <x:c r="P461" s="21"/>
      <x:c r="Q461" s="43"/>
      <x:c r="R461" s="29" t="str">
        <x:f>IF(A461="","",IF(OR(B461="",C461="",D461="",J461=""),"Thiếu dữ liệu",IF(D461&lt;C461,"Sai thời gian",IF(AND(P461="Đã đóng",Q461=""),"Thiếu thời điểm đóng","Hợp lệ"))))</x:f>
      </x:c>
    </x:row>
    <x:row r="462">
      <x:c r="A462" s="21"/>
      <x:c r="B462" s="21"/>
      <x:c r="C462" s="43"/>
      <x:c r="D462" s="43"/>
      <x:c r="E462" s="39" t="str">
        <x:f>IF(A462="","",MAX(0,(D462-C462)*1440))</x:f>
      </x:c>
      <x:c r="F462" s="29" t="str">
        <x:f>IF(B462="","",IFERROR(INDEX('05_BAO_CAO_NGAY'!$D$6:$D$505,MATCH(B462,'05_BAO_CAO_NGAY'!$A$6:$A$505,0)),""))</x:f>
      </x:c>
      <x:c r="G462" s="29" t="str">
        <x:f>IF(B462="","",IFERROR(INDEX('05_BAO_CAO_NGAY'!$E$6:$E$505,MATCH(B462,'05_BAO_CAO_NGAY'!$A$6:$A$505,0)),""))</x:f>
      </x:c>
      <x:c r="H462" s="29" t="str">
        <x:f>IF(B462="","",IFERROR(INDEX('05_BAO_CAO_NGAY'!$J$6:$J$505,MATCH(B462,'05_BAO_CAO_NGAY'!$A$6:$A$505,0)),""))</x:f>
      </x:c>
      <x:c r="I462" s="29" t="str">
        <x:f>IF(B462="","",IFERROR(INDEX('05_BAO_CAO_NGAY'!$M$6:$M$505,MATCH(B462,'05_BAO_CAO_NGAY'!$A$6:$A$505,0)),""))</x:f>
      </x:c>
      <x:c r="J462" s="21"/>
      <x:c r="K462" s="29" t="str">
        <x:f>IF(J462="","",IFERROR(INDEX(DM_LY_DO_DUNG!$C$6:$C$105,MATCH(J462,DM_LY_DO_DUNG!$A$6:$A$105,0)),""))</x:f>
      </x:c>
      <x:c r="L462" s="21"/>
      <x:c r="M462" s="21"/>
      <x:c r="N462" s="21"/>
      <x:c r="O462" s="21"/>
      <x:c r="P462" s="21"/>
      <x:c r="Q462" s="43"/>
      <x:c r="R462" s="29" t="str">
        <x:f>IF(A462="","",IF(OR(B462="",C462="",D462="",J462=""),"Thiếu dữ liệu",IF(D462&lt;C462,"Sai thời gian",IF(AND(P462="Đã đóng",Q462=""),"Thiếu thời điểm đóng","Hợp lệ"))))</x:f>
      </x:c>
    </x:row>
    <x:row r="463">
      <x:c r="A463" s="21"/>
      <x:c r="B463" s="21"/>
      <x:c r="C463" s="43"/>
      <x:c r="D463" s="43"/>
      <x:c r="E463" s="39" t="str">
        <x:f>IF(A463="","",MAX(0,(D463-C463)*1440))</x:f>
      </x:c>
      <x:c r="F463" s="29" t="str">
        <x:f>IF(B463="","",IFERROR(INDEX('05_BAO_CAO_NGAY'!$D$6:$D$505,MATCH(B463,'05_BAO_CAO_NGAY'!$A$6:$A$505,0)),""))</x:f>
      </x:c>
      <x:c r="G463" s="29" t="str">
        <x:f>IF(B463="","",IFERROR(INDEX('05_BAO_CAO_NGAY'!$E$6:$E$505,MATCH(B463,'05_BAO_CAO_NGAY'!$A$6:$A$505,0)),""))</x:f>
      </x:c>
      <x:c r="H463" s="29" t="str">
        <x:f>IF(B463="","",IFERROR(INDEX('05_BAO_CAO_NGAY'!$J$6:$J$505,MATCH(B463,'05_BAO_CAO_NGAY'!$A$6:$A$505,0)),""))</x:f>
      </x:c>
      <x:c r="I463" s="29" t="str">
        <x:f>IF(B463="","",IFERROR(INDEX('05_BAO_CAO_NGAY'!$M$6:$M$505,MATCH(B463,'05_BAO_CAO_NGAY'!$A$6:$A$505,0)),""))</x:f>
      </x:c>
      <x:c r="J463" s="21"/>
      <x:c r="K463" s="29" t="str">
        <x:f>IF(J463="","",IFERROR(INDEX(DM_LY_DO_DUNG!$C$6:$C$105,MATCH(J463,DM_LY_DO_DUNG!$A$6:$A$105,0)),""))</x:f>
      </x:c>
      <x:c r="L463" s="21"/>
      <x:c r="M463" s="21"/>
      <x:c r="N463" s="21"/>
      <x:c r="O463" s="21"/>
      <x:c r="P463" s="21"/>
      <x:c r="Q463" s="43"/>
      <x:c r="R463" s="29" t="str">
        <x:f>IF(A463="","",IF(OR(B463="",C463="",D463="",J463=""),"Thiếu dữ liệu",IF(D463&lt;C463,"Sai thời gian",IF(AND(P463="Đã đóng",Q463=""),"Thiếu thời điểm đóng","Hợp lệ"))))</x:f>
      </x:c>
    </x:row>
    <x:row r="464">
      <x:c r="A464" s="21"/>
      <x:c r="B464" s="21"/>
      <x:c r="C464" s="43"/>
      <x:c r="D464" s="43"/>
      <x:c r="E464" s="39" t="str">
        <x:f>IF(A464="","",MAX(0,(D464-C464)*1440))</x:f>
      </x:c>
      <x:c r="F464" s="29" t="str">
        <x:f>IF(B464="","",IFERROR(INDEX('05_BAO_CAO_NGAY'!$D$6:$D$505,MATCH(B464,'05_BAO_CAO_NGAY'!$A$6:$A$505,0)),""))</x:f>
      </x:c>
      <x:c r="G464" s="29" t="str">
        <x:f>IF(B464="","",IFERROR(INDEX('05_BAO_CAO_NGAY'!$E$6:$E$505,MATCH(B464,'05_BAO_CAO_NGAY'!$A$6:$A$505,0)),""))</x:f>
      </x:c>
      <x:c r="H464" s="29" t="str">
        <x:f>IF(B464="","",IFERROR(INDEX('05_BAO_CAO_NGAY'!$J$6:$J$505,MATCH(B464,'05_BAO_CAO_NGAY'!$A$6:$A$505,0)),""))</x:f>
      </x:c>
      <x:c r="I464" s="29" t="str">
        <x:f>IF(B464="","",IFERROR(INDEX('05_BAO_CAO_NGAY'!$M$6:$M$505,MATCH(B464,'05_BAO_CAO_NGAY'!$A$6:$A$505,0)),""))</x:f>
      </x:c>
      <x:c r="J464" s="21"/>
      <x:c r="K464" s="29" t="str">
        <x:f>IF(J464="","",IFERROR(INDEX(DM_LY_DO_DUNG!$C$6:$C$105,MATCH(J464,DM_LY_DO_DUNG!$A$6:$A$105,0)),""))</x:f>
      </x:c>
      <x:c r="L464" s="21"/>
      <x:c r="M464" s="21"/>
      <x:c r="N464" s="21"/>
      <x:c r="O464" s="21"/>
      <x:c r="P464" s="21"/>
      <x:c r="Q464" s="43"/>
      <x:c r="R464" s="29" t="str">
        <x:f>IF(A464="","",IF(OR(B464="",C464="",D464="",J464=""),"Thiếu dữ liệu",IF(D464&lt;C464,"Sai thời gian",IF(AND(P464="Đã đóng",Q464=""),"Thiếu thời điểm đóng","Hợp lệ"))))</x:f>
      </x:c>
    </x:row>
    <x:row r="465">
      <x:c r="A465" s="21"/>
      <x:c r="B465" s="21"/>
      <x:c r="C465" s="43"/>
      <x:c r="D465" s="43"/>
      <x:c r="E465" s="39" t="str">
        <x:f>IF(A465="","",MAX(0,(D465-C465)*1440))</x:f>
      </x:c>
      <x:c r="F465" s="29" t="str">
        <x:f>IF(B465="","",IFERROR(INDEX('05_BAO_CAO_NGAY'!$D$6:$D$505,MATCH(B465,'05_BAO_CAO_NGAY'!$A$6:$A$505,0)),""))</x:f>
      </x:c>
      <x:c r="G465" s="29" t="str">
        <x:f>IF(B465="","",IFERROR(INDEX('05_BAO_CAO_NGAY'!$E$6:$E$505,MATCH(B465,'05_BAO_CAO_NGAY'!$A$6:$A$505,0)),""))</x:f>
      </x:c>
      <x:c r="H465" s="29" t="str">
        <x:f>IF(B465="","",IFERROR(INDEX('05_BAO_CAO_NGAY'!$J$6:$J$505,MATCH(B465,'05_BAO_CAO_NGAY'!$A$6:$A$505,0)),""))</x:f>
      </x:c>
      <x:c r="I465" s="29" t="str">
        <x:f>IF(B465="","",IFERROR(INDEX('05_BAO_CAO_NGAY'!$M$6:$M$505,MATCH(B465,'05_BAO_CAO_NGAY'!$A$6:$A$505,0)),""))</x:f>
      </x:c>
      <x:c r="J465" s="21"/>
      <x:c r="K465" s="29" t="str">
        <x:f>IF(J465="","",IFERROR(INDEX(DM_LY_DO_DUNG!$C$6:$C$105,MATCH(J465,DM_LY_DO_DUNG!$A$6:$A$105,0)),""))</x:f>
      </x:c>
      <x:c r="L465" s="21"/>
      <x:c r="M465" s="21"/>
      <x:c r="N465" s="21"/>
      <x:c r="O465" s="21"/>
      <x:c r="P465" s="21"/>
      <x:c r="Q465" s="43"/>
      <x:c r="R465" s="29" t="str">
        <x:f>IF(A465="","",IF(OR(B465="",C465="",D465="",J465=""),"Thiếu dữ liệu",IF(D465&lt;C465,"Sai thời gian",IF(AND(P465="Đã đóng",Q465=""),"Thiếu thời điểm đóng","Hợp lệ"))))</x:f>
      </x:c>
    </x:row>
    <x:row r="466">
      <x:c r="A466" s="21"/>
      <x:c r="B466" s="21"/>
      <x:c r="C466" s="43"/>
      <x:c r="D466" s="43"/>
      <x:c r="E466" s="39" t="str">
        <x:f>IF(A466="","",MAX(0,(D466-C466)*1440))</x:f>
      </x:c>
      <x:c r="F466" s="29" t="str">
        <x:f>IF(B466="","",IFERROR(INDEX('05_BAO_CAO_NGAY'!$D$6:$D$505,MATCH(B466,'05_BAO_CAO_NGAY'!$A$6:$A$505,0)),""))</x:f>
      </x:c>
      <x:c r="G466" s="29" t="str">
        <x:f>IF(B466="","",IFERROR(INDEX('05_BAO_CAO_NGAY'!$E$6:$E$505,MATCH(B466,'05_BAO_CAO_NGAY'!$A$6:$A$505,0)),""))</x:f>
      </x:c>
      <x:c r="H466" s="29" t="str">
        <x:f>IF(B466="","",IFERROR(INDEX('05_BAO_CAO_NGAY'!$J$6:$J$505,MATCH(B466,'05_BAO_CAO_NGAY'!$A$6:$A$505,0)),""))</x:f>
      </x:c>
      <x:c r="I466" s="29" t="str">
        <x:f>IF(B466="","",IFERROR(INDEX('05_BAO_CAO_NGAY'!$M$6:$M$505,MATCH(B466,'05_BAO_CAO_NGAY'!$A$6:$A$505,0)),""))</x:f>
      </x:c>
      <x:c r="J466" s="21"/>
      <x:c r="K466" s="29" t="str">
        <x:f>IF(J466="","",IFERROR(INDEX(DM_LY_DO_DUNG!$C$6:$C$105,MATCH(J466,DM_LY_DO_DUNG!$A$6:$A$105,0)),""))</x:f>
      </x:c>
      <x:c r="L466" s="21"/>
      <x:c r="M466" s="21"/>
      <x:c r="N466" s="21"/>
      <x:c r="O466" s="21"/>
      <x:c r="P466" s="21"/>
      <x:c r="Q466" s="43"/>
      <x:c r="R466" s="29" t="str">
        <x:f>IF(A466="","",IF(OR(B466="",C466="",D466="",J466=""),"Thiếu dữ liệu",IF(D466&lt;C466,"Sai thời gian",IF(AND(P466="Đã đóng",Q466=""),"Thiếu thời điểm đóng","Hợp lệ"))))</x:f>
      </x:c>
    </x:row>
    <x:row r="467">
      <x:c r="A467" s="21"/>
      <x:c r="B467" s="21"/>
      <x:c r="C467" s="43"/>
      <x:c r="D467" s="43"/>
      <x:c r="E467" s="39" t="str">
        <x:f>IF(A467="","",MAX(0,(D467-C467)*1440))</x:f>
      </x:c>
      <x:c r="F467" s="29" t="str">
        <x:f>IF(B467="","",IFERROR(INDEX('05_BAO_CAO_NGAY'!$D$6:$D$505,MATCH(B467,'05_BAO_CAO_NGAY'!$A$6:$A$505,0)),""))</x:f>
      </x:c>
      <x:c r="G467" s="29" t="str">
        <x:f>IF(B467="","",IFERROR(INDEX('05_BAO_CAO_NGAY'!$E$6:$E$505,MATCH(B467,'05_BAO_CAO_NGAY'!$A$6:$A$505,0)),""))</x:f>
      </x:c>
      <x:c r="H467" s="29" t="str">
        <x:f>IF(B467="","",IFERROR(INDEX('05_BAO_CAO_NGAY'!$J$6:$J$505,MATCH(B467,'05_BAO_CAO_NGAY'!$A$6:$A$505,0)),""))</x:f>
      </x:c>
      <x:c r="I467" s="29" t="str">
        <x:f>IF(B467="","",IFERROR(INDEX('05_BAO_CAO_NGAY'!$M$6:$M$505,MATCH(B467,'05_BAO_CAO_NGAY'!$A$6:$A$505,0)),""))</x:f>
      </x:c>
      <x:c r="J467" s="21"/>
      <x:c r="K467" s="29" t="str">
        <x:f>IF(J467="","",IFERROR(INDEX(DM_LY_DO_DUNG!$C$6:$C$105,MATCH(J467,DM_LY_DO_DUNG!$A$6:$A$105,0)),""))</x:f>
      </x:c>
      <x:c r="L467" s="21"/>
      <x:c r="M467" s="21"/>
      <x:c r="N467" s="21"/>
      <x:c r="O467" s="21"/>
      <x:c r="P467" s="21"/>
      <x:c r="Q467" s="43"/>
      <x:c r="R467" s="29" t="str">
        <x:f>IF(A467="","",IF(OR(B467="",C467="",D467="",J467=""),"Thiếu dữ liệu",IF(D467&lt;C467,"Sai thời gian",IF(AND(P467="Đã đóng",Q467=""),"Thiếu thời điểm đóng","Hợp lệ"))))</x:f>
      </x:c>
    </x:row>
    <x:row r="468">
      <x:c r="A468" s="21"/>
      <x:c r="B468" s="21"/>
      <x:c r="C468" s="43"/>
      <x:c r="D468" s="43"/>
      <x:c r="E468" s="39" t="str">
        <x:f>IF(A468="","",MAX(0,(D468-C468)*1440))</x:f>
      </x:c>
      <x:c r="F468" s="29" t="str">
        <x:f>IF(B468="","",IFERROR(INDEX('05_BAO_CAO_NGAY'!$D$6:$D$505,MATCH(B468,'05_BAO_CAO_NGAY'!$A$6:$A$505,0)),""))</x:f>
      </x:c>
      <x:c r="G468" s="29" t="str">
        <x:f>IF(B468="","",IFERROR(INDEX('05_BAO_CAO_NGAY'!$E$6:$E$505,MATCH(B468,'05_BAO_CAO_NGAY'!$A$6:$A$505,0)),""))</x:f>
      </x:c>
      <x:c r="H468" s="29" t="str">
        <x:f>IF(B468="","",IFERROR(INDEX('05_BAO_CAO_NGAY'!$J$6:$J$505,MATCH(B468,'05_BAO_CAO_NGAY'!$A$6:$A$505,0)),""))</x:f>
      </x:c>
      <x:c r="I468" s="29" t="str">
        <x:f>IF(B468="","",IFERROR(INDEX('05_BAO_CAO_NGAY'!$M$6:$M$505,MATCH(B468,'05_BAO_CAO_NGAY'!$A$6:$A$505,0)),""))</x:f>
      </x:c>
      <x:c r="J468" s="21"/>
      <x:c r="K468" s="29" t="str">
        <x:f>IF(J468="","",IFERROR(INDEX(DM_LY_DO_DUNG!$C$6:$C$105,MATCH(J468,DM_LY_DO_DUNG!$A$6:$A$105,0)),""))</x:f>
      </x:c>
      <x:c r="L468" s="21"/>
      <x:c r="M468" s="21"/>
      <x:c r="N468" s="21"/>
      <x:c r="O468" s="21"/>
      <x:c r="P468" s="21"/>
      <x:c r="Q468" s="43"/>
      <x:c r="R468" s="29" t="str">
        <x:f>IF(A468="","",IF(OR(B468="",C468="",D468="",J468=""),"Thiếu dữ liệu",IF(D468&lt;C468,"Sai thời gian",IF(AND(P468="Đã đóng",Q468=""),"Thiếu thời điểm đóng","Hợp lệ"))))</x:f>
      </x:c>
    </x:row>
    <x:row r="469">
      <x:c r="A469" s="21"/>
      <x:c r="B469" s="21"/>
      <x:c r="C469" s="43"/>
      <x:c r="D469" s="43"/>
      <x:c r="E469" s="39" t="str">
        <x:f>IF(A469="","",MAX(0,(D469-C469)*1440))</x:f>
      </x:c>
      <x:c r="F469" s="29" t="str">
        <x:f>IF(B469="","",IFERROR(INDEX('05_BAO_CAO_NGAY'!$D$6:$D$505,MATCH(B469,'05_BAO_CAO_NGAY'!$A$6:$A$505,0)),""))</x:f>
      </x:c>
      <x:c r="G469" s="29" t="str">
        <x:f>IF(B469="","",IFERROR(INDEX('05_BAO_CAO_NGAY'!$E$6:$E$505,MATCH(B469,'05_BAO_CAO_NGAY'!$A$6:$A$505,0)),""))</x:f>
      </x:c>
      <x:c r="H469" s="29" t="str">
        <x:f>IF(B469="","",IFERROR(INDEX('05_BAO_CAO_NGAY'!$J$6:$J$505,MATCH(B469,'05_BAO_CAO_NGAY'!$A$6:$A$505,0)),""))</x:f>
      </x:c>
      <x:c r="I469" s="29" t="str">
        <x:f>IF(B469="","",IFERROR(INDEX('05_BAO_CAO_NGAY'!$M$6:$M$505,MATCH(B469,'05_BAO_CAO_NGAY'!$A$6:$A$505,0)),""))</x:f>
      </x:c>
      <x:c r="J469" s="21"/>
      <x:c r="K469" s="29" t="str">
        <x:f>IF(J469="","",IFERROR(INDEX(DM_LY_DO_DUNG!$C$6:$C$105,MATCH(J469,DM_LY_DO_DUNG!$A$6:$A$105,0)),""))</x:f>
      </x:c>
      <x:c r="L469" s="21"/>
      <x:c r="M469" s="21"/>
      <x:c r="N469" s="21"/>
      <x:c r="O469" s="21"/>
      <x:c r="P469" s="21"/>
      <x:c r="Q469" s="43"/>
      <x:c r="R469" s="29" t="str">
        <x:f>IF(A469="","",IF(OR(B469="",C469="",D469="",J469=""),"Thiếu dữ liệu",IF(D469&lt;C469,"Sai thời gian",IF(AND(P469="Đã đóng",Q469=""),"Thiếu thời điểm đóng","Hợp lệ"))))</x:f>
      </x:c>
    </x:row>
    <x:row r="470">
      <x:c r="A470" s="21"/>
      <x:c r="B470" s="21"/>
      <x:c r="C470" s="43"/>
      <x:c r="D470" s="43"/>
      <x:c r="E470" s="39" t="str">
        <x:f>IF(A470="","",MAX(0,(D470-C470)*1440))</x:f>
      </x:c>
      <x:c r="F470" s="29" t="str">
        <x:f>IF(B470="","",IFERROR(INDEX('05_BAO_CAO_NGAY'!$D$6:$D$505,MATCH(B470,'05_BAO_CAO_NGAY'!$A$6:$A$505,0)),""))</x:f>
      </x:c>
      <x:c r="G470" s="29" t="str">
        <x:f>IF(B470="","",IFERROR(INDEX('05_BAO_CAO_NGAY'!$E$6:$E$505,MATCH(B470,'05_BAO_CAO_NGAY'!$A$6:$A$505,0)),""))</x:f>
      </x:c>
      <x:c r="H470" s="29" t="str">
        <x:f>IF(B470="","",IFERROR(INDEX('05_BAO_CAO_NGAY'!$J$6:$J$505,MATCH(B470,'05_BAO_CAO_NGAY'!$A$6:$A$505,0)),""))</x:f>
      </x:c>
      <x:c r="I470" s="29" t="str">
        <x:f>IF(B470="","",IFERROR(INDEX('05_BAO_CAO_NGAY'!$M$6:$M$505,MATCH(B470,'05_BAO_CAO_NGAY'!$A$6:$A$505,0)),""))</x:f>
      </x:c>
      <x:c r="J470" s="21"/>
      <x:c r="K470" s="29" t="str">
        <x:f>IF(J470="","",IFERROR(INDEX(DM_LY_DO_DUNG!$C$6:$C$105,MATCH(J470,DM_LY_DO_DUNG!$A$6:$A$105,0)),""))</x:f>
      </x:c>
      <x:c r="L470" s="21"/>
      <x:c r="M470" s="21"/>
      <x:c r="N470" s="21"/>
      <x:c r="O470" s="21"/>
      <x:c r="P470" s="21"/>
      <x:c r="Q470" s="43"/>
      <x:c r="R470" s="29" t="str">
        <x:f>IF(A470="","",IF(OR(B470="",C470="",D470="",J470=""),"Thiếu dữ liệu",IF(D470&lt;C470,"Sai thời gian",IF(AND(P470="Đã đóng",Q470=""),"Thiếu thời điểm đóng","Hợp lệ"))))</x:f>
      </x:c>
    </x:row>
    <x:row r="471">
      <x:c r="A471" s="21"/>
      <x:c r="B471" s="21"/>
      <x:c r="C471" s="43"/>
      <x:c r="D471" s="43"/>
      <x:c r="E471" s="39" t="str">
        <x:f>IF(A471="","",MAX(0,(D471-C471)*1440))</x:f>
      </x:c>
      <x:c r="F471" s="29" t="str">
        <x:f>IF(B471="","",IFERROR(INDEX('05_BAO_CAO_NGAY'!$D$6:$D$505,MATCH(B471,'05_BAO_CAO_NGAY'!$A$6:$A$505,0)),""))</x:f>
      </x:c>
      <x:c r="G471" s="29" t="str">
        <x:f>IF(B471="","",IFERROR(INDEX('05_BAO_CAO_NGAY'!$E$6:$E$505,MATCH(B471,'05_BAO_CAO_NGAY'!$A$6:$A$505,0)),""))</x:f>
      </x:c>
      <x:c r="H471" s="29" t="str">
        <x:f>IF(B471="","",IFERROR(INDEX('05_BAO_CAO_NGAY'!$J$6:$J$505,MATCH(B471,'05_BAO_CAO_NGAY'!$A$6:$A$505,0)),""))</x:f>
      </x:c>
      <x:c r="I471" s="29" t="str">
        <x:f>IF(B471="","",IFERROR(INDEX('05_BAO_CAO_NGAY'!$M$6:$M$505,MATCH(B471,'05_BAO_CAO_NGAY'!$A$6:$A$505,0)),""))</x:f>
      </x:c>
      <x:c r="J471" s="21"/>
      <x:c r="K471" s="29" t="str">
        <x:f>IF(J471="","",IFERROR(INDEX(DM_LY_DO_DUNG!$C$6:$C$105,MATCH(J471,DM_LY_DO_DUNG!$A$6:$A$105,0)),""))</x:f>
      </x:c>
      <x:c r="L471" s="21"/>
      <x:c r="M471" s="21"/>
      <x:c r="N471" s="21"/>
      <x:c r="O471" s="21"/>
      <x:c r="P471" s="21"/>
      <x:c r="Q471" s="43"/>
      <x:c r="R471" s="29" t="str">
        <x:f>IF(A471="","",IF(OR(B471="",C471="",D471="",J471=""),"Thiếu dữ liệu",IF(D471&lt;C471,"Sai thời gian",IF(AND(P471="Đã đóng",Q471=""),"Thiếu thời điểm đóng","Hợp lệ"))))</x:f>
      </x:c>
    </x:row>
    <x:row r="472">
      <x:c r="A472" s="21"/>
      <x:c r="B472" s="21"/>
      <x:c r="C472" s="43"/>
      <x:c r="D472" s="43"/>
      <x:c r="E472" s="39" t="str">
        <x:f>IF(A472="","",MAX(0,(D472-C472)*1440))</x:f>
      </x:c>
      <x:c r="F472" s="29" t="str">
        <x:f>IF(B472="","",IFERROR(INDEX('05_BAO_CAO_NGAY'!$D$6:$D$505,MATCH(B472,'05_BAO_CAO_NGAY'!$A$6:$A$505,0)),""))</x:f>
      </x:c>
      <x:c r="G472" s="29" t="str">
        <x:f>IF(B472="","",IFERROR(INDEX('05_BAO_CAO_NGAY'!$E$6:$E$505,MATCH(B472,'05_BAO_CAO_NGAY'!$A$6:$A$505,0)),""))</x:f>
      </x:c>
      <x:c r="H472" s="29" t="str">
        <x:f>IF(B472="","",IFERROR(INDEX('05_BAO_CAO_NGAY'!$J$6:$J$505,MATCH(B472,'05_BAO_CAO_NGAY'!$A$6:$A$505,0)),""))</x:f>
      </x:c>
      <x:c r="I472" s="29" t="str">
        <x:f>IF(B472="","",IFERROR(INDEX('05_BAO_CAO_NGAY'!$M$6:$M$505,MATCH(B472,'05_BAO_CAO_NGAY'!$A$6:$A$505,0)),""))</x:f>
      </x:c>
      <x:c r="J472" s="21"/>
      <x:c r="K472" s="29" t="str">
        <x:f>IF(J472="","",IFERROR(INDEX(DM_LY_DO_DUNG!$C$6:$C$105,MATCH(J472,DM_LY_DO_DUNG!$A$6:$A$105,0)),""))</x:f>
      </x:c>
      <x:c r="L472" s="21"/>
      <x:c r="M472" s="21"/>
      <x:c r="N472" s="21"/>
      <x:c r="O472" s="21"/>
      <x:c r="P472" s="21"/>
      <x:c r="Q472" s="43"/>
      <x:c r="R472" s="29" t="str">
        <x:f>IF(A472="","",IF(OR(B472="",C472="",D472="",J472=""),"Thiếu dữ liệu",IF(D472&lt;C472,"Sai thời gian",IF(AND(P472="Đã đóng",Q472=""),"Thiếu thời điểm đóng","Hợp lệ"))))</x:f>
      </x:c>
    </x:row>
    <x:row r="473">
      <x:c r="A473" s="21"/>
      <x:c r="B473" s="21"/>
      <x:c r="C473" s="43"/>
      <x:c r="D473" s="43"/>
      <x:c r="E473" s="39" t="str">
        <x:f>IF(A473="","",MAX(0,(D473-C473)*1440))</x:f>
      </x:c>
      <x:c r="F473" s="29" t="str">
        <x:f>IF(B473="","",IFERROR(INDEX('05_BAO_CAO_NGAY'!$D$6:$D$505,MATCH(B473,'05_BAO_CAO_NGAY'!$A$6:$A$505,0)),""))</x:f>
      </x:c>
      <x:c r="G473" s="29" t="str">
        <x:f>IF(B473="","",IFERROR(INDEX('05_BAO_CAO_NGAY'!$E$6:$E$505,MATCH(B473,'05_BAO_CAO_NGAY'!$A$6:$A$505,0)),""))</x:f>
      </x:c>
      <x:c r="H473" s="29" t="str">
        <x:f>IF(B473="","",IFERROR(INDEX('05_BAO_CAO_NGAY'!$J$6:$J$505,MATCH(B473,'05_BAO_CAO_NGAY'!$A$6:$A$505,0)),""))</x:f>
      </x:c>
      <x:c r="I473" s="29" t="str">
        <x:f>IF(B473="","",IFERROR(INDEX('05_BAO_CAO_NGAY'!$M$6:$M$505,MATCH(B473,'05_BAO_CAO_NGAY'!$A$6:$A$505,0)),""))</x:f>
      </x:c>
      <x:c r="J473" s="21"/>
      <x:c r="K473" s="29" t="str">
        <x:f>IF(J473="","",IFERROR(INDEX(DM_LY_DO_DUNG!$C$6:$C$105,MATCH(J473,DM_LY_DO_DUNG!$A$6:$A$105,0)),""))</x:f>
      </x:c>
      <x:c r="L473" s="21"/>
      <x:c r="M473" s="21"/>
      <x:c r="N473" s="21"/>
      <x:c r="O473" s="21"/>
      <x:c r="P473" s="21"/>
      <x:c r="Q473" s="43"/>
      <x:c r="R473" s="29" t="str">
        <x:f>IF(A473="","",IF(OR(B473="",C473="",D473="",J473=""),"Thiếu dữ liệu",IF(D473&lt;C473,"Sai thời gian",IF(AND(P473="Đã đóng",Q473=""),"Thiếu thời điểm đóng","Hợp lệ"))))</x:f>
      </x:c>
    </x:row>
    <x:row r="474">
      <x:c r="A474" s="21"/>
      <x:c r="B474" s="21"/>
      <x:c r="C474" s="43"/>
      <x:c r="D474" s="43"/>
      <x:c r="E474" s="39" t="str">
        <x:f>IF(A474="","",MAX(0,(D474-C474)*1440))</x:f>
      </x:c>
      <x:c r="F474" s="29" t="str">
        <x:f>IF(B474="","",IFERROR(INDEX('05_BAO_CAO_NGAY'!$D$6:$D$505,MATCH(B474,'05_BAO_CAO_NGAY'!$A$6:$A$505,0)),""))</x:f>
      </x:c>
      <x:c r="G474" s="29" t="str">
        <x:f>IF(B474="","",IFERROR(INDEX('05_BAO_CAO_NGAY'!$E$6:$E$505,MATCH(B474,'05_BAO_CAO_NGAY'!$A$6:$A$505,0)),""))</x:f>
      </x:c>
      <x:c r="H474" s="29" t="str">
        <x:f>IF(B474="","",IFERROR(INDEX('05_BAO_CAO_NGAY'!$J$6:$J$505,MATCH(B474,'05_BAO_CAO_NGAY'!$A$6:$A$505,0)),""))</x:f>
      </x:c>
      <x:c r="I474" s="29" t="str">
        <x:f>IF(B474="","",IFERROR(INDEX('05_BAO_CAO_NGAY'!$M$6:$M$505,MATCH(B474,'05_BAO_CAO_NGAY'!$A$6:$A$505,0)),""))</x:f>
      </x:c>
      <x:c r="J474" s="21"/>
      <x:c r="K474" s="29" t="str">
        <x:f>IF(J474="","",IFERROR(INDEX(DM_LY_DO_DUNG!$C$6:$C$105,MATCH(J474,DM_LY_DO_DUNG!$A$6:$A$105,0)),""))</x:f>
      </x:c>
      <x:c r="L474" s="21"/>
      <x:c r="M474" s="21"/>
      <x:c r="N474" s="21"/>
      <x:c r="O474" s="21"/>
      <x:c r="P474" s="21"/>
      <x:c r="Q474" s="43"/>
      <x:c r="R474" s="29" t="str">
        <x:f>IF(A474="","",IF(OR(B474="",C474="",D474="",J474=""),"Thiếu dữ liệu",IF(D474&lt;C474,"Sai thời gian",IF(AND(P474="Đã đóng",Q474=""),"Thiếu thời điểm đóng","Hợp lệ"))))</x:f>
      </x:c>
    </x:row>
    <x:row r="475">
      <x:c r="A475" s="21"/>
      <x:c r="B475" s="21"/>
      <x:c r="C475" s="43"/>
      <x:c r="D475" s="43"/>
      <x:c r="E475" s="39" t="str">
        <x:f>IF(A475="","",MAX(0,(D475-C475)*1440))</x:f>
      </x:c>
      <x:c r="F475" s="29" t="str">
        <x:f>IF(B475="","",IFERROR(INDEX('05_BAO_CAO_NGAY'!$D$6:$D$505,MATCH(B475,'05_BAO_CAO_NGAY'!$A$6:$A$505,0)),""))</x:f>
      </x:c>
      <x:c r="G475" s="29" t="str">
        <x:f>IF(B475="","",IFERROR(INDEX('05_BAO_CAO_NGAY'!$E$6:$E$505,MATCH(B475,'05_BAO_CAO_NGAY'!$A$6:$A$505,0)),""))</x:f>
      </x:c>
      <x:c r="H475" s="29" t="str">
        <x:f>IF(B475="","",IFERROR(INDEX('05_BAO_CAO_NGAY'!$J$6:$J$505,MATCH(B475,'05_BAO_CAO_NGAY'!$A$6:$A$505,0)),""))</x:f>
      </x:c>
      <x:c r="I475" s="29" t="str">
        <x:f>IF(B475="","",IFERROR(INDEX('05_BAO_CAO_NGAY'!$M$6:$M$505,MATCH(B475,'05_BAO_CAO_NGAY'!$A$6:$A$505,0)),""))</x:f>
      </x:c>
      <x:c r="J475" s="21"/>
      <x:c r="K475" s="29" t="str">
        <x:f>IF(J475="","",IFERROR(INDEX(DM_LY_DO_DUNG!$C$6:$C$105,MATCH(J475,DM_LY_DO_DUNG!$A$6:$A$105,0)),""))</x:f>
      </x:c>
      <x:c r="L475" s="21"/>
      <x:c r="M475" s="21"/>
      <x:c r="N475" s="21"/>
      <x:c r="O475" s="21"/>
      <x:c r="P475" s="21"/>
      <x:c r="Q475" s="43"/>
      <x:c r="R475" s="29" t="str">
        <x:f>IF(A475="","",IF(OR(B475="",C475="",D475="",J475=""),"Thiếu dữ liệu",IF(D475&lt;C475,"Sai thời gian",IF(AND(P475="Đã đóng",Q475=""),"Thiếu thời điểm đóng","Hợp lệ"))))</x:f>
      </x:c>
    </x:row>
    <x:row r="476">
      <x:c r="A476" s="21"/>
      <x:c r="B476" s="21"/>
      <x:c r="C476" s="43"/>
      <x:c r="D476" s="43"/>
      <x:c r="E476" s="39" t="str">
        <x:f>IF(A476="","",MAX(0,(D476-C476)*1440))</x:f>
      </x:c>
      <x:c r="F476" s="29" t="str">
        <x:f>IF(B476="","",IFERROR(INDEX('05_BAO_CAO_NGAY'!$D$6:$D$505,MATCH(B476,'05_BAO_CAO_NGAY'!$A$6:$A$505,0)),""))</x:f>
      </x:c>
      <x:c r="G476" s="29" t="str">
        <x:f>IF(B476="","",IFERROR(INDEX('05_BAO_CAO_NGAY'!$E$6:$E$505,MATCH(B476,'05_BAO_CAO_NGAY'!$A$6:$A$505,0)),""))</x:f>
      </x:c>
      <x:c r="H476" s="29" t="str">
        <x:f>IF(B476="","",IFERROR(INDEX('05_BAO_CAO_NGAY'!$J$6:$J$505,MATCH(B476,'05_BAO_CAO_NGAY'!$A$6:$A$505,0)),""))</x:f>
      </x:c>
      <x:c r="I476" s="29" t="str">
        <x:f>IF(B476="","",IFERROR(INDEX('05_BAO_CAO_NGAY'!$M$6:$M$505,MATCH(B476,'05_BAO_CAO_NGAY'!$A$6:$A$505,0)),""))</x:f>
      </x:c>
      <x:c r="J476" s="21"/>
      <x:c r="K476" s="29" t="str">
        <x:f>IF(J476="","",IFERROR(INDEX(DM_LY_DO_DUNG!$C$6:$C$105,MATCH(J476,DM_LY_DO_DUNG!$A$6:$A$105,0)),""))</x:f>
      </x:c>
      <x:c r="L476" s="21"/>
      <x:c r="M476" s="21"/>
      <x:c r="N476" s="21"/>
      <x:c r="O476" s="21"/>
      <x:c r="P476" s="21"/>
      <x:c r="Q476" s="43"/>
      <x:c r="R476" s="29" t="str">
        <x:f>IF(A476="","",IF(OR(B476="",C476="",D476="",J476=""),"Thiếu dữ liệu",IF(D476&lt;C476,"Sai thời gian",IF(AND(P476="Đã đóng",Q476=""),"Thiếu thời điểm đóng","Hợp lệ"))))</x:f>
      </x:c>
    </x:row>
    <x:row r="477">
      <x:c r="A477" s="21"/>
      <x:c r="B477" s="21"/>
      <x:c r="C477" s="43"/>
      <x:c r="D477" s="43"/>
      <x:c r="E477" s="39" t="str">
        <x:f>IF(A477="","",MAX(0,(D477-C477)*1440))</x:f>
      </x:c>
      <x:c r="F477" s="29" t="str">
        <x:f>IF(B477="","",IFERROR(INDEX('05_BAO_CAO_NGAY'!$D$6:$D$505,MATCH(B477,'05_BAO_CAO_NGAY'!$A$6:$A$505,0)),""))</x:f>
      </x:c>
      <x:c r="G477" s="29" t="str">
        <x:f>IF(B477="","",IFERROR(INDEX('05_BAO_CAO_NGAY'!$E$6:$E$505,MATCH(B477,'05_BAO_CAO_NGAY'!$A$6:$A$505,0)),""))</x:f>
      </x:c>
      <x:c r="H477" s="29" t="str">
        <x:f>IF(B477="","",IFERROR(INDEX('05_BAO_CAO_NGAY'!$J$6:$J$505,MATCH(B477,'05_BAO_CAO_NGAY'!$A$6:$A$505,0)),""))</x:f>
      </x:c>
      <x:c r="I477" s="29" t="str">
        <x:f>IF(B477="","",IFERROR(INDEX('05_BAO_CAO_NGAY'!$M$6:$M$505,MATCH(B477,'05_BAO_CAO_NGAY'!$A$6:$A$505,0)),""))</x:f>
      </x:c>
      <x:c r="J477" s="21"/>
      <x:c r="K477" s="29" t="str">
        <x:f>IF(J477="","",IFERROR(INDEX(DM_LY_DO_DUNG!$C$6:$C$105,MATCH(J477,DM_LY_DO_DUNG!$A$6:$A$105,0)),""))</x:f>
      </x:c>
      <x:c r="L477" s="21"/>
      <x:c r="M477" s="21"/>
      <x:c r="N477" s="21"/>
      <x:c r="O477" s="21"/>
      <x:c r="P477" s="21"/>
      <x:c r="Q477" s="43"/>
      <x:c r="R477" s="29" t="str">
        <x:f>IF(A477="","",IF(OR(B477="",C477="",D477="",J477=""),"Thiếu dữ liệu",IF(D477&lt;C477,"Sai thời gian",IF(AND(P477="Đã đóng",Q477=""),"Thiếu thời điểm đóng","Hợp lệ"))))</x:f>
      </x:c>
    </x:row>
    <x:row r="478">
      <x:c r="A478" s="21"/>
      <x:c r="B478" s="21"/>
      <x:c r="C478" s="43"/>
      <x:c r="D478" s="43"/>
      <x:c r="E478" s="39" t="str">
        <x:f>IF(A478="","",MAX(0,(D478-C478)*1440))</x:f>
      </x:c>
      <x:c r="F478" s="29" t="str">
        <x:f>IF(B478="","",IFERROR(INDEX('05_BAO_CAO_NGAY'!$D$6:$D$505,MATCH(B478,'05_BAO_CAO_NGAY'!$A$6:$A$505,0)),""))</x:f>
      </x:c>
      <x:c r="G478" s="29" t="str">
        <x:f>IF(B478="","",IFERROR(INDEX('05_BAO_CAO_NGAY'!$E$6:$E$505,MATCH(B478,'05_BAO_CAO_NGAY'!$A$6:$A$505,0)),""))</x:f>
      </x:c>
      <x:c r="H478" s="29" t="str">
        <x:f>IF(B478="","",IFERROR(INDEX('05_BAO_CAO_NGAY'!$J$6:$J$505,MATCH(B478,'05_BAO_CAO_NGAY'!$A$6:$A$505,0)),""))</x:f>
      </x:c>
      <x:c r="I478" s="29" t="str">
        <x:f>IF(B478="","",IFERROR(INDEX('05_BAO_CAO_NGAY'!$M$6:$M$505,MATCH(B478,'05_BAO_CAO_NGAY'!$A$6:$A$505,0)),""))</x:f>
      </x:c>
      <x:c r="J478" s="21"/>
      <x:c r="K478" s="29" t="str">
        <x:f>IF(J478="","",IFERROR(INDEX(DM_LY_DO_DUNG!$C$6:$C$105,MATCH(J478,DM_LY_DO_DUNG!$A$6:$A$105,0)),""))</x:f>
      </x:c>
      <x:c r="L478" s="21"/>
      <x:c r="M478" s="21"/>
      <x:c r="N478" s="21"/>
      <x:c r="O478" s="21"/>
      <x:c r="P478" s="21"/>
      <x:c r="Q478" s="43"/>
      <x:c r="R478" s="29" t="str">
        <x:f>IF(A478="","",IF(OR(B478="",C478="",D478="",J478=""),"Thiếu dữ liệu",IF(D478&lt;C478,"Sai thời gian",IF(AND(P478="Đã đóng",Q478=""),"Thiếu thời điểm đóng","Hợp lệ"))))</x:f>
      </x:c>
    </x:row>
    <x:row r="479">
      <x:c r="A479" s="21"/>
      <x:c r="B479" s="21"/>
      <x:c r="C479" s="43"/>
      <x:c r="D479" s="43"/>
      <x:c r="E479" s="39" t="str">
        <x:f>IF(A479="","",MAX(0,(D479-C479)*1440))</x:f>
      </x:c>
      <x:c r="F479" s="29" t="str">
        <x:f>IF(B479="","",IFERROR(INDEX('05_BAO_CAO_NGAY'!$D$6:$D$505,MATCH(B479,'05_BAO_CAO_NGAY'!$A$6:$A$505,0)),""))</x:f>
      </x:c>
      <x:c r="G479" s="29" t="str">
        <x:f>IF(B479="","",IFERROR(INDEX('05_BAO_CAO_NGAY'!$E$6:$E$505,MATCH(B479,'05_BAO_CAO_NGAY'!$A$6:$A$505,0)),""))</x:f>
      </x:c>
      <x:c r="H479" s="29" t="str">
        <x:f>IF(B479="","",IFERROR(INDEX('05_BAO_CAO_NGAY'!$J$6:$J$505,MATCH(B479,'05_BAO_CAO_NGAY'!$A$6:$A$505,0)),""))</x:f>
      </x:c>
      <x:c r="I479" s="29" t="str">
        <x:f>IF(B479="","",IFERROR(INDEX('05_BAO_CAO_NGAY'!$M$6:$M$505,MATCH(B479,'05_BAO_CAO_NGAY'!$A$6:$A$505,0)),""))</x:f>
      </x:c>
      <x:c r="J479" s="21"/>
      <x:c r="K479" s="29" t="str">
        <x:f>IF(J479="","",IFERROR(INDEX(DM_LY_DO_DUNG!$C$6:$C$105,MATCH(J479,DM_LY_DO_DUNG!$A$6:$A$105,0)),""))</x:f>
      </x:c>
      <x:c r="L479" s="21"/>
      <x:c r="M479" s="21"/>
      <x:c r="N479" s="21"/>
      <x:c r="O479" s="21"/>
      <x:c r="P479" s="21"/>
      <x:c r="Q479" s="43"/>
      <x:c r="R479" s="29" t="str">
        <x:f>IF(A479="","",IF(OR(B479="",C479="",D479="",J479=""),"Thiếu dữ liệu",IF(D479&lt;C479,"Sai thời gian",IF(AND(P479="Đã đóng",Q479=""),"Thiếu thời điểm đóng","Hợp lệ"))))</x:f>
      </x:c>
    </x:row>
    <x:row r="480">
      <x:c r="A480" s="21"/>
      <x:c r="B480" s="21"/>
      <x:c r="C480" s="43"/>
      <x:c r="D480" s="43"/>
      <x:c r="E480" s="39" t="str">
        <x:f>IF(A480="","",MAX(0,(D480-C480)*1440))</x:f>
      </x:c>
      <x:c r="F480" s="29" t="str">
        <x:f>IF(B480="","",IFERROR(INDEX('05_BAO_CAO_NGAY'!$D$6:$D$505,MATCH(B480,'05_BAO_CAO_NGAY'!$A$6:$A$505,0)),""))</x:f>
      </x:c>
      <x:c r="G480" s="29" t="str">
        <x:f>IF(B480="","",IFERROR(INDEX('05_BAO_CAO_NGAY'!$E$6:$E$505,MATCH(B480,'05_BAO_CAO_NGAY'!$A$6:$A$505,0)),""))</x:f>
      </x:c>
      <x:c r="H480" s="29" t="str">
        <x:f>IF(B480="","",IFERROR(INDEX('05_BAO_CAO_NGAY'!$J$6:$J$505,MATCH(B480,'05_BAO_CAO_NGAY'!$A$6:$A$505,0)),""))</x:f>
      </x:c>
      <x:c r="I480" s="29" t="str">
        <x:f>IF(B480="","",IFERROR(INDEX('05_BAO_CAO_NGAY'!$M$6:$M$505,MATCH(B480,'05_BAO_CAO_NGAY'!$A$6:$A$505,0)),""))</x:f>
      </x:c>
      <x:c r="J480" s="21"/>
      <x:c r="K480" s="29" t="str">
        <x:f>IF(J480="","",IFERROR(INDEX(DM_LY_DO_DUNG!$C$6:$C$105,MATCH(J480,DM_LY_DO_DUNG!$A$6:$A$105,0)),""))</x:f>
      </x:c>
      <x:c r="L480" s="21"/>
      <x:c r="M480" s="21"/>
      <x:c r="N480" s="21"/>
      <x:c r="O480" s="21"/>
      <x:c r="P480" s="21"/>
      <x:c r="Q480" s="43"/>
      <x:c r="R480" s="29" t="str">
        <x:f>IF(A480="","",IF(OR(B480="",C480="",D480="",J480=""),"Thiếu dữ liệu",IF(D480&lt;C480,"Sai thời gian",IF(AND(P480="Đã đóng",Q480=""),"Thiếu thời điểm đóng","Hợp lệ"))))</x:f>
      </x:c>
    </x:row>
    <x:row r="481">
      <x:c r="A481" s="21"/>
      <x:c r="B481" s="21"/>
      <x:c r="C481" s="43"/>
      <x:c r="D481" s="43"/>
      <x:c r="E481" s="39" t="str">
        <x:f>IF(A481="","",MAX(0,(D481-C481)*1440))</x:f>
      </x:c>
      <x:c r="F481" s="29" t="str">
        <x:f>IF(B481="","",IFERROR(INDEX('05_BAO_CAO_NGAY'!$D$6:$D$505,MATCH(B481,'05_BAO_CAO_NGAY'!$A$6:$A$505,0)),""))</x:f>
      </x:c>
      <x:c r="G481" s="29" t="str">
        <x:f>IF(B481="","",IFERROR(INDEX('05_BAO_CAO_NGAY'!$E$6:$E$505,MATCH(B481,'05_BAO_CAO_NGAY'!$A$6:$A$505,0)),""))</x:f>
      </x:c>
      <x:c r="H481" s="29" t="str">
        <x:f>IF(B481="","",IFERROR(INDEX('05_BAO_CAO_NGAY'!$J$6:$J$505,MATCH(B481,'05_BAO_CAO_NGAY'!$A$6:$A$505,0)),""))</x:f>
      </x:c>
      <x:c r="I481" s="29" t="str">
        <x:f>IF(B481="","",IFERROR(INDEX('05_BAO_CAO_NGAY'!$M$6:$M$505,MATCH(B481,'05_BAO_CAO_NGAY'!$A$6:$A$505,0)),""))</x:f>
      </x:c>
      <x:c r="J481" s="21"/>
      <x:c r="K481" s="29" t="str">
        <x:f>IF(J481="","",IFERROR(INDEX(DM_LY_DO_DUNG!$C$6:$C$105,MATCH(J481,DM_LY_DO_DUNG!$A$6:$A$105,0)),""))</x:f>
      </x:c>
      <x:c r="L481" s="21"/>
      <x:c r="M481" s="21"/>
      <x:c r="N481" s="21"/>
      <x:c r="O481" s="21"/>
      <x:c r="P481" s="21"/>
      <x:c r="Q481" s="43"/>
      <x:c r="R481" s="29" t="str">
        <x:f>IF(A481="","",IF(OR(B481="",C481="",D481="",J481=""),"Thiếu dữ liệu",IF(D481&lt;C481,"Sai thời gian",IF(AND(P481="Đã đóng",Q481=""),"Thiếu thời điểm đóng","Hợp lệ"))))</x:f>
      </x:c>
    </x:row>
    <x:row r="482">
      <x:c r="A482" s="21"/>
      <x:c r="B482" s="21"/>
      <x:c r="C482" s="43"/>
      <x:c r="D482" s="43"/>
      <x:c r="E482" s="39" t="str">
        <x:f>IF(A482="","",MAX(0,(D482-C482)*1440))</x:f>
      </x:c>
      <x:c r="F482" s="29" t="str">
        <x:f>IF(B482="","",IFERROR(INDEX('05_BAO_CAO_NGAY'!$D$6:$D$505,MATCH(B482,'05_BAO_CAO_NGAY'!$A$6:$A$505,0)),""))</x:f>
      </x:c>
      <x:c r="G482" s="29" t="str">
        <x:f>IF(B482="","",IFERROR(INDEX('05_BAO_CAO_NGAY'!$E$6:$E$505,MATCH(B482,'05_BAO_CAO_NGAY'!$A$6:$A$505,0)),""))</x:f>
      </x:c>
      <x:c r="H482" s="29" t="str">
        <x:f>IF(B482="","",IFERROR(INDEX('05_BAO_CAO_NGAY'!$J$6:$J$505,MATCH(B482,'05_BAO_CAO_NGAY'!$A$6:$A$505,0)),""))</x:f>
      </x:c>
      <x:c r="I482" s="29" t="str">
        <x:f>IF(B482="","",IFERROR(INDEX('05_BAO_CAO_NGAY'!$M$6:$M$505,MATCH(B482,'05_BAO_CAO_NGAY'!$A$6:$A$505,0)),""))</x:f>
      </x:c>
      <x:c r="J482" s="21"/>
      <x:c r="K482" s="29" t="str">
        <x:f>IF(J482="","",IFERROR(INDEX(DM_LY_DO_DUNG!$C$6:$C$105,MATCH(J482,DM_LY_DO_DUNG!$A$6:$A$105,0)),""))</x:f>
      </x:c>
      <x:c r="L482" s="21"/>
      <x:c r="M482" s="21"/>
      <x:c r="N482" s="21"/>
      <x:c r="O482" s="21"/>
      <x:c r="P482" s="21"/>
      <x:c r="Q482" s="43"/>
      <x:c r="R482" s="29" t="str">
        <x:f>IF(A482="","",IF(OR(B482="",C482="",D482="",J482=""),"Thiếu dữ liệu",IF(D482&lt;C482,"Sai thời gian",IF(AND(P482="Đã đóng",Q482=""),"Thiếu thời điểm đóng","Hợp lệ"))))</x:f>
      </x:c>
    </x:row>
    <x:row r="483">
      <x:c r="A483" s="21"/>
      <x:c r="B483" s="21"/>
      <x:c r="C483" s="43"/>
      <x:c r="D483" s="43"/>
      <x:c r="E483" s="39" t="str">
        <x:f>IF(A483="","",MAX(0,(D483-C483)*1440))</x:f>
      </x:c>
      <x:c r="F483" s="29" t="str">
        <x:f>IF(B483="","",IFERROR(INDEX('05_BAO_CAO_NGAY'!$D$6:$D$505,MATCH(B483,'05_BAO_CAO_NGAY'!$A$6:$A$505,0)),""))</x:f>
      </x:c>
      <x:c r="G483" s="29" t="str">
        <x:f>IF(B483="","",IFERROR(INDEX('05_BAO_CAO_NGAY'!$E$6:$E$505,MATCH(B483,'05_BAO_CAO_NGAY'!$A$6:$A$505,0)),""))</x:f>
      </x:c>
      <x:c r="H483" s="29" t="str">
        <x:f>IF(B483="","",IFERROR(INDEX('05_BAO_CAO_NGAY'!$J$6:$J$505,MATCH(B483,'05_BAO_CAO_NGAY'!$A$6:$A$505,0)),""))</x:f>
      </x:c>
      <x:c r="I483" s="29" t="str">
        <x:f>IF(B483="","",IFERROR(INDEX('05_BAO_CAO_NGAY'!$M$6:$M$505,MATCH(B483,'05_BAO_CAO_NGAY'!$A$6:$A$505,0)),""))</x:f>
      </x:c>
      <x:c r="J483" s="21"/>
      <x:c r="K483" s="29" t="str">
        <x:f>IF(J483="","",IFERROR(INDEX(DM_LY_DO_DUNG!$C$6:$C$105,MATCH(J483,DM_LY_DO_DUNG!$A$6:$A$105,0)),""))</x:f>
      </x:c>
      <x:c r="L483" s="21"/>
      <x:c r="M483" s="21"/>
      <x:c r="N483" s="21"/>
      <x:c r="O483" s="21"/>
      <x:c r="P483" s="21"/>
      <x:c r="Q483" s="43"/>
      <x:c r="R483" s="29" t="str">
        <x:f>IF(A483="","",IF(OR(B483="",C483="",D483="",J483=""),"Thiếu dữ liệu",IF(D483&lt;C483,"Sai thời gian",IF(AND(P483="Đã đóng",Q483=""),"Thiếu thời điểm đóng","Hợp lệ"))))</x:f>
      </x:c>
    </x:row>
    <x:row r="484">
      <x:c r="A484" s="21"/>
      <x:c r="B484" s="21"/>
      <x:c r="C484" s="43"/>
      <x:c r="D484" s="43"/>
      <x:c r="E484" s="39" t="str">
        <x:f>IF(A484="","",MAX(0,(D484-C484)*1440))</x:f>
      </x:c>
      <x:c r="F484" s="29" t="str">
        <x:f>IF(B484="","",IFERROR(INDEX('05_BAO_CAO_NGAY'!$D$6:$D$505,MATCH(B484,'05_BAO_CAO_NGAY'!$A$6:$A$505,0)),""))</x:f>
      </x:c>
      <x:c r="G484" s="29" t="str">
        <x:f>IF(B484="","",IFERROR(INDEX('05_BAO_CAO_NGAY'!$E$6:$E$505,MATCH(B484,'05_BAO_CAO_NGAY'!$A$6:$A$505,0)),""))</x:f>
      </x:c>
      <x:c r="H484" s="29" t="str">
        <x:f>IF(B484="","",IFERROR(INDEX('05_BAO_CAO_NGAY'!$J$6:$J$505,MATCH(B484,'05_BAO_CAO_NGAY'!$A$6:$A$505,0)),""))</x:f>
      </x:c>
      <x:c r="I484" s="29" t="str">
        <x:f>IF(B484="","",IFERROR(INDEX('05_BAO_CAO_NGAY'!$M$6:$M$505,MATCH(B484,'05_BAO_CAO_NGAY'!$A$6:$A$505,0)),""))</x:f>
      </x:c>
      <x:c r="J484" s="21"/>
      <x:c r="K484" s="29" t="str">
        <x:f>IF(J484="","",IFERROR(INDEX(DM_LY_DO_DUNG!$C$6:$C$105,MATCH(J484,DM_LY_DO_DUNG!$A$6:$A$105,0)),""))</x:f>
      </x:c>
      <x:c r="L484" s="21"/>
      <x:c r="M484" s="21"/>
      <x:c r="N484" s="21"/>
      <x:c r="O484" s="21"/>
      <x:c r="P484" s="21"/>
      <x:c r="Q484" s="43"/>
      <x:c r="R484" s="29" t="str">
        <x:f>IF(A484="","",IF(OR(B484="",C484="",D484="",J484=""),"Thiếu dữ liệu",IF(D484&lt;C484,"Sai thời gian",IF(AND(P484="Đã đóng",Q484=""),"Thiếu thời điểm đóng","Hợp lệ"))))</x:f>
      </x:c>
    </x:row>
    <x:row r="485">
      <x:c r="A485" s="21"/>
      <x:c r="B485" s="21"/>
      <x:c r="C485" s="43"/>
      <x:c r="D485" s="43"/>
      <x:c r="E485" s="39" t="str">
        <x:f>IF(A485="","",MAX(0,(D485-C485)*1440))</x:f>
      </x:c>
      <x:c r="F485" s="29" t="str">
        <x:f>IF(B485="","",IFERROR(INDEX('05_BAO_CAO_NGAY'!$D$6:$D$505,MATCH(B485,'05_BAO_CAO_NGAY'!$A$6:$A$505,0)),""))</x:f>
      </x:c>
      <x:c r="G485" s="29" t="str">
        <x:f>IF(B485="","",IFERROR(INDEX('05_BAO_CAO_NGAY'!$E$6:$E$505,MATCH(B485,'05_BAO_CAO_NGAY'!$A$6:$A$505,0)),""))</x:f>
      </x:c>
      <x:c r="H485" s="29" t="str">
        <x:f>IF(B485="","",IFERROR(INDEX('05_BAO_CAO_NGAY'!$J$6:$J$505,MATCH(B485,'05_BAO_CAO_NGAY'!$A$6:$A$505,0)),""))</x:f>
      </x:c>
      <x:c r="I485" s="29" t="str">
        <x:f>IF(B485="","",IFERROR(INDEX('05_BAO_CAO_NGAY'!$M$6:$M$505,MATCH(B485,'05_BAO_CAO_NGAY'!$A$6:$A$505,0)),""))</x:f>
      </x:c>
      <x:c r="J485" s="21"/>
      <x:c r="K485" s="29" t="str">
        <x:f>IF(J485="","",IFERROR(INDEX(DM_LY_DO_DUNG!$C$6:$C$105,MATCH(J485,DM_LY_DO_DUNG!$A$6:$A$105,0)),""))</x:f>
      </x:c>
      <x:c r="L485" s="21"/>
      <x:c r="M485" s="21"/>
      <x:c r="N485" s="21"/>
      <x:c r="O485" s="21"/>
      <x:c r="P485" s="21"/>
      <x:c r="Q485" s="43"/>
      <x:c r="R485" s="29" t="str">
        <x:f>IF(A485="","",IF(OR(B485="",C485="",D485="",J485=""),"Thiếu dữ liệu",IF(D485&lt;C485,"Sai thời gian",IF(AND(P485="Đã đóng",Q485=""),"Thiếu thời điểm đóng","Hợp lệ"))))</x:f>
      </x:c>
    </x:row>
    <x:row r="486">
      <x:c r="A486" s="21"/>
      <x:c r="B486" s="21"/>
      <x:c r="C486" s="43"/>
      <x:c r="D486" s="43"/>
      <x:c r="E486" s="39" t="str">
        <x:f>IF(A486="","",MAX(0,(D486-C486)*1440))</x:f>
      </x:c>
      <x:c r="F486" s="29" t="str">
        <x:f>IF(B486="","",IFERROR(INDEX('05_BAO_CAO_NGAY'!$D$6:$D$505,MATCH(B486,'05_BAO_CAO_NGAY'!$A$6:$A$505,0)),""))</x:f>
      </x:c>
      <x:c r="G486" s="29" t="str">
        <x:f>IF(B486="","",IFERROR(INDEX('05_BAO_CAO_NGAY'!$E$6:$E$505,MATCH(B486,'05_BAO_CAO_NGAY'!$A$6:$A$505,0)),""))</x:f>
      </x:c>
      <x:c r="H486" s="29" t="str">
        <x:f>IF(B486="","",IFERROR(INDEX('05_BAO_CAO_NGAY'!$J$6:$J$505,MATCH(B486,'05_BAO_CAO_NGAY'!$A$6:$A$505,0)),""))</x:f>
      </x:c>
      <x:c r="I486" s="29" t="str">
        <x:f>IF(B486="","",IFERROR(INDEX('05_BAO_CAO_NGAY'!$M$6:$M$505,MATCH(B486,'05_BAO_CAO_NGAY'!$A$6:$A$505,0)),""))</x:f>
      </x:c>
      <x:c r="J486" s="21"/>
      <x:c r="K486" s="29" t="str">
        <x:f>IF(J486="","",IFERROR(INDEX(DM_LY_DO_DUNG!$C$6:$C$105,MATCH(J486,DM_LY_DO_DUNG!$A$6:$A$105,0)),""))</x:f>
      </x:c>
      <x:c r="L486" s="21"/>
      <x:c r="M486" s="21"/>
      <x:c r="N486" s="21"/>
      <x:c r="O486" s="21"/>
      <x:c r="P486" s="21"/>
      <x:c r="Q486" s="43"/>
      <x:c r="R486" s="29" t="str">
        <x:f>IF(A486="","",IF(OR(B486="",C486="",D486="",J486=""),"Thiếu dữ liệu",IF(D486&lt;C486,"Sai thời gian",IF(AND(P486="Đã đóng",Q486=""),"Thiếu thời điểm đóng","Hợp lệ"))))</x:f>
      </x:c>
    </x:row>
    <x:row r="487">
      <x:c r="A487" s="21"/>
      <x:c r="B487" s="21"/>
      <x:c r="C487" s="43"/>
      <x:c r="D487" s="43"/>
      <x:c r="E487" s="39" t="str">
        <x:f>IF(A487="","",MAX(0,(D487-C487)*1440))</x:f>
      </x:c>
      <x:c r="F487" s="29" t="str">
        <x:f>IF(B487="","",IFERROR(INDEX('05_BAO_CAO_NGAY'!$D$6:$D$505,MATCH(B487,'05_BAO_CAO_NGAY'!$A$6:$A$505,0)),""))</x:f>
      </x:c>
      <x:c r="G487" s="29" t="str">
        <x:f>IF(B487="","",IFERROR(INDEX('05_BAO_CAO_NGAY'!$E$6:$E$505,MATCH(B487,'05_BAO_CAO_NGAY'!$A$6:$A$505,0)),""))</x:f>
      </x:c>
      <x:c r="H487" s="29" t="str">
        <x:f>IF(B487="","",IFERROR(INDEX('05_BAO_CAO_NGAY'!$J$6:$J$505,MATCH(B487,'05_BAO_CAO_NGAY'!$A$6:$A$505,0)),""))</x:f>
      </x:c>
      <x:c r="I487" s="29" t="str">
        <x:f>IF(B487="","",IFERROR(INDEX('05_BAO_CAO_NGAY'!$M$6:$M$505,MATCH(B487,'05_BAO_CAO_NGAY'!$A$6:$A$505,0)),""))</x:f>
      </x:c>
      <x:c r="J487" s="21"/>
      <x:c r="K487" s="29" t="str">
        <x:f>IF(J487="","",IFERROR(INDEX(DM_LY_DO_DUNG!$C$6:$C$105,MATCH(J487,DM_LY_DO_DUNG!$A$6:$A$105,0)),""))</x:f>
      </x:c>
      <x:c r="L487" s="21"/>
      <x:c r="M487" s="21"/>
      <x:c r="N487" s="21"/>
      <x:c r="O487" s="21"/>
      <x:c r="P487" s="21"/>
      <x:c r="Q487" s="43"/>
      <x:c r="R487" s="29" t="str">
        <x:f>IF(A487="","",IF(OR(B487="",C487="",D487="",J487=""),"Thiếu dữ liệu",IF(D487&lt;C487,"Sai thời gian",IF(AND(P487="Đã đóng",Q487=""),"Thiếu thời điểm đóng","Hợp lệ"))))</x:f>
      </x:c>
    </x:row>
    <x:row r="488">
      <x:c r="A488" s="21"/>
      <x:c r="B488" s="21"/>
      <x:c r="C488" s="43"/>
      <x:c r="D488" s="43"/>
      <x:c r="E488" s="39" t="str">
        <x:f>IF(A488="","",MAX(0,(D488-C488)*1440))</x:f>
      </x:c>
      <x:c r="F488" s="29" t="str">
        <x:f>IF(B488="","",IFERROR(INDEX('05_BAO_CAO_NGAY'!$D$6:$D$505,MATCH(B488,'05_BAO_CAO_NGAY'!$A$6:$A$505,0)),""))</x:f>
      </x:c>
      <x:c r="G488" s="29" t="str">
        <x:f>IF(B488="","",IFERROR(INDEX('05_BAO_CAO_NGAY'!$E$6:$E$505,MATCH(B488,'05_BAO_CAO_NGAY'!$A$6:$A$505,0)),""))</x:f>
      </x:c>
      <x:c r="H488" s="29" t="str">
        <x:f>IF(B488="","",IFERROR(INDEX('05_BAO_CAO_NGAY'!$J$6:$J$505,MATCH(B488,'05_BAO_CAO_NGAY'!$A$6:$A$505,0)),""))</x:f>
      </x:c>
      <x:c r="I488" s="29" t="str">
        <x:f>IF(B488="","",IFERROR(INDEX('05_BAO_CAO_NGAY'!$M$6:$M$505,MATCH(B488,'05_BAO_CAO_NGAY'!$A$6:$A$505,0)),""))</x:f>
      </x:c>
      <x:c r="J488" s="21"/>
      <x:c r="K488" s="29" t="str">
        <x:f>IF(J488="","",IFERROR(INDEX(DM_LY_DO_DUNG!$C$6:$C$105,MATCH(J488,DM_LY_DO_DUNG!$A$6:$A$105,0)),""))</x:f>
      </x:c>
      <x:c r="L488" s="21"/>
      <x:c r="M488" s="21"/>
      <x:c r="N488" s="21"/>
      <x:c r="O488" s="21"/>
      <x:c r="P488" s="21"/>
      <x:c r="Q488" s="43"/>
      <x:c r="R488" s="29" t="str">
        <x:f>IF(A488="","",IF(OR(B488="",C488="",D488="",J488=""),"Thiếu dữ liệu",IF(D488&lt;C488,"Sai thời gian",IF(AND(P488="Đã đóng",Q488=""),"Thiếu thời điểm đóng","Hợp lệ"))))</x:f>
      </x:c>
    </x:row>
    <x:row r="489">
      <x:c r="A489" s="21"/>
      <x:c r="B489" s="21"/>
      <x:c r="C489" s="43"/>
      <x:c r="D489" s="43"/>
      <x:c r="E489" s="39" t="str">
        <x:f>IF(A489="","",MAX(0,(D489-C489)*1440))</x:f>
      </x:c>
      <x:c r="F489" s="29" t="str">
        <x:f>IF(B489="","",IFERROR(INDEX('05_BAO_CAO_NGAY'!$D$6:$D$505,MATCH(B489,'05_BAO_CAO_NGAY'!$A$6:$A$505,0)),""))</x:f>
      </x:c>
      <x:c r="G489" s="29" t="str">
        <x:f>IF(B489="","",IFERROR(INDEX('05_BAO_CAO_NGAY'!$E$6:$E$505,MATCH(B489,'05_BAO_CAO_NGAY'!$A$6:$A$505,0)),""))</x:f>
      </x:c>
      <x:c r="H489" s="29" t="str">
        <x:f>IF(B489="","",IFERROR(INDEX('05_BAO_CAO_NGAY'!$J$6:$J$505,MATCH(B489,'05_BAO_CAO_NGAY'!$A$6:$A$505,0)),""))</x:f>
      </x:c>
      <x:c r="I489" s="29" t="str">
        <x:f>IF(B489="","",IFERROR(INDEX('05_BAO_CAO_NGAY'!$M$6:$M$505,MATCH(B489,'05_BAO_CAO_NGAY'!$A$6:$A$505,0)),""))</x:f>
      </x:c>
      <x:c r="J489" s="21"/>
      <x:c r="K489" s="29" t="str">
        <x:f>IF(J489="","",IFERROR(INDEX(DM_LY_DO_DUNG!$C$6:$C$105,MATCH(J489,DM_LY_DO_DUNG!$A$6:$A$105,0)),""))</x:f>
      </x:c>
      <x:c r="L489" s="21"/>
      <x:c r="M489" s="21"/>
      <x:c r="N489" s="21"/>
      <x:c r="O489" s="21"/>
      <x:c r="P489" s="21"/>
      <x:c r="Q489" s="43"/>
      <x:c r="R489" s="29" t="str">
        <x:f>IF(A489="","",IF(OR(B489="",C489="",D489="",J489=""),"Thiếu dữ liệu",IF(D489&lt;C489,"Sai thời gian",IF(AND(P489="Đã đóng",Q489=""),"Thiếu thời điểm đóng","Hợp lệ"))))</x:f>
      </x:c>
    </x:row>
    <x:row r="490">
      <x:c r="A490" s="21"/>
      <x:c r="B490" s="21"/>
      <x:c r="C490" s="43"/>
      <x:c r="D490" s="43"/>
      <x:c r="E490" s="39" t="str">
        <x:f>IF(A490="","",MAX(0,(D490-C490)*1440))</x:f>
      </x:c>
      <x:c r="F490" s="29" t="str">
        <x:f>IF(B490="","",IFERROR(INDEX('05_BAO_CAO_NGAY'!$D$6:$D$505,MATCH(B490,'05_BAO_CAO_NGAY'!$A$6:$A$505,0)),""))</x:f>
      </x:c>
      <x:c r="G490" s="29" t="str">
        <x:f>IF(B490="","",IFERROR(INDEX('05_BAO_CAO_NGAY'!$E$6:$E$505,MATCH(B490,'05_BAO_CAO_NGAY'!$A$6:$A$505,0)),""))</x:f>
      </x:c>
      <x:c r="H490" s="29" t="str">
        <x:f>IF(B490="","",IFERROR(INDEX('05_BAO_CAO_NGAY'!$J$6:$J$505,MATCH(B490,'05_BAO_CAO_NGAY'!$A$6:$A$505,0)),""))</x:f>
      </x:c>
      <x:c r="I490" s="29" t="str">
        <x:f>IF(B490="","",IFERROR(INDEX('05_BAO_CAO_NGAY'!$M$6:$M$505,MATCH(B490,'05_BAO_CAO_NGAY'!$A$6:$A$505,0)),""))</x:f>
      </x:c>
      <x:c r="J490" s="21"/>
      <x:c r="K490" s="29" t="str">
        <x:f>IF(J490="","",IFERROR(INDEX(DM_LY_DO_DUNG!$C$6:$C$105,MATCH(J490,DM_LY_DO_DUNG!$A$6:$A$105,0)),""))</x:f>
      </x:c>
      <x:c r="L490" s="21"/>
      <x:c r="M490" s="21"/>
      <x:c r="N490" s="21"/>
      <x:c r="O490" s="21"/>
      <x:c r="P490" s="21"/>
      <x:c r="Q490" s="43"/>
      <x:c r="R490" s="29" t="str">
        <x:f>IF(A490="","",IF(OR(B490="",C490="",D490="",J490=""),"Thiếu dữ liệu",IF(D490&lt;C490,"Sai thời gian",IF(AND(P490="Đã đóng",Q490=""),"Thiếu thời điểm đóng","Hợp lệ"))))</x:f>
      </x:c>
    </x:row>
    <x:row r="491">
      <x:c r="A491" s="21"/>
      <x:c r="B491" s="21"/>
      <x:c r="C491" s="43"/>
      <x:c r="D491" s="43"/>
      <x:c r="E491" s="39" t="str">
        <x:f>IF(A491="","",MAX(0,(D491-C491)*1440))</x:f>
      </x:c>
      <x:c r="F491" s="29" t="str">
        <x:f>IF(B491="","",IFERROR(INDEX('05_BAO_CAO_NGAY'!$D$6:$D$505,MATCH(B491,'05_BAO_CAO_NGAY'!$A$6:$A$505,0)),""))</x:f>
      </x:c>
      <x:c r="G491" s="29" t="str">
        <x:f>IF(B491="","",IFERROR(INDEX('05_BAO_CAO_NGAY'!$E$6:$E$505,MATCH(B491,'05_BAO_CAO_NGAY'!$A$6:$A$505,0)),""))</x:f>
      </x:c>
      <x:c r="H491" s="29" t="str">
        <x:f>IF(B491="","",IFERROR(INDEX('05_BAO_CAO_NGAY'!$J$6:$J$505,MATCH(B491,'05_BAO_CAO_NGAY'!$A$6:$A$505,0)),""))</x:f>
      </x:c>
      <x:c r="I491" s="29" t="str">
        <x:f>IF(B491="","",IFERROR(INDEX('05_BAO_CAO_NGAY'!$M$6:$M$505,MATCH(B491,'05_BAO_CAO_NGAY'!$A$6:$A$505,0)),""))</x:f>
      </x:c>
      <x:c r="J491" s="21"/>
      <x:c r="K491" s="29" t="str">
        <x:f>IF(J491="","",IFERROR(INDEX(DM_LY_DO_DUNG!$C$6:$C$105,MATCH(J491,DM_LY_DO_DUNG!$A$6:$A$105,0)),""))</x:f>
      </x:c>
      <x:c r="L491" s="21"/>
      <x:c r="M491" s="21"/>
      <x:c r="N491" s="21"/>
      <x:c r="O491" s="21"/>
      <x:c r="P491" s="21"/>
      <x:c r="Q491" s="43"/>
      <x:c r="R491" s="29" t="str">
        <x:f>IF(A491="","",IF(OR(B491="",C491="",D491="",J491=""),"Thiếu dữ liệu",IF(D491&lt;C491,"Sai thời gian",IF(AND(P491="Đã đóng",Q491=""),"Thiếu thời điểm đóng","Hợp lệ"))))</x:f>
      </x:c>
    </x:row>
    <x:row r="492">
      <x:c r="A492" s="21"/>
      <x:c r="B492" s="21"/>
      <x:c r="C492" s="43"/>
      <x:c r="D492" s="43"/>
      <x:c r="E492" s="39" t="str">
        <x:f>IF(A492="","",MAX(0,(D492-C492)*1440))</x:f>
      </x:c>
      <x:c r="F492" s="29" t="str">
        <x:f>IF(B492="","",IFERROR(INDEX('05_BAO_CAO_NGAY'!$D$6:$D$505,MATCH(B492,'05_BAO_CAO_NGAY'!$A$6:$A$505,0)),""))</x:f>
      </x:c>
      <x:c r="G492" s="29" t="str">
        <x:f>IF(B492="","",IFERROR(INDEX('05_BAO_CAO_NGAY'!$E$6:$E$505,MATCH(B492,'05_BAO_CAO_NGAY'!$A$6:$A$505,0)),""))</x:f>
      </x:c>
      <x:c r="H492" s="29" t="str">
        <x:f>IF(B492="","",IFERROR(INDEX('05_BAO_CAO_NGAY'!$J$6:$J$505,MATCH(B492,'05_BAO_CAO_NGAY'!$A$6:$A$505,0)),""))</x:f>
      </x:c>
      <x:c r="I492" s="29" t="str">
        <x:f>IF(B492="","",IFERROR(INDEX('05_BAO_CAO_NGAY'!$M$6:$M$505,MATCH(B492,'05_BAO_CAO_NGAY'!$A$6:$A$505,0)),""))</x:f>
      </x:c>
      <x:c r="J492" s="21"/>
      <x:c r="K492" s="29" t="str">
        <x:f>IF(J492="","",IFERROR(INDEX(DM_LY_DO_DUNG!$C$6:$C$105,MATCH(J492,DM_LY_DO_DUNG!$A$6:$A$105,0)),""))</x:f>
      </x:c>
      <x:c r="L492" s="21"/>
      <x:c r="M492" s="21"/>
      <x:c r="N492" s="21"/>
      <x:c r="O492" s="21"/>
      <x:c r="P492" s="21"/>
      <x:c r="Q492" s="43"/>
      <x:c r="R492" s="29" t="str">
        <x:f>IF(A492="","",IF(OR(B492="",C492="",D492="",J492=""),"Thiếu dữ liệu",IF(D492&lt;C492,"Sai thời gian",IF(AND(P492="Đã đóng",Q492=""),"Thiếu thời điểm đóng","Hợp lệ"))))</x:f>
      </x:c>
    </x:row>
    <x:row r="493">
      <x:c r="A493" s="21"/>
      <x:c r="B493" s="21"/>
      <x:c r="C493" s="43"/>
      <x:c r="D493" s="43"/>
      <x:c r="E493" s="39" t="str">
        <x:f>IF(A493="","",MAX(0,(D493-C493)*1440))</x:f>
      </x:c>
      <x:c r="F493" s="29" t="str">
        <x:f>IF(B493="","",IFERROR(INDEX('05_BAO_CAO_NGAY'!$D$6:$D$505,MATCH(B493,'05_BAO_CAO_NGAY'!$A$6:$A$505,0)),""))</x:f>
      </x:c>
      <x:c r="G493" s="29" t="str">
        <x:f>IF(B493="","",IFERROR(INDEX('05_BAO_CAO_NGAY'!$E$6:$E$505,MATCH(B493,'05_BAO_CAO_NGAY'!$A$6:$A$505,0)),""))</x:f>
      </x:c>
      <x:c r="H493" s="29" t="str">
        <x:f>IF(B493="","",IFERROR(INDEX('05_BAO_CAO_NGAY'!$J$6:$J$505,MATCH(B493,'05_BAO_CAO_NGAY'!$A$6:$A$505,0)),""))</x:f>
      </x:c>
      <x:c r="I493" s="29" t="str">
        <x:f>IF(B493="","",IFERROR(INDEX('05_BAO_CAO_NGAY'!$M$6:$M$505,MATCH(B493,'05_BAO_CAO_NGAY'!$A$6:$A$505,0)),""))</x:f>
      </x:c>
      <x:c r="J493" s="21"/>
      <x:c r="K493" s="29" t="str">
        <x:f>IF(J493="","",IFERROR(INDEX(DM_LY_DO_DUNG!$C$6:$C$105,MATCH(J493,DM_LY_DO_DUNG!$A$6:$A$105,0)),""))</x:f>
      </x:c>
      <x:c r="L493" s="21"/>
      <x:c r="M493" s="21"/>
      <x:c r="N493" s="21"/>
      <x:c r="O493" s="21"/>
      <x:c r="P493" s="21"/>
      <x:c r="Q493" s="43"/>
      <x:c r="R493" s="29" t="str">
        <x:f>IF(A493="","",IF(OR(B493="",C493="",D493="",J493=""),"Thiếu dữ liệu",IF(D493&lt;C493,"Sai thời gian",IF(AND(P493="Đã đóng",Q493=""),"Thiếu thời điểm đóng","Hợp lệ"))))</x:f>
      </x:c>
    </x:row>
    <x:row r="494">
      <x:c r="A494" s="21"/>
      <x:c r="B494" s="21"/>
      <x:c r="C494" s="43"/>
      <x:c r="D494" s="43"/>
      <x:c r="E494" s="39" t="str">
        <x:f>IF(A494="","",MAX(0,(D494-C494)*1440))</x:f>
      </x:c>
      <x:c r="F494" s="29" t="str">
        <x:f>IF(B494="","",IFERROR(INDEX('05_BAO_CAO_NGAY'!$D$6:$D$505,MATCH(B494,'05_BAO_CAO_NGAY'!$A$6:$A$505,0)),""))</x:f>
      </x:c>
      <x:c r="G494" s="29" t="str">
        <x:f>IF(B494="","",IFERROR(INDEX('05_BAO_CAO_NGAY'!$E$6:$E$505,MATCH(B494,'05_BAO_CAO_NGAY'!$A$6:$A$505,0)),""))</x:f>
      </x:c>
      <x:c r="H494" s="29" t="str">
        <x:f>IF(B494="","",IFERROR(INDEX('05_BAO_CAO_NGAY'!$J$6:$J$505,MATCH(B494,'05_BAO_CAO_NGAY'!$A$6:$A$505,0)),""))</x:f>
      </x:c>
      <x:c r="I494" s="29" t="str">
        <x:f>IF(B494="","",IFERROR(INDEX('05_BAO_CAO_NGAY'!$M$6:$M$505,MATCH(B494,'05_BAO_CAO_NGAY'!$A$6:$A$505,0)),""))</x:f>
      </x:c>
      <x:c r="J494" s="21"/>
      <x:c r="K494" s="29" t="str">
        <x:f>IF(J494="","",IFERROR(INDEX(DM_LY_DO_DUNG!$C$6:$C$105,MATCH(J494,DM_LY_DO_DUNG!$A$6:$A$105,0)),""))</x:f>
      </x:c>
      <x:c r="L494" s="21"/>
      <x:c r="M494" s="21"/>
      <x:c r="N494" s="21"/>
      <x:c r="O494" s="21"/>
      <x:c r="P494" s="21"/>
      <x:c r="Q494" s="43"/>
      <x:c r="R494" s="29" t="str">
        <x:f>IF(A494="","",IF(OR(B494="",C494="",D494="",J494=""),"Thiếu dữ liệu",IF(D494&lt;C494,"Sai thời gian",IF(AND(P494="Đã đóng",Q494=""),"Thiếu thời điểm đóng","Hợp lệ"))))</x:f>
      </x:c>
    </x:row>
    <x:row r="495">
      <x:c r="A495" s="21"/>
      <x:c r="B495" s="21"/>
      <x:c r="C495" s="43"/>
      <x:c r="D495" s="43"/>
      <x:c r="E495" s="39" t="str">
        <x:f>IF(A495="","",MAX(0,(D495-C495)*1440))</x:f>
      </x:c>
      <x:c r="F495" s="29" t="str">
        <x:f>IF(B495="","",IFERROR(INDEX('05_BAO_CAO_NGAY'!$D$6:$D$505,MATCH(B495,'05_BAO_CAO_NGAY'!$A$6:$A$505,0)),""))</x:f>
      </x:c>
      <x:c r="G495" s="29" t="str">
        <x:f>IF(B495="","",IFERROR(INDEX('05_BAO_CAO_NGAY'!$E$6:$E$505,MATCH(B495,'05_BAO_CAO_NGAY'!$A$6:$A$505,0)),""))</x:f>
      </x:c>
      <x:c r="H495" s="29" t="str">
        <x:f>IF(B495="","",IFERROR(INDEX('05_BAO_CAO_NGAY'!$J$6:$J$505,MATCH(B495,'05_BAO_CAO_NGAY'!$A$6:$A$505,0)),""))</x:f>
      </x:c>
      <x:c r="I495" s="29" t="str">
        <x:f>IF(B495="","",IFERROR(INDEX('05_BAO_CAO_NGAY'!$M$6:$M$505,MATCH(B495,'05_BAO_CAO_NGAY'!$A$6:$A$505,0)),""))</x:f>
      </x:c>
      <x:c r="J495" s="21"/>
      <x:c r="K495" s="29" t="str">
        <x:f>IF(J495="","",IFERROR(INDEX(DM_LY_DO_DUNG!$C$6:$C$105,MATCH(J495,DM_LY_DO_DUNG!$A$6:$A$105,0)),""))</x:f>
      </x:c>
      <x:c r="L495" s="21"/>
      <x:c r="M495" s="21"/>
      <x:c r="N495" s="21"/>
      <x:c r="O495" s="21"/>
      <x:c r="P495" s="21"/>
      <x:c r="Q495" s="43"/>
      <x:c r="R495" s="29" t="str">
        <x:f>IF(A495="","",IF(OR(B495="",C495="",D495="",J495=""),"Thiếu dữ liệu",IF(D495&lt;C495,"Sai thời gian",IF(AND(P495="Đã đóng",Q495=""),"Thiếu thời điểm đóng","Hợp lệ"))))</x:f>
      </x:c>
    </x:row>
    <x:row r="496">
      <x:c r="A496" s="21"/>
      <x:c r="B496" s="21"/>
      <x:c r="C496" s="43"/>
      <x:c r="D496" s="43"/>
      <x:c r="E496" s="39" t="str">
        <x:f>IF(A496="","",MAX(0,(D496-C496)*1440))</x:f>
      </x:c>
      <x:c r="F496" s="29" t="str">
        <x:f>IF(B496="","",IFERROR(INDEX('05_BAO_CAO_NGAY'!$D$6:$D$505,MATCH(B496,'05_BAO_CAO_NGAY'!$A$6:$A$505,0)),""))</x:f>
      </x:c>
      <x:c r="G496" s="29" t="str">
        <x:f>IF(B496="","",IFERROR(INDEX('05_BAO_CAO_NGAY'!$E$6:$E$505,MATCH(B496,'05_BAO_CAO_NGAY'!$A$6:$A$505,0)),""))</x:f>
      </x:c>
      <x:c r="H496" s="29" t="str">
        <x:f>IF(B496="","",IFERROR(INDEX('05_BAO_CAO_NGAY'!$J$6:$J$505,MATCH(B496,'05_BAO_CAO_NGAY'!$A$6:$A$505,0)),""))</x:f>
      </x:c>
      <x:c r="I496" s="29" t="str">
        <x:f>IF(B496="","",IFERROR(INDEX('05_BAO_CAO_NGAY'!$M$6:$M$505,MATCH(B496,'05_BAO_CAO_NGAY'!$A$6:$A$505,0)),""))</x:f>
      </x:c>
      <x:c r="J496" s="21"/>
      <x:c r="K496" s="29" t="str">
        <x:f>IF(J496="","",IFERROR(INDEX(DM_LY_DO_DUNG!$C$6:$C$105,MATCH(J496,DM_LY_DO_DUNG!$A$6:$A$105,0)),""))</x:f>
      </x:c>
      <x:c r="L496" s="21"/>
      <x:c r="M496" s="21"/>
      <x:c r="N496" s="21"/>
      <x:c r="O496" s="21"/>
      <x:c r="P496" s="21"/>
      <x:c r="Q496" s="43"/>
      <x:c r="R496" s="29" t="str">
        <x:f>IF(A496="","",IF(OR(B496="",C496="",D496="",J496=""),"Thiếu dữ liệu",IF(D496&lt;C496,"Sai thời gian",IF(AND(P496="Đã đóng",Q496=""),"Thiếu thời điểm đóng","Hợp lệ"))))</x:f>
      </x:c>
    </x:row>
    <x:row r="497">
      <x:c r="A497" s="21"/>
      <x:c r="B497" s="21"/>
      <x:c r="C497" s="43"/>
      <x:c r="D497" s="43"/>
      <x:c r="E497" s="39" t="str">
        <x:f>IF(A497="","",MAX(0,(D497-C497)*1440))</x:f>
      </x:c>
      <x:c r="F497" s="29" t="str">
        <x:f>IF(B497="","",IFERROR(INDEX('05_BAO_CAO_NGAY'!$D$6:$D$505,MATCH(B497,'05_BAO_CAO_NGAY'!$A$6:$A$505,0)),""))</x:f>
      </x:c>
      <x:c r="G497" s="29" t="str">
        <x:f>IF(B497="","",IFERROR(INDEX('05_BAO_CAO_NGAY'!$E$6:$E$505,MATCH(B497,'05_BAO_CAO_NGAY'!$A$6:$A$505,0)),""))</x:f>
      </x:c>
      <x:c r="H497" s="29" t="str">
        <x:f>IF(B497="","",IFERROR(INDEX('05_BAO_CAO_NGAY'!$J$6:$J$505,MATCH(B497,'05_BAO_CAO_NGAY'!$A$6:$A$505,0)),""))</x:f>
      </x:c>
      <x:c r="I497" s="29" t="str">
        <x:f>IF(B497="","",IFERROR(INDEX('05_BAO_CAO_NGAY'!$M$6:$M$505,MATCH(B497,'05_BAO_CAO_NGAY'!$A$6:$A$505,0)),""))</x:f>
      </x:c>
      <x:c r="J497" s="21"/>
      <x:c r="K497" s="29" t="str">
        <x:f>IF(J497="","",IFERROR(INDEX(DM_LY_DO_DUNG!$C$6:$C$105,MATCH(J497,DM_LY_DO_DUNG!$A$6:$A$105,0)),""))</x:f>
      </x:c>
      <x:c r="L497" s="21"/>
      <x:c r="M497" s="21"/>
      <x:c r="N497" s="21"/>
      <x:c r="O497" s="21"/>
      <x:c r="P497" s="21"/>
      <x:c r="Q497" s="43"/>
      <x:c r="R497" s="29" t="str">
        <x:f>IF(A497="","",IF(OR(B497="",C497="",D497="",J497=""),"Thiếu dữ liệu",IF(D497&lt;C497,"Sai thời gian",IF(AND(P497="Đã đóng",Q497=""),"Thiếu thời điểm đóng","Hợp lệ"))))</x:f>
      </x:c>
    </x:row>
    <x:row r="498">
      <x:c r="A498" s="21"/>
      <x:c r="B498" s="21"/>
      <x:c r="C498" s="43"/>
      <x:c r="D498" s="43"/>
      <x:c r="E498" s="39" t="str">
        <x:f>IF(A498="","",MAX(0,(D498-C498)*1440))</x:f>
      </x:c>
      <x:c r="F498" s="29" t="str">
        <x:f>IF(B498="","",IFERROR(INDEX('05_BAO_CAO_NGAY'!$D$6:$D$505,MATCH(B498,'05_BAO_CAO_NGAY'!$A$6:$A$505,0)),""))</x:f>
      </x:c>
      <x:c r="G498" s="29" t="str">
        <x:f>IF(B498="","",IFERROR(INDEX('05_BAO_CAO_NGAY'!$E$6:$E$505,MATCH(B498,'05_BAO_CAO_NGAY'!$A$6:$A$505,0)),""))</x:f>
      </x:c>
      <x:c r="H498" s="29" t="str">
        <x:f>IF(B498="","",IFERROR(INDEX('05_BAO_CAO_NGAY'!$J$6:$J$505,MATCH(B498,'05_BAO_CAO_NGAY'!$A$6:$A$505,0)),""))</x:f>
      </x:c>
      <x:c r="I498" s="29" t="str">
        <x:f>IF(B498="","",IFERROR(INDEX('05_BAO_CAO_NGAY'!$M$6:$M$505,MATCH(B498,'05_BAO_CAO_NGAY'!$A$6:$A$505,0)),""))</x:f>
      </x:c>
      <x:c r="J498" s="21"/>
      <x:c r="K498" s="29" t="str">
        <x:f>IF(J498="","",IFERROR(INDEX(DM_LY_DO_DUNG!$C$6:$C$105,MATCH(J498,DM_LY_DO_DUNG!$A$6:$A$105,0)),""))</x:f>
      </x:c>
      <x:c r="L498" s="21"/>
      <x:c r="M498" s="21"/>
      <x:c r="N498" s="21"/>
      <x:c r="O498" s="21"/>
      <x:c r="P498" s="21"/>
      <x:c r="Q498" s="43"/>
      <x:c r="R498" s="29" t="str">
        <x:f>IF(A498="","",IF(OR(B498="",C498="",D498="",J498=""),"Thiếu dữ liệu",IF(D498&lt;C498,"Sai thời gian",IF(AND(P498="Đã đóng",Q498=""),"Thiếu thời điểm đóng","Hợp lệ"))))</x:f>
      </x:c>
    </x:row>
    <x:row r="499">
      <x:c r="A499" s="21"/>
      <x:c r="B499" s="21"/>
      <x:c r="C499" s="43"/>
      <x:c r="D499" s="43"/>
      <x:c r="E499" s="39" t="str">
        <x:f>IF(A499="","",MAX(0,(D499-C499)*1440))</x:f>
      </x:c>
      <x:c r="F499" s="29" t="str">
        <x:f>IF(B499="","",IFERROR(INDEX('05_BAO_CAO_NGAY'!$D$6:$D$505,MATCH(B499,'05_BAO_CAO_NGAY'!$A$6:$A$505,0)),""))</x:f>
      </x:c>
      <x:c r="G499" s="29" t="str">
        <x:f>IF(B499="","",IFERROR(INDEX('05_BAO_CAO_NGAY'!$E$6:$E$505,MATCH(B499,'05_BAO_CAO_NGAY'!$A$6:$A$505,0)),""))</x:f>
      </x:c>
      <x:c r="H499" s="29" t="str">
        <x:f>IF(B499="","",IFERROR(INDEX('05_BAO_CAO_NGAY'!$J$6:$J$505,MATCH(B499,'05_BAO_CAO_NGAY'!$A$6:$A$505,0)),""))</x:f>
      </x:c>
      <x:c r="I499" s="29" t="str">
        <x:f>IF(B499="","",IFERROR(INDEX('05_BAO_CAO_NGAY'!$M$6:$M$505,MATCH(B499,'05_BAO_CAO_NGAY'!$A$6:$A$505,0)),""))</x:f>
      </x:c>
      <x:c r="J499" s="21"/>
      <x:c r="K499" s="29" t="str">
        <x:f>IF(J499="","",IFERROR(INDEX(DM_LY_DO_DUNG!$C$6:$C$105,MATCH(J499,DM_LY_DO_DUNG!$A$6:$A$105,0)),""))</x:f>
      </x:c>
      <x:c r="L499" s="21"/>
      <x:c r="M499" s="21"/>
      <x:c r="N499" s="21"/>
      <x:c r="O499" s="21"/>
      <x:c r="P499" s="21"/>
      <x:c r="Q499" s="43"/>
      <x:c r="R499" s="29" t="str">
        <x:f>IF(A499="","",IF(OR(B499="",C499="",D499="",J499=""),"Thiếu dữ liệu",IF(D499&lt;C499,"Sai thời gian",IF(AND(P499="Đã đóng",Q499=""),"Thiếu thời điểm đóng","Hợp lệ"))))</x:f>
      </x:c>
    </x:row>
    <x:row r="500">
      <x:c r="A500" s="21"/>
      <x:c r="B500" s="21"/>
      <x:c r="C500" s="43"/>
      <x:c r="D500" s="43"/>
      <x:c r="E500" s="39" t="str">
        <x:f>IF(A500="","",MAX(0,(D500-C500)*1440))</x:f>
      </x:c>
      <x:c r="F500" s="29" t="str">
        <x:f>IF(B500="","",IFERROR(INDEX('05_BAO_CAO_NGAY'!$D$6:$D$505,MATCH(B500,'05_BAO_CAO_NGAY'!$A$6:$A$505,0)),""))</x:f>
      </x:c>
      <x:c r="G500" s="29" t="str">
        <x:f>IF(B500="","",IFERROR(INDEX('05_BAO_CAO_NGAY'!$E$6:$E$505,MATCH(B500,'05_BAO_CAO_NGAY'!$A$6:$A$505,0)),""))</x:f>
      </x:c>
      <x:c r="H500" s="29" t="str">
        <x:f>IF(B500="","",IFERROR(INDEX('05_BAO_CAO_NGAY'!$J$6:$J$505,MATCH(B500,'05_BAO_CAO_NGAY'!$A$6:$A$505,0)),""))</x:f>
      </x:c>
      <x:c r="I500" s="29" t="str">
        <x:f>IF(B500="","",IFERROR(INDEX('05_BAO_CAO_NGAY'!$M$6:$M$505,MATCH(B500,'05_BAO_CAO_NGAY'!$A$6:$A$505,0)),""))</x:f>
      </x:c>
      <x:c r="J500" s="21"/>
      <x:c r="K500" s="29" t="str">
        <x:f>IF(J500="","",IFERROR(INDEX(DM_LY_DO_DUNG!$C$6:$C$105,MATCH(J500,DM_LY_DO_DUNG!$A$6:$A$105,0)),""))</x:f>
      </x:c>
      <x:c r="L500" s="21"/>
      <x:c r="M500" s="21"/>
      <x:c r="N500" s="21"/>
      <x:c r="O500" s="21"/>
      <x:c r="P500" s="21"/>
      <x:c r="Q500" s="43"/>
      <x:c r="R500" s="29" t="str">
        <x:f>IF(A500="","",IF(OR(B500="",C500="",D500="",J500=""),"Thiếu dữ liệu",IF(D500&lt;C500,"Sai thời gian",IF(AND(P500="Đã đóng",Q500=""),"Thiếu thời điểm đóng","Hợp lệ"))))</x:f>
      </x:c>
    </x:row>
    <x:row r="501">
      <x:c r="A501" s="21"/>
      <x:c r="B501" s="21"/>
      <x:c r="C501" s="43"/>
      <x:c r="D501" s="43"/>
      <x:c r="E501" s="39" t="str">
        <x:f>IF(A501="","",MAX(0,(D501-C501)*1440))</x:f>
      </x:c>
      <x:c r="F501" s="29" t="str">
        <x:f>IF(B501="","",IFERROR(INDEX('05_BAO_CAO_NGAY'!$D$6:$D$505,MATCH(B501,'05_BAO_CAO_NGAY'!$A$6:$A$505,0)),""))</x:f>
      </x:c>
      <x:c r="G501" s="29" t="str">
        <x:f>IF(B501="","",IFERROR(INDEX('05_BAO_CAO_NGAY'!$E$6:$E$505,MATCH(B501,'05_BAO_CAO_NGAY'!$A$6:$A$505,0)),""))</x:f>
      </x:c>
      <x:c r="H501" s="29" t="str">
        <x:f>IF(B501="","",IFERROR(INDEX('05_BAO_CAO_NGAY'!$J$6:$J$505,MATCH(B501,'05_BAO_CAO_NGAY'!$A$6:$A$505,0)),""))</x:f>
      </x:c>
      <x:c r="I501" s="29" t="str">
        <x:f>IF(B501="","",IFERROR(INDEX('05_BAO_CAO_NGAY'!$M$6:$M$505,MATCH(B501,'05_BAO_CAO_NGAY'!$A$6:$A$505,0)),""))</x:f>
      </x:c>
      <x:c r="J501" s="21"/>
      <x:c r="K501" s="29" t="str">
        <x:f>IF(J501="","",IFERROR(INDEX(DM_LY_DO_DUNG!$C$6:$C$105,MATCH(J501,DM_LY_DO_DUNG!$A$6:$A$105,0)),""))</x:f>
      </x:c>
      <x:c r="L501" s="21"/>
      <x:c r="M501" s="21"/>
      <x:c r="N501" s="21"/>
      <x:c r="O501" s="21"/>
      <x:c r="P501" s="21"/>
      <x:c r="Q501" s="43"/>
      <x:c r="R501" s="29" t="str">
        <x:f>IF(A501="","",IF(OR(B501="",C501="",D501="",J501=""),"Thiếu dữ liệu",IF(D501&lt;C501,"Sai thời gian",IF(AND(P501="Đã đóng",Q501=""),"Thiếu thời điểm đóng","Hợp lệ"))))</x:f>
      </x:c>
    </x:row>
    <x:row r="502">
      <x:c r="A502" s="21"/>
      <x:c r="B502" s="21"/>
      <x:c r="C502" s="43"/>
      <x:c r="D502" s="43"/>
      <x:c r="E502" s="39" t="str">
        <x:f>IF(A502="","",MAX(0,(D502-C502)*1440))</x:f>
      </x:c>
      <x:c r="F502" s="29" t="str">
        <x:f>IF(B502="","",IFERROR(INDEX('05_BAO_CAO_NGAY'!$D$6:$D$505,MATCH(B502,'05_BAO_CAO_NGAY'!$A$6:$A$505,0)),""))</x:f>
      </x:c>
      <x:c r="G502" s="29" t="str">
        <x:f>IF(B502="","",IFERROR(INDEX('05_BAO_CAO_NGAY'!$E$6:$E$505,MATCH(B502,'05_BAO_CAO_NGAY'!$A$6:$A$505,0)),""))</x:f>
      </x:c>
      <x:c r="H502" s="29" t="str">
        <x:f>IF(B502="","",IFERROR(INDEX('05_BAO_CAO_NGAY'!$J$6:$J$505,MATCH(B502,'05_BAO_CAO_NGAY'!$A$6:$A$505,0)),""))</x:f>
      </x:c>
      <x:c r="I502" s="29" t="str">
        <x:f>IF(B502="","",IFERROR(INDEX('05_BAO_CAO_NGAY'!$M$6:$M$505,MATCH(B502,'05_BAO_CAO_NGAY'!$A$6:$A$505,0)),""))</x:f>
      </x:c>
      <x:c r="J502" s="21"/>
      <x:c r="K502" s="29" t="str">
        <x:f>IF(J502="","",IFERROR(INDEX(DM_LY_DO_DUNG!$C$6:$C$105,MATCH(J502,DM_LY_DO_DUNG!$A$6:$A$105,0)),""))</x:f>
      </x:c>
      <x:c r="L502" s="21"/>
      <x:c r="M502" s="21"/>
      <x:c r="N502" s="21"/>
      <x:c r="O502" s="21"/>
      <x:c r="P502" s="21"/>
      <x:c r="Q502" s="43"/>
      <x:c r="R502" s="29" t="str">
        <x:f>IF(A502="","",IF(OR(B502="",C502="",D502="",J502=""),"Thiếu dữ liệu",IF(D502&lt;C502,"Sai thời gian",IF(AND(P502="Đã đóng",Q502=""),"Thiếu thời điểm đóng","Hợp lệ"))))</x:f>
      </x:c>
    </x:row>
    <x:row r="503">
      <x:c r="A503" s="21"/>
      <x:c r="B503" s="21"/>
      <x:c r="C503" s="43"/>
      <x:c r="D503" s="43"/>
      <x:c r="E503" s="39" t="str">
        <x:f>IF(A503="","",MAX(0,(D503-C503)*1440))</x:f>
      </x:c>
      <x:c r="F503" s="29" t="str">
        <x:f>IF(B503="","",IFERROR(INDEX('05_BAO_CAO_NGAY'!$D$6:$D$505,MATCH(B503,'05_BAO_CAO_NGAY'!$A$6:$A$505,0)),""))</x:f>
      </x:c>
      <x:c r="G503" s="29" t="str">
        <x:f>IF(B503="","",IFERROR(INDEX('05_BAO_CAO_NGAY'!$E$6:$E$505,MATCH(B503,'05_BAO_CAO_NGAY'!$A$6:$A$505,0)),""))</x:f>
      </x:c>
      <x:c r="H503" s="29" t="str">
        <x:f>IF(B503="","",IFERROR(INDEX('05_BAO_CAO_NGAY'!$J$6:$J$505,MATCH(B503,'05_BAO_CAO_NGAY'!$A$6:$A$505,0)),""))</x:f>
      </x:c>
      <x:c r="I503" s="29" t="str">
        <x:f>IF(B503="","",IFERROR(INDEX('05_BAO_CAO_NGAY'!$M$6:$M$505,MATCH(B503,'05_BAO_CAO_NGAY'!$A$6:$A$505,0)),""))</x:f>
      </x:c>
      <x:c r="J503" s="21"/>
      <x:c r="K503" s="29" t="str">
        <x:f>IF(J503="","",IFERROR(INDEX(DM_LY_DO_DUNG!$C$6:$C$105,MATCH(J503,DM_LY_DO_DUNG!$A$6:$A$105,0)),""))</x:f>
      </x:c>
      <x:c r="L503" s="21"/>
      <x:c r="M503" s="21"/>
      <x:c r="N503" s="21"/>
      <x:c r="O503" s="21"/>
      <x:c r="P503" s="21"/>
      <x:c r="Q503" s="43"/>
      <x:c r="R503" s="29" t="str">
        <x:f>IF(A503="","",IF(OR(B503="",C503="",D503="",J503=""),"Thiếu dữ liệu",IF(D503&lt;C503,"Sai thời gian",IF(AND(P503="Đã đóng",Q503=""),"Thiếu thời điểm đóng","Hợp lệ"))))</x:f>
      </x:c>
    </x:row>
    <x:row r="504">
      <x:c r="A504" s="21"/>
      <x:c r="B504" s="21"/>
      <x:c r="C504" s="43"/>
      <x:c r="D504" s="43"/>
      <x:c r="E504" s="39" t="str">
        <x:f>IF(A504="","",MAX(0,(D504-C504)*1440))</x:f>
      </x:c>
      <x:c r="F504" s="29" t="str">
        <x:f>IF(B504="","",IFERROR(INDEX('05_BAO_CAO_NGAY'!$D$6:$D$505,MATCH(B504,'05_BAO_CAO_NGAY'!$A$6:$A$505,0)),""))</x:f>
      </x:c>
      <x:c r="G504" s="29" t="str">
        <x:f>IF(B504="","",IFERROR(INDEX('05_BAO_CAO_NGAY'!$E$6:$E$505,MATCH(B504,'05_BAO_CAO_NGAY'!$A$6:$A$505,0)),""))</x:f>
      </x:c>
      <x:c r="H504" s="29" t="str">
        <x:f>IF(B504="","",IFERROR(INDEX('05_BAO_CAO_NGAY'!$J$6:$J$505,MATCH(B504,'05_BAO_CAO_NGAY'!$A$6:$A$505,0)),""))</x:f>
      </x:c>
      <x:c r="I504" s="29" t="str">
        <x:f>IF(B504="","",IFERROR(INDEX('05_BAO_CAO_NGAY'!$M$6:$M$505,MATCH(B504,'05_BAO_CAO_NGAY'!$A$6:$A$505,0)),""))</x:f>
      </x:c>
      <x:c r="J504" s="21"/>
      <x:c r="K504" s="29" t="str">
        <x:f>IF(J504="","",IFERROR(INDEX(DM_LY_DO_DUNG!$C$6:$C$105,MATCH(J504,DM_LY_DO_DUNG!$A$6:$A$105,0)),""))</x:f>
      </x:c>
      <x:c r="L504" s="21"/>
      <x:c r="M504" s="21"/>
      <x:c r="N504" s="21"/>
      <x:c r="O504" s="21"/>
      <x:c r="P504" s="21"/>
      <x:c r="Q504" s="43"/>
      <x:c r="R504" s="29" t="str">
        <x:f>IF(A504="","",IF(OR(B504="",C504="",D504="",J504=""),"Thiếu dữ liệu",IF(D504&lt;C504,"Sai thời gian",IF(AND(P504="Đã đóng",Q504=""),"Thiếu thời điểm đóng","Hợp lệ"))))</x:f>
      </x:c>
    </x:row>
    <x:row r="505">
      <x:c r="A505" s="22"/>
      <x:c r="B505" s="22"/>
      <x:c r="C505" s="44"/>
      <x:c r="D505" s="44"/>
      <x:c r="E505" s="40" t="str">
        <x:f>IF(A505="","",MAX(0,(D505-C505)*1440))</x:f>
      </x:c>
      <x:c r="F505" s="30" t="str">
        <x:f>IF(B505="","",IFERROR(INDEX('05_BAO_CAO_NGAY'!$D$6:$D$505,MATCH(B505,'05_BAO_CAO_NGAY'!$A$6:$A$505,0)),""))</x:f>
      </x:c>
      <x:c r="G505" s="30" t="str">
        <x:f>IF(B505="","",IFERROR(INDEX('05_BAO_CAO_NGAY'!$E$6:$E$505,MATCH(B505,'05_BAO_CAO_NGAY'!$A$6:$A$505,0)),""))</x:f>
      </x:c>
      <x:c r="H505" s="30" t="str">
        <x:f>IF(B505="","",IFERROR(INDEX('05_BAO_CAO_NGAY'!$J$6:$J$505,MATCH(B505,'05_BAO_CAO_NGAY'!$A$6:$A$505,0)),""))</x:f>
      </x:c>
      <x:c r="I505" s="30" t="str">
        <x:f>IF(B505="","",IFERROR(INDEX('05_BAO_CAO_NGAY'!$M$6:$M$505,MATCH(B505,'05_BAO_CAO_NGAY'!$A$6:$A$505,0)),""))</x:f>
      </x:c>
      <x:c r="J505" s="22"/>
      <x:c r="K505" s="30" t="str">
        <x:f>IF(J505="","",IFERROR(INDEX(DM_LY_DO_DUNG!$C$6:$C$105,MATCH(J505,DM_LY_DO_DUNG!$A$6:$A$105,0)),""))</x:f>
      </x:c>
      <x:c r="L505" s="22"/>
      <x:c r="M505" s="22"/>
      <x:c r="N505" s="22"/>
      <x:c r="O505" s="22"/>
      <x:c r="P505" s="22"/>
      <x:c r="Q505" s="44"/>
      <x:c r="R505" s="30" t="str">
        <x:f>IF(A505="","",IF(OR(B505="",C505="",D505="",J505=""),"Thiếu dữ liệu",IF(D505&lt;C505,"Sai thời gian",IF(AND(P505="Đã đóng",Q505=""),"Thiếu thời điểm đóng","Hợp lệ"))))</x:f>
      </x:c>
    </x:row>
  </x:sheetData>
  <x:mergeCells>
    <x:mergeCell ref="A2:R2"/>
    <x:mergeCell ref="A3:R3"/>
  </x:mergeCells>
  <x:conditionalFormatting sqref="R6:R505">
    <x:cfRule type="containsText" dxfId="28" priority="1" operator="containsText" text="Quá hạn"/>
    <x:cfRule type="containsText" dxfId="29" priority="2" operator="containsText" text="Rủi ro"/>
    <x:cfRule type="containsText" dxfId="30" priority="3" operator="containsText" text="Cần"/>
    <x:cfRule type="containsText" dxfId="31" priority="4" operator="containsText" text="Sai"/>
    <x:cfRule type="containsText" dxfId="32" priority="5" operator="containsText" text="Thiếu"/>
    <x:cfRule type="containsText" dxfId="33" priority="6" operator="containsText" text="Hợp lệ"/>
    <x:cfRule type="containsText" dxfId="34" priority="7" operator="containsText" text="đúng hạn"/>
  </x:conditionalFormatting>
  <x:dataValidations count="3">
    <x:dataValidation type="list" sqref="J6:J505">
      <x:formula1>DM_LY_DO_DUNG!$A$6:$A$105</x:formula1>
    </x:dataValidation>
    <x:dataValidation type="list" sqref="O6:O505">
      <x:formula1>DM_NHAN_SU!$A$6:$A$105</x:formula1>
    </x:dataValidation>
    <x:dataValidation type="list" sqref="P6:P505">
      <x:formula1>"Mở,Đang xử lý,Đã đóng"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47974840474a5a"/>
  </x:tableParts>
</x:worksheet>
</file>

<file path=xl/worksheets/sheet8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RowHeight="15"/>
  <x:cols>
    <x:col min="1" max="1" width="10" hidden="0" customWidth="1"/>
    <x:col min="2" max="2" width="34.439998626708984" hidden="0" customWidth="1"/>
    <x:col min="3" max="3" width="10.5600004196167" hidden="0" customWidth="1"/>
    <x:col min="4" max="4" width="13.329999923706055" hidden="0" customWidth="1"/>
    <x:col min="5" max="5" width="6.670000076293945" hidden="0" customWidth="1"/>
  </x:cols>
  <x:sheetData>
    <x:row r="2">
      <x:c r="A2" s="2" t="str">
        <x:v>KIỂM TRA DỮ LIỆU TRƯỚC KHI CHỐT</x:v>
      </x:c>
    </x:row>
    <x:row r="3">
      <x:c r="A3" s="20" t="str">
        <x:v>Các kiểm tra chỉ cảnh báo; không tham gia tính KPI.</x:v>
      </x:c>
      <x:c r="B3" s="3"/>
      <x:c r="C3" s="3"/>
      <x:c r="D3" s="3"/>
      <x:c r="E3" s="3"/>
    </x:row>
    <x:row r="5">
      <x:c r="A5" s="12" t="str">
        <x:v>Mã</x:v>
      </x:c>
      <x:c r="B5" s="12" t="str">
        <x:v>Nội dung</x:v>
      </x:c>
      <x:c r="C5" s="12" t="str">
        <x:v>Số lỗi</x:v>
      </x:c>
      <x:c r="D5" s="12" t="str">
        <x:v>Trạng thái</x:v>
      </x:c>
    </x:row>
    <x:row r="6">
      <x:c r="A6" s="14" t="str">
        <x:v>CHK-01</x:v>
      </x:c>
      <x:c r="B6" s="14" t="str">
        <x:v>Trùng mã dòng đơn hàng - bản vẽ</x:v>
      </x:c>
      <x:c r="C6" s="29" t="n">
        <x:f>SUMPRODUCT((COUNTIF('03_DON_HANG_BAN_VE'!$R$6:$R$105,'03_DON_HANG_BAN_VE'!$R$6:$R$105)&gt;1)*('03_DON_HANG_BAN_VE'!$R$6:$R$105&lt;&gt;""))</x:f>
        <x:v>0</x:v>
      </x:c>
      <x:c r="D6" s="29" t="str">
        <x:f>IF(C6=0,"Không có lỗi","Cần xử lý")</x:f>
        <x:v>Không có lỗi</x:v>
      </x:c>
    </x:row>
    <x:row r="7">
      <x:c r="A7" s="14" t="str">
        <x:v>CHK-02</x:v>
      </x:c>
      <x:c r="B7" s="14" t="str">
        <x:v>Báo cáo ngày thiếu hoặc sai</x:v>
      </x:c>
      <x:c r="C7" s="29" t="n">
        <x:f>COUNTIF('05_BAO_CAO_NGAY'!$AI$6:$AI$505,"&lt;&gt;Hợp lệ")-COUNTBLANK('05_BAO_CAO_NGAY'!$AI$6:$AI$505)</x:f>
        <x:v>0</x:v>
      </x:c>
      <x:c r="D7" s="29" t="str">
        <x:f>IF(C7=0,"Không có lỗi","Cần xử lý")</x:f>
        <x:v>Không có lỗi</x:v>
      </x:c>
    </x:row>
    <x:row r="8">
      <x:c r="A8" s="14" t="str">
        <x:v>CHK-03</x:v>
      </x:c>
      <x:c r="B8" s="14" t="str">
        <x:v>Bản ghi chất lượng thiếu hoặc sai</x:v>
      </x:c>
      <x:c r="C8" s="29" t="n">
        <x:f>COUNTIF('06_LOI_CHAT_LUONG'!$AA$6:$AA$505,"&lt;&gt;Hợp lệ")-COUNTBLANK('06_LOI_CHAT_LUONG'!$AA$6:$AA$505)</x:f>
        <x:v>0</x:v>
      </x:c>
      <x:c r="D8" s="29" t="str">
        <x:f>IF(C8=0,"Không có lỗi","Cần xử lý")</x:f>
        <x:v>Không có lỗi</x:v>
      </x:c>
    </x:row>
    <x:row r="9">
      <x:c r="A9" s="14" t="str">
        <x:v>CHK-04</x:v>
      </x:c>
      <x:c r="B9" s="14" t="str">
        <x:v>Bản ghi dừng/chờ thiếu hoặc sai</x:v>
      </x:c>
      <x:c r="C9" s="29" t="n">
        <x:f>COUNTIF('07_DUNG_CHO'!$R$6:$R$505,"&lt;&gt;Hợp lệ")-COUNTBLANK('07_DUNG_CHO'!$R$6:$R$505)</x:f>
        <x:v>0</x:v>
      </x:c>
      <x:c r="D9" s="29" t="str">
        <x:f>IF(C9=0,"Không có lỗi","Cần xử lý")</x:f>
        <x:v>Không có lỗi</x:v>
      </x:c>
    </x:row>
    <x:row r="10">
      <x:c r="A10" s="14" t="str">
        <x:v>CHK-05</x:v>
      </x:c>
      <x:c r="B10" s="14" t="str">
        <x:v>Bản vẽ chưa có routing</x:v>
      </x:c>
      <x:c r="C10" s="29" t="n">
        <x:f>COUNTIF('03_DON_HANG_BAN_VE'!$T$6:$T$105,"Chưa có routing")</x:f>
        <x:v>0</x:v>
      </x:c>
      <x:c r="D10" s="29" t="str">
        <x:f>IF(C10=0,"Không có lỗi","Cần xử lý")</x:f>
        <x:v>Không có lỗi</x:v>
      </x:c>
    </x:row>
    <x:row r="11">
      <x:c r="A11" s="14" t="str">
        <x:v>CHK-06</x:v>
      </x:c>
      <x:c r="B11" s="14" t="str">
        <x:v>Công đoạn quá hạn</x:v>
      </x:c>
      <x:c r="C11" s="29" t="n">
        <x:f>COUNTIF('04_KE_HOACH_CD'!$V$6:$V$305,"Quá hạn")</x:f>
        <x:v>2</x:v>
      </x:c>
      <x:c r="D11" s="29" t="str">
        <x:f>IF(C11=0,"Không có lỗi","Cần xử lý")</x:f>
        <x:v>Cần xử lý</x:v>
      </x:c>
    </x:row>
    <x:row r="12">
      <x:c r="A12" s="15" t="str">
        <x:v>CHK-07</x:v>
      </x:c>
      <x:c r="B12" s="15" t="str">
        <x:v>Sự kiện dừng chưa đóng</x:v>
      </x:c>
      <x:c r="C12" s="30" t="n">
        <x:f>COUNTIF('07_DUNG_CHO'!$P$6:$P$505,"Mở")+COUNTIF('07_DUNG_CHO'!$P$6:$P$505,"Đang xử lý")</x:f>
        <x:v>0</x:v>
      </x:c>
      <x:c r="D12" s="30" t="str">
        <x:f>IF(C12=0,"Không có lỗi","Cần xử lý")</x:f>
        <x:v>Không có lỗi</x:v>
      </x:c>
    </x:row>
    <x:row r="15">
      <x:c r="A15" s="12" t="str">
        <x:v>Màu</x:v>
      </x:c>
      <x:c r="B15" s="12" t="str">
        <x:v>Ý nghĩa</x:v>
      </x:c>
      <x:c r="C15" s="12" t="str">
        <x:v>Người xử lý</x:v>
      </x:c>
      <x:c r="D15" s="12" t="str">
        <x:v>Quy tắc</x:v>
      </x:c>
    </x:row>
    <x:row r="16">
      <x:c r="A16" s="14" t="str">
        <x:v>Vàng</x:v>
      </x:c>
      <x:c r="B16" s="14" t="str">
        <x:v>Ô nhập liệu</x:v>
      </x:c>
      <x:c r="C16" s="14" t="str">
        <x:v>Người dùng</x:v>
      </x:c>
      <x:c r="D16" s="14" t="str">
        <x:v>Được phép cập nhật</x:v>
      </x:c>
    </x:row>
    <x:row r="17">
      <x:c r="A17" s="14" t="str">
        <x:v>Xanh</x:v>
      </x:c>
      <x:c r="B17" s="14" t="str">
        <x:v>Ô công thức</x:v>
      </x:c>
      <x:c r="C17" s="14" t="str">
        <x:v>Hệ thống</x:v>
      </x:c>
      <x:c r="D17" s="14" t="str">
        <x:v>Không nhập đè</x:v>
      </x:c>
    </x:row>
    <x:row r="18">
      <x:c r="A18" s="15" t="str">
        <x:v>Đỏ/Cam</x:v>
      </x:c>
      <x:c r="B18" s="15" t="str">
        <x:v>Cảnh báo</x:v>
      </x:c>
      <x:c r="C18" s="15" t="str">
        <x:v>Người phụ trách</x:v>
      </x:c>
      <x:c r="D18" s="15" t="str">
        <x:v>Sửa trước khi chốt</x:v>
      </x:c>
    </x:row>
  </x:sheetData>
  <x:mergeCells>
    <x:mergeCell ref="A2:E2"/>
    <x:mergeCell ref="A3:E3"/>
  </x:mergeCells>
  <x:conditionalFormatting sqref="D6:D12">
    <x:cfRule type="containsText" dxfId="35" priority="1" operator="containsText" text="Quá hạn"/>
    <x:cfRule type="containsText" dxfId="36" priority="2" operator="containsText" text="Rủi ro"/>
    <x:cfRule type="containsText" dxfId="37" priority="3" operator="containsText" text="Cần"/>
    <x:cfRule type="containsText" dxfId="38" priority="4" operator="containsText" text="Sai"/>
    <x:cfRule type="containsText" dxfId="39" priority="5" operator="containsText" text="Thiếu"/>
    <x:cfRule type="containsText" dxfId="40" priority="6" operator="containsText" text="Hợp lệ"/>
    <x:cfRule type="containsText" dxfId="41" priority="7" operator="containsText" text="đúng hạn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18.889999389648438" hidden="0" customWidth="1"/>
    <x:col min="3" max="3" width="12.779999732971191" hidden="0" customWidth="1"/>
    <x:col min="4" max="4" width="12.220000267028809" hidden="0" customWidth="1"/>
    <x:col min="5" max="5" width="12.779999732971191" hidden="0" customWidth="1"/>
    <x:col min="6" max="6" width="12.779999732971191" hidden="0" customWidth="1"/>
    <x:col min="7" max="7" width="12.220000267028809" hidden="0" customWidth="1"/>
  </x:cols>
  <x:sheetData>
    <x:row r="2">
      <x:c r="A2" s="2" t="str">
        <x:v>DANH MỤC MÁY</x:v>
      </x:c>
    </x:row>
    <x:row r="3">
      <x:c r="A3" s="20" t="str">
        <x:v>Mỗi máy có một mã duy nhất. Phút khả dụng/ca dùng để tính năng lực và mức sử dụng.</x:v>
      </x:c>
      <x:c r="B3" s="3"/>
      <x:c r="C3" s="3"/>
      <x:c r="D3" s="3"/>
      <x:c r="E3" s="3"/>
      <x:c r="F3" s="3"/>
      <x:c r="G3" s="3"/>
    </x:row>
    <x:row r="5">
      <x:c r="A5" s="12" t="str">
        <x:v>MachineID</x:v>
      </x:c>
      <x:c r="B5" s="12" t="str">
        <x:v>Tên máy</x:v>
      </x:c>
      <x:c r="C5" s="12" t="str">
        <x:v>WorkCenter</x:v>
      </x:c>
      <x:c r="D5" s="12" t="str">
        <x:v>Loại máy</x:v>
      </x:c>
      <x:c r="E5" s="12" t="str">
        <x:v>Phút khả dụng/ca</x:v>
      </x:c>
      <x:c r="F5" s="12" t="str">
        <x:v>Đơn giá/giờ</x:v>
      </x:c>
      <x:c r="G5" s="12" t="str">
        <x:v>Trạng thái</x:v>
      </x:c>
    </x:row>
    <x:row r="6">
      <x:c r="A6" s="21" t="str">
        <x:v>MC-SAW-01</x:v>
      </x:c>
      <x:c r="B6" s="21" t="str">
        <x:v>Máy cưa 01</x:v>
      </x:c>
      <x:c r="C6" s="21" t="str">
        <x:v>Cấp phôi</x:v>
      </x:c>
      <x:c r="D6" s="21" t="str">
        <x:v>Saw</x:v>
      </x:c>
      <x:c r="E6" s="23" t="n">
        <x:v>480</x:v>
      </x:c>
      <x:c r="F6" s="23" t="n">
        <x:v>90000</x:v>
      </x:c>
      <x:c r="G6" s="21" t="str">
        <x:v>Hoạt động</x:v>
      </x:c>
    </x:row>
    <x:row r="7">
      <x:c r="A7" s="21" t="str">
        <x:v>MC-LATHE-01</x:v>
      </x:c>
      <x:c r="B7" s="21" t="str">
        <x:v>Máy tiện CNC 01</x:v>
      </x:c>
      <x:c r="C7" s="21" t="str">
        <x:v>Tiện CNC</x:v>
      </x:c>
      <x:c r="D7" s="21" t="str">
        <x:v>CNC Lathe</x:v>
      </x:c>
      <x:c r="E7" s="23" t="n">
        <x:v>480</x:v>
      </x:c>
      <x:c r="F7" s="23" t="n">
        <x:v>280000</x:v>
      </x:c>
      <x:c r="G7" s="21" t="str">
        <x:v>Hoạt động</x:v>
      </x:c>
    </x:row>
    <x:row r="8">
      <x:c r="A8" s="21" t="str">
        <x:v>MC-LATHE-02</x:v>
      </x:c>
      <x:c r="B8" s="21" t="str">
        <x:v>Máy tiện CNC 02</x:v>
      </x:c>
      <x:c r="C8" s="21" t="str">
        <x:v>Tiện CNC</x:v>
      </x:c>
      <x:c r="D8" s="21" t="str">
        <x:v>CNC Lathe</x:v>
      </x:c>
      <x:c r="E8" s="23" t="n">
        <x:v>480</x:v>
      </x:c>
      <x:c r="F8" s="23" t="n">
        <x:v>250000</x:v>
      </x:c>
      <x:c r="G8" s="21" t="str">
        <x:v>Hoạt động</x:v>
      </x:c>
    </x:row>
    <x:row r="9">
      <x:c r="A9" s="21" t="str">
        <x:v>MC-MILL-01</x:v>
      </x:c>
      <x:c r="B9" s="21" t="str">
        <x:v>Máy phay CNC 01</x:v>
      </x:c>
      <x:c r="C9" s="21" t="str">
        <x:v>Phay CNC</x:v>
      </x:c>
      <x:c r="D9" s="21" t="str">
        <x:v>CNC Mill</x:v>
      </x:c>
      <x:c r="E9" s="23" t="n">
        <x:v>480</x:v>
      </x:c>
      <x:c r="F9" s="23" t="n">
        <x:v>300000</x:v>
      </x:c>
      <x:c r="G9" s="21" t="str">
        <x:v>Hoạt động</x:v>
      </x:c>
    </x:row>
    <x:row r="10">
      <x:c r="A10" s="21" t="str">
        <x:v>MC-MILL-02</x:v>
      </x:c>
      <x:c r="B10" s="21" t="str">
        <x:v>Máy phay CNC 02</x:v>
      </x:c>
      <x:c r="C10" s="21" t="str">
        <x:v>Phay CNC</x:v>
      </x:c>
      <x:c r="D10" s="21" t="str">
        <x:v>CNC Mill</x:v>
      </x:c>
      <x:c r="E10" s="23" t="n">
        <x:v>480</x:v>
      </x:c>
      <x:c r="F10" s="23" t="n">
        <x:v>280000</x:v>
      </x:c>
      <x:c r="G10" s="21" t="str">
        <x:v>Hoạt động</x:v>
      </x:c>
    </x:row>
    <x:row r="11">
      <x:c r="A11" s="21" t="str">
        <x:v>MC-WIRE-01</x:v>
      </x:c>
      <x:c r="B11" s="21" t="str">
        <x:v>Máy cắt dây 01</x:v>
      </x:c>
      <x:c r="C11" s="21" t="str">
        <x:v>Cắt dây</x:v>
      </x:c>
      <x:c r="D11" s="21" t="str">
        <x:v>Wire EDM</x:v>
      </x:c>
      <x:c r="E11" s="23" t="n">
        <x:v>480</x:v>
      </x:c>
      <x:c r="F11" s="23" t="n">
        <x:v>260000</x:v>
      </x:c>
      <x:c r="G11" s="21" t="str">
        <x:v>Hoạt động</x:v>
      </x:c>
    </x:row>
    <x:row r="12">
      <x:c r="A12" s="21" t="str">
        <x:v>QC-ROOM</x:v>
      </x:c>
      <x:c r="B12" s="21" t="str">
        <x:v>Phòng đo QC</x:v>
      </x:c>
      <x:c r="C12" s="21" t="str">
        <x:v>QC</x:v>
      </x:c>
      <x:c r="D12" s="21" t="str">
        <x:v>Inspection</x:v>
      </x:c>
      <x:c r="E12" s="23" t="n">
        <x:v>480</x:v>
      </x:c>
      <x:c r="F12" s="23" t="n">
        <x:v>120000</x:v>
      </x:c>
      <x:c r="G12" s="21" t="str">
        <x:v>Hoạt động</x:v>
      </x:c>
    </x:row>
    <x:row r="13">
      <x:c r="A13" s="21"/>
      <x:c r="B13" s="21"/>
      <x:c r="C13" s="21"/>
      <x:c r="D13" s="21"/>
      <x:c r="E13" s="23"/>
      <x:c r="F13" s="23"/>
      <x:c r="G13" s="21"/>
    </x:row>
    <x:row r="14">
      <x:c r="A14" s="21"/>
      <x:c r="B14" s="21"/>
      <x:c r="C14" s="21"/>
      <x:c r="D14" s="21"/>
      <x:c r="E14" s="23"/>
      <x:c r="F14" s="23"/>
      <x:c r="G14" s="21"/>
    </x:row>
    <x:row r="15">
      <x:c r="A15" s="21"/>
      <x:c r="B15" s="21"/>
      <x:c r="C15" s="21"/>
      <x:c r="D15" s="21"/>
      <x:c r="E15" s="23"/>
      <x:c r="F15" s="23"/>
      <x:c r="G15" s="21"/>
    </x:row>
    <x:row r="16">
      <x:c r="A16" s="21"/>
      <x:c r="B16" s="21"/>
      <x:c r="C16" s="21"/>
      <x:c r="D16" s="21"/>
      <x:c r="E16" s="23"/>
      <x:c r="F16" s="23"/>
      <x:c r="G16" s="21"/>
    </x:row>
    <x:row r="17">
      <x:c r="A17" s="21"/>
      <x:c r="B17" s="21"/>
      <x:c r="C17" s="21"/>
      <x:c r="D17" s="21"/>
      <x:c r="E17" s="23"/>
      <x:c r="F17" s="23"/>
      <x:c r="G17" s="21"/>
    </x:row>
    <x:row r="18">
      <x:c r="A18" s="21"/>
      <x:c r="B18" s="21"/>
      <x:c r="C18" s="21"/>
      <x:c r="D18" s="21"/>
      <x:c r="E18" s="23"/>
      <x:c r="F18" s="23"/>
      <x:c r="G18" s="21"/>
    </x:row>
    <x:row r="19">
      <x:c r="A19" s="21"/>
      <x:c r="B19" s="21"/>
      <x:c r="C19" s="21"/>
      <x:c r="D19" s="21"/>
      <x:c r="E19" s="23"/>
      <x:c r="F19" s="23"/>
      <x:c r="G19" s="21"/>
    </x:row>
    <x:row r="20">
      <x:c r="A20" s="21"/>
      <x:c r="B20" s="21"/>
      <x:c r="C20" s="21"/>
      <x:c r="D20" s="21"/>
      <x:c r="E20" s="23"/>
      <x:c r="F20" s="23"/>
      <x:c r="G20" s="21"/>
    </x:row>
    <x:row r="21">
      <x:c r="A21" s="21"/>
      <x:c r="B21" s="21"/>
      <x:c r="C21" s="21"/>
      <x:c r="D21" s="21"/>
      <x:c r="E21" s="23"/>
      <x:c r="F21" s="23"/>
      <x:c r="G21" s="21"/>
    </x:row>
    <x:row r="22">
      <x:c r="A22" s="21"/>
      <x:c r="B22" s="21"/>
      <x:c r="C22" s="21"/>
      <x:c r="D22" s="21"/>
      <x:c r="E22" s="23"/>
      <x:c r="F22" s="23"/>
      <x:c r="G22" s="21"/>
    </x:row>
    <x:row r="23">
      <x:c r="A23" s="21"/>
      <x:c r="B23" s="21"/>
      <x:c r="C23" s="21"/>
      <x:c r="D23" s="21"/>
      <x:c r="E23" s="23"/>
      <x:c r="F23" s="23"/>
      <x:c r="G23" s="21"/>
    </x:row>
    <x:row r="24">
      <x:c r="A24" s="21"/>
      <x:c r="B24" s="21"/>
      <x:c r="C24" s="21"/>
      <x:c r="D24" s="21"/>
      <x:c r="E24" s="23"/>
      <x:c r="F24" s="23"/>
      <x:c r="G24" s="21"/>
    </x:row>
    <x:row r="25">
      <x:c r="A25" s="21"/>
      <x:c r="B25" s="21"/>
      <x:c r="C25" s="21"/>
      <x:c r="D25" s="21"/>
      <x:c r="E25" s="23"/>
      <x:c r="F25" s="23"/>
      <x:c r="G25" s="21"/>
    </x:row>
    <x:row r="26">
      <x:c r="A26" s="21"/>
      <x:c r="B26" s="21"/>
      <x:c r="C26" s="21"/>
      <x:c r="D26" s="21"/>
      <x:c r="E26" s="23"/>
      <x:c r="F26" s="23"/>
      <x:c r="G26" s="21"/>
    </x:row>
    <x:row r="27">
      <x:c r="A27" s="21"/>
      <x:c r="B27" s="21"/>
      <x:c r="C27" s="21"/>
      <x:c r="D27" s="21"/>
      <x:c r="E27" s="23"/>
      <x:c r="F27" s="23"/>
      <x:c r="G27" s="21"/>
    </x:row>
    <x:row r="28">
      <x:c r="A28" s="21"/>
      <x:c r="B28" s="21"/>
      <x:c r="C28" s="21"/>
      <x:c r="D28" s="21"/>
      <x:c r="E28" s="23"/>
      <x:c r="F28" s="23"/>
      <x:c r="G28" s="21"/>
    </x:row>
    <x:row r="29">
      <x:c r="A29" s="21"/>
      <x:c r="B29" s="21"/>
      <x:c r="C29" s="21"/>
      <x:c r="D29" s="21"/>
      <x:c r="E29" s="23"/>
      <x:c r="F29" s="23"/>
      <x:c r="G29" s="21"/>
    </x:row>
    <x:row r="30">
      <x:c r="A30" s="21"/>
      <x:c r="B30" s="21"/>
      <x:c r="C30" s="21"/>
      <x:c r="D30" s="21"/>
      <x:c r="E30" s="23"/>
      <x:c r="F30" s="23"/>
      <x:c r="G30" s="21"/>
    </x:row>
    <x:row r="31">
      <x:c r="A31" s="21"/>
      <x:c r="B31" s="21"/>
      <x:c r="C31" s="21"/>
      <x:c r="D31" s="21"/>
      <x:c r="E31" s="23"/>
      <x:c r="F31" s="23"/>
      <x:c r="G31" s="21"/>
    </x:row>
    <x:row r="32">
      <x:c r="A32" s="21"/>
      <x:c r="B32" s="21"/>
      <x:c r="C32" s="21"/>
      <x:c r="D32" s="21"/>
      <x:c r="E32" s="23"/>
      <x:c r="F32" s="23"/>
      <x:c r="G32" s="21"/>
    </x:row>
    <x:row r="33">
      <x:c r="A33" s="21"/>
      <x:c r="B33" s="21"/>
      <x:c r="C33" s="21"/>
      <x:c r="D33" s="21"/>
      <x:c r="E33" s="23"/>
      <x:c r="F33" s="23"/>
      <x:c r="G33" s="21"/>
    </x:row>
    <x:row r="34">
      <x:c r="A34" s="21"/>
      <x:c r="B34" s="21"/>
      <x:c r="C34" s="21"/>
      <x:c r="D34" s="21"/>
      <x:c r="E34" s="23"/>
      <x:c r="F34" s="23"/>
      <x:c r="G34" s="21"/>
    </x:row>
    <x:row r="35">
      <x:c r="A35" s="21"/>
      <x:c r="B35" s="21"/>
      <x:c r="C35" s="21"/>
      <x:c r="D35" s="21"/>
      <x:c r="E35" s="23"/>
      <x:c r="F35" s="23"/>
      <x:c r="G35" s="21"/>
    </x:row>
    <x:row r="36">
      <x:c r="A36" s="21"/>
      <x:c r="B36" s="21"/>
      <x:c r="C36" s="21"/>
      <x:c r="D36" s="21"/>
      <x:c r="E36" s="23"/>
      <x:c r="F36" s="23"/>
      <x:c r="G36" s="21"/>
    </x:row>
    <x:row r="37">
      <x:c r="A37" s="21"/>
      <x:c r="B37" s="21"/>
      <x:c r="C37" s="21"/>
      <x:c r="D37" s="21"/>
      <x:c r="E37" s="23"/>
      <x:c r="F37" s="23"/>
      <x:c r="G37" s="21"/>
    </x:row>
    <x:row r="38">
      <x:c r="A38" s="21"/>
      <x:c r="B38" s="21"/>
      <x:c r="C38" s="21"/>
      <x:c r="D38" s="21"/>
      <x:c r="E38" s="23"/>
      <x:c r="F38" s="23"/>
      <x:c r="G38" s="21"/>
    </x:row>
    <x:row r="39">
      <x:c r="A39" s="21"/>
      <x:c r="B39" s="21"/>
      <x:c r="C39" s="21"/>
      <x:c r="D39" s="21"/>
      <x:c r="E39" s="23"/>
      <x:c r="F39" s="23"/>
      <x:c r="G39" s="21"/>
    </x:row>
    <x:row r="40">
      <x:c r="A40" s="21"/>
      <x:c r="B40" s="21"/>
      <x:c r="C40" s="21"/>
      <x:c r="D40" s="21"/>
      <x:c r="E40" s="23"/>
      <x:c r="F40" s="23"/>
      <x:c r="G40" s="21"/>
    </x:row>
    <x:row r="41">
      <x:c r="A41" s="21"/>
      <x:c r="B41" s="21"/>
      <x:c r="C41" s="21"/>
      <x:c r="D41" s="21"/>
      <x:c r="E41" s="23"/>
      <x:c r="F41" s="23"/>
      <x:c r="G41" s="21"/>
    </x:row>
    <x:row r="42">
      <x:c r="A42" s="21"/>
      <x:c r="B42" s="21"/>
      <x:c r="C42" s="21"/>
      <x:c r="D42" s="21"/>
      <x:c r="E42" s="23"/>
      <x:c r="F42" s="23"/>
      <x:c r="G42" s="21"/>
    </x:row>
    <x:row r="43">
      <x:c r="A43" s="21"/>
      <x:c r="B43" s="21"/>
      <x:c r="C43" s="21"/>
      <x:c r="D43" s="21"/>
      <x:c r="E43" s="23"/>
      <x:c r="F43" s="23"/>
      <x:c r="G43" s="21"/>
    </x:row>
    <x:row r="44">
      <x:c r="A44" s="21"/>
      <x:c r="B44" s="21"/>
      <x:c r="C44" s="21"/>
      <x:c r="D44" s="21"/>
      <x:c r="E44" s="23"/>
      <x:c r="F44" s="23"/>
      <x:c r="G44" s="21"/>
    </x:row>
    <x:row r="45">
      <x:c r="A45" s="21"/>
      <x:c r="B45" s="21"/>
      <x:c r="C45" s="21"/>
      <x:c r="D45" s="21"/>
      <x:c r="E45" s="23"/>
      <x:c r="F45" s="23"/>
      <x:c r="G45" s="21"/>
    </x:row>
    <x:row r="46">
      <x:c r="A46" s="21"/>
      <x:c r="B46" s="21"/>
      <x:c r="C46" s="21"/>
      <x:c r="D46" s="21"/>
      <x:c r="E46" s="23"/>
      <x:c r="F46" s="23"/>
      <x:c r="G46" s="21"/>
    </x:row>
    <x:row r="47">
      <x:c r="A47" s="21"/>
      <x:c r="B47" s="21"/>
      <x:c r="C47" s="21"/>
      <x:c r="D47" s="21"/>
      <x:c r="E47" s="23"/>
      <x:c r="F47" s="23"/>
      <x:c r="G47" s="21"/>
    </x:row>
    <x:row r="48">
      <x:c r="A48" s="21"/>
      <x:c r="B48" s="21"/>
      <x:c r="C48" s="21"/>
      <x:c r="D48" s="21"/>
      <x:c r="E48" s="23"/>
      <x:c r="F48" s="23"/>
      <x:c r="G48" s="21"/>
    </x:row>
    <x:row r="49">
      <x:c r="A49" s="21"/>
      <x:c r="B49" s="21"/>
      <x:c r="C49" s="21"/>
      <x:c r="D49" s="21"/>
      <x:c r="E49" s="23"/>
      <x:c r="F49" s="23"/>
      <x:c r="G49" s="21"/>
    </x:row>
    <x:row r="50">
      <x:c r="A50" s="21"/>
      <x:c r="B50" s="21"/>
      <x:c r="C50" s="21"/>
      <x:c r="D50" s="21"/>
      <x:c r="E50" s="23"/>
      <x:c r="F50" s="23"/>
      <x:c r="G50" s="21"/>
    </x:row>
    <x:row r="51">
      <x:c r="A51" s="21"/>
      <x:c r="B51" s="21"/>
      <x:c r="C51" s="21"/>
      <x:c r="D51" s="21"/>
      <x:c r="E51" s="23"/>
      <x:c r="F51" s="23"/>
      <x:c r="G51" s="21"/>
    </x:row>
    <x:row r="52">
      <x:c r="A52" s="21"/>
      <x:c r="B52" s="21"/>
      <x:c r="C52" s="21"/>
      <x:c r="D52" s="21"/>
      <x:c r="E52" s="23"/>
      <x:c r="F52" s="23"/>
      <x:c r="G52" s="21"/>
    </x:row>
    <x:row r="53">
      <x:c r="A53" s="21"/>
      <x:c r="B53" s="21"/>
      <x:c r="C53" s="21"/>
      <x:c r="D53" s="21"/>
      <x:c r="E53" s="23"/>
      <x:c r="F53" s="23"/>
      <x:c r="G53" s="21"/>
    </x:row>
    <x:row r="54">
      <x:c r="A54" s="21"/>
      <x:c r="B54" s="21"/>
      <x:c r="C54" s="21"/>
      <x:c r="D54" s="21"/>
      <x:c r="E54" s="23"/>
      <x:c r="F54" s="23"/>
      <x:c r="G54" s="21"/>
    </x:row>
    <x:row r="55">
      <x:c r="A55" s="21"/>
      <x:c r="B55" s="21"/>
      <x:c r="C55" s="21"/>
      <x:c r="D55" s="21"/>
      <x:c r="E55" s="23"/>
      <x:c r="F55" s="23"/>
      <x:c r="G55" s="21"/>
    </x:row>
    <x:row r="56">
      <x:c r="A56" s="21"/>
      <x:c r="B56" s="21"/>
      <x:c r="C56" s="21"/>
      <x:c r="D56" s="21"/>
      <x:c r="E56" s="23"/>
      <x:c r="F56" s="23"/>
      <x:c r="G56" s="21"/>
    </x:row>
    <x:row r="57">
      <x:c r="A57" s="21"/>
      <x:c r="B57" s="21"/>
      <x:c r="C57" s="21"/>
      <x:c r="D57" s="21"/>
      <x:c r="E57" s="23"/>
      <x:c r="F57" s="23"/>
      <x:c r="G57" s="21"/>
    </x:row>
    <x:row r="58">
      <x:c r="A58" s="21"/>
      <x:c r="B58" s="21"/>
      <x:c r="C58" s="21"/>
      <x:c r="D58" s="21"/>
      <x:c r="E58" s="23"/>
      <x:c r="F58" s="23"/>
      <x:c r="G58" s="21"/>
    </x:row>
    <x:row r="59">
      <x:c r="A59" s="21"/>
      <x:c r="B59" s="21"/>
      <x:c r="C59" s="21"/>
      <x:c r="D59" s="21"/>
      <x:c r="E59" s="23"/>
      <x:c r="F59" s="23"/>
      <x:c r="G59" s="21"/>
    </x:row>
    <x:row r="60">
      <x:c r="A60" s="21"/>
      <x:c r="B60" s="21"/>
      <x:c r="C60" s="21"/>
      <x:c r="D60" s="21"/>
      <x:c r="E60" s="23"/>
      <x:c r="F60" s="23"/>
      <x:c r="G60" s="21"/>
    </x:row>
    <x:row r="61">
      <x:c r="A61" s="21"/>
      <x:c r="B61" s="21"/>
      <x:c r="C61" s="21"/>
      <x:c r="D61" s="21"/>
      <x:c r="E61" s="23"/>
      <x:c r="F61" s="23"/>
      <x:c r="G61" s="21"/>
    </x:row>
    <x:row r="62">
      <x:c r="A62" s="21"/>
      <x:c r="B62" s="21"/>
      <x:c r="C62" s="21"/>
      <x:c r="D62" s="21"/>
      <x:c r="E62" s="23"/>
      <x:c r="F62" s="23"/>
      <x:c r="G62" s="21"/>
    </x:row>
    <x:row r="63">
      <x:c r="A63" s="21"/>
      <x:c r="B63" s="21"/>
      <x:c r="C63" s="21"/>
      <x:c r="D63" s="21"/>
      <x:c r="E63" s="23"/>
      <x:c r="F63" s="23"/>
      <x:c r="G63" s="21"/>
    </x:row>
    <x:row r="64">
      <x:c r="A64" s="21"/>
      <x:c r="B64" s="21"/>
      <x:c r="C64" s="21"/>
      <x:c r="D64" s="21"/>
      <x:c r="E64" s="23"/>
      <x:c r="F64" s="23"/>
      <x:c r="G64" s="21"/>
    </x:row>
    <x:row r="65">
      <x:c r="A65" s="21"/>
      <x:c r="B65" s="21"/>
      <x:c r="C65" s="21"/>
      <x:c r="D65" s="21"/>
      <x:c r="E65" s="23"/>
      <x:c r="F65" s="23"/>
      <x:c r="G65" s="21"/>
    </x:row>
    <x:row r="66">
      <x:c r="A66" s="21"/>
      <x:c r="B66" s="21"/>
      <x:c r="C66" s="21"/>
      <x:c r="D66" s="21"/>
      <x:c r="E66" s="23"/>
      <x:c r="F66" s="23"/>
      <x:c r="G66" s="21"/>
    </x:row>
    <x:row r="67">
      <x:c r="A67" s="21"/>
      <x:c r="B67" s="21"/>
      <x:c r="C67" s="21"/>
      <x:c r="D67" s="21"/>
      <x:c r="E67" s="23"/>
      <x:c r="F67" s="23"/>
      <x:c r="G67" s="21"/>
    </x:row>
    <x:row r="68">
      <x:c r="A68" s="21"/>
      <x:c r="B68" s="21"/>
      <x:c r="C68" s="21"/>
      <x:c r="D68" s="21"/>
      <x:c r="E68" s="23"/>
      <x:c r="F68" s="23"/>
      <x:c r="G68" s="21"/>
    </x:row>
    <x:row r="69">
      <x:c r="A69" s="21"/>
      <x:c r="B69" s="21"/>
      <x:c r="C69" s="21"/>
      <x:c r="D69" s="21"/>
      <x:c r="E69" s="23"/>
      <x:c r="F69" s="23"/>
      <x:c r="G69" s="21"/>
    </x:row>
    <x:row r="70">
      <x:c r="A70" s="21"/>
      <x:c r="B70" s="21"/>
      <x:c r="C70" s="21"/>
      <x:c r="D70" s="21"/>
      <x:c r="E70" s="23"/>
      <x:c r="F70" s="23"/>
      <x:c r="G70" s="21"/>
    </x:row>
    <x:row r="71">
      <x:c r="A71" s="21"/>
      <x:c r="B71" s="21"/>
      <x:c r="C71" s="21"/>
      <x:c r="D71" s="21"/>
      <x:c r="E71" s="23"/>
      <x:c r="F71" s="23"/>
      <x:c r="G71" s="21"/>
    </x:row>
    <x:row r="72">
      <x:c r="A72" s="21"/>
      <x:c r="B72" s="21"/>
      <x:c r="C72" s="21"/>
      <x:c r="D72" s="21"/>
      <x:c r="E72" s="23"/>
      <x:c r="F72" s="23"/>
      <x:c r="G72" s="21"/>
    </x:row>
    <x:row r="73">
      <x:c r="A73" s="21"/>
      <x:c r="B73" s="21"/>
      <x:c r="C73" s="21"/>
      <x:c r="D73" s="21"/>
      <x:c r="E73" s="23"/>
      <x:c r="F73" s="23"/>
      <x:c r="G73" s="21"/>
    </x:row>
    <x:row r="74">
      <x:c r="A74" s="21"/>
      <x:c r="B74" s="21"/>
      <x:c r="C74" s="21"/>
      <x:c r="D74" s="21"/>
      <x:c r="E74" s="23"/>
      <x:c r="F74" s="23"/>
      <x:c r="G74" s="21"/>
    </x:row>
    <x:row r="75">
      <x:c r="A75" s="21"/>
      <x:c r="B75" s="21"/>
      <x:c r="C75" s="21"/>
      <x:c r="D75" s="21"/>
      <x:c r="E75" s="23"/>
      <x:c r="F75" s="23"/>
      <x:c r="G75" s="21"/>
    </x:row>
    <x:row r="76">
      <x:c r="A76" s="21"/>
      <x:c r="B76" s="21"/>
      <x:c r="C76" s="21"/>
      <x:c r="D76" s="21"/>
      <x:c r="E76" s="23"/>
      <x:c r="F76" s="23"/>
      <x:c r="G76" s="21"/>
    </x:row>
    <x:row r="77">
      <x:c r="A77" s="21"/>
      <x:c r="B77" s="21"/>
      <x:c r="C77" s="21"/>
      <x:c r="D77" s="21"/>
      <x:c r="E77" s="23"/>
      <x:c r="F77" s="23"/>
      <x:c r="G77" s="21"/>
    </x:row>
    <x:row r="78">
      <x:c r="A78" s="21"/>
      <x:c r="B78" s="21"/>
      <x:c r="C78" s="21"/>
      <x:c r="D78" s="21"/>
      <x:c r="E78" s="23"/>
      <x:c r="F78" s="23"/>
      <x:c r="G78" s="21"/>
    </x:row>
    <x:row r="79">
      <x:c r="A79" s="21"/>
      <x:c r="B79" s="21"/>
      <x:c r="C79" s="21"/>
      <x:c r="D79" s="21"/>
      <x:c r="E79" s="23"/>
      <x:c r="F79" s="23"/>
      <x:c r="G79" s="21"/>
    </x:row>
    <x:row r="80">
      <x:c r="A80" s="21"/>
      <x:c r="B80" s="21"/>
      <x:c r="C80" s="21"/>
      <x:c r="D80" s="21"/>
      <x:c r="E80" s="23"/>
      <x:c r="F80" s="23"/>
      <x:c r="G80" s="21"/>
    </x:row>
    <x:row r="81">
      <x:c r="A81" s="21"/>
      <x:c r="B81" s="21"/>
      <x:c r="C81" s="21"/>
      <x:c r="D81" s="21"/>
      <x:c r="E81" s="23"/>
      <x:c r="F81" s="23"/>
      <x:c r="G81" s="21"/>
    </x:row>
    <x:row r="82">
      <x:c r="A82" s="21"/>
      <x:c r="B82" s="21"/>
      <x:c r="C82" s="21"/>
      <x:c r="D82" s="21"/>
      <x:c r="E82" s="23"/>
      <x:c r="F82" s="23"/>
      <x:c r="G82" s="21"/>
    </x:row>
    <x:row r="83">
      <x:c r="A83" s="21"/>
      <x:c r="B83" s="21"/>
      <x:c r="C83" s="21"/>
      <x:c r="D83" s="21"/>
      <x:c r="E83" s="23"/>
      <x:c r="F83" s="23"/>
      <x:c r="G83" s="21"/>
    </x:row>
    <x:row r="84">
      <x:c r="A84" s="21"/>
      <x:c r="B84" s="21"/>
      <x:c r="C84" s="21"/>
      <x:c r="D84" s="21"/>
      <x:c r="E84" s="23"/>
      <x:c r="F84" s="23"/>
      <x:c r="G84" s="21"/>
    </x:row>
    <x:row r="85">
      <x:c r="A85" s="21"/>
      <x:c r="B85" s="21"/>
      <x:c r="C85" s="21"/>
      <x:c r="D85" s="21"/>
      <x:c r="E85" s="23"/>
      <x:c r="F85" s="23"/>
      <x:c r="G85" s="21"/>
    </x:row>
    <x:row r="86">
      <x:c r="A86" s="21"/>
      <x:c r="B86" s="21"/>
      <x:c r="C86" s="21"/>
      <x:c r="D86" s="21"/>
      <x:c r="E86" s="23"/>
      <x:c r="F86" s="23"/>
      <x:c r="G86" s="21"/>
    </x:row>
    <x:row r="87">
      <x:c r="A87" s="21"/>
      <x:c r="B87" s="21"/>
      <x:c r="C87" s="21"/>
      <x:c r="D87" s="21"/>
      <x:c r="E87" s="23"/>
      <x:c r="F87" s="23"/>
      <x:c r="G87" s="21"/>
    </x:row>
    <x:row r="88">
      <x:c r="A88" s="21"/>
      <x:c r="B88" s="21"/>
      <x:c r="C88" s="21"/>
      <x:c r="D88" s="21"/>
      <x:c r="E88" s="23"/>
      <x:c r="F88" s="23"/>
      <x:c r="G88" s="21"/>
    </x:row>
    <x:row r="89">
      <x:c r="A89" s="21"/>
      <x:c r="B89" s="21"/>
      <x:c r="C89" s="21"/>
      <x:c r="D89" s="21"/>
      <x:c r="E89" s="23"/>
      <x:c r="F89" s="23"/>
      <x:c r="G89" s="21"/>
    </x:row>
    <x:row r="90">
      <x:c r="A90" s="21"/>
      <x:c r="B90" s="21"/>
      <x:c r="C90" s="21"/>
      <x:c r="D90" s="21"/>
      <x:c r="E90" s="23"/>
      <x:c r="F90" s="23"/>
      <x:c r="G90" s="21"/>
    </x:row>
    <x:row r="91">
      <x:c r="A91" s="21"/>
      <x:c r="B91" s="21"/>
      <x:c r="C91" s="21"/>
      <x:c r="D91" s="21"/>
      <x:c r="E91" s="23"/>
      <x:c r="F91" s="23"/>
      <x:c r="G91" s="21"/>
    </x:row>
    <x:row r="92">
      <x:c r="A92" s="21"/>
      <x:c r="B92" s="21"/>
      <x:c r="C92" s="21"/>
      <x:c r="D92" s="21"/>
      <x:c r="E92" s="23"/>
      <x:c r="F92" s="23"/>
      <x:c r="G92" s="21"/>
    </x:row>
    <x:row r="93">
      <x:c r="A93" s="21"/>
      <x:c r="B93" s="21"/>
      <x:c r="C93" s="21"/>
      <x:c r="D93" s="21"/>
      <x:c r="E93" s="23"/>
      <x:c r="F93" s="23"/>
      <x:c r="G93" s="21"/>
    </x:row>
    <x:row r="94">
      <x:c r="A94" s="21"/>
      <x:c r="B94" s="21"/>
      <x:c r="C94" s="21"/>
      <x:c r="D94" s="21"/>
      <x:c r="E94" s="23"/>
      <x:c r="F94" s="23"/>
      <x:c r="G94" s="21"/>
    </x:row>
    <x:row r="95">
      <x:c r="A95" s="21"/>
      <x:c r="B95" s="21"/>
      <x:c r="C95" s="21"/>
      <x:c r="D95" s="21"/>
      <x:c r="E95" s="23"/>
      <x:c r="F95" s="23"/>
      <x:c r="G95" s="21"/>
    </x:row>
    <x:row r="96">
      <x:c r="A96" s="21"/>
      <x:c r="B96" s="21"/>
      <x:c r="C96" s="21"/>
      <x:c r="D96" s="21"/>
      <x:c r="E96" s="23"/>
      <x:c r="F96" s="23"/>
      <x:c r="G96" s="21"/>
    </x:row>
    <x:row r="97">
      <x:c r="A97" s="21"/>
      <x:c r="B97" s="21"/>
      <x:c r="C97" s="21"/>
      <x:c r="D97" s="21"/>
      <x:c r="E97" s="23"/>
      <x:c r="F97" s="23"/>
      <x:c r="G97" s="21"/>
    </x:row>
    <x:row r="98">
      <x:c r="A98" s="21"/>
      <x:c r="B98" s="21"/>
      <x:c r="C98" s="21"/>
      <x:c r="D98" s="21"/>
      <x:c r="E98" s="23"/>
      <x:c r="F98" s="23"/>
      <x:c r="G98" s="21"/>
    </x:row>
    <x:row r="99">
      <x:c r="A99" s="21"/>
      <x:c r="B99" s="21"/>
      <x:c r="C99" s="21"/>
      <x:c r="D99" s="21"/>
      <x:c r="E99" s="23"/>
      <x:c r="F99" s="23"/>
      <x:c r="G99" s="21"/>
    </x:row>
    <x:row r="100">
      <x:c r="A100" s="21"/>
      <x:c r="B100" s="21"/>
      <x:c r="C100" s="21"/>
      <x:c r="D100" s="21"/>
      <x:c r="E100" s="23"/>
      <x:c r="F100" s="23"/>
      <x:c r="G100" s="21"/>
    </x:row>
    <x:row r="101">
      <x:c r="A101" s="21"/>
      <x:c r="B101" s="21"/>
      <x:c r="C101" s="21"/>
      <x:c r="D101" s="21"/>
      <x:c r="E101" s="23"/>
      <x:c r="F101" s="23"/>
      <x:c r="G101" s="21"/>
    </x:row>
    <x:row r="102">
      <x:c r="A102" s="21"/>
      <x:c r="B102" s="21"/>
      <x:c r="C102" s="21"/>
      <x:c r="D102" s="21"/>
      <x:c r="E102" s="23"/>
      <x:c r="F102" s="23"/>
      <x:c r="G102" s="21"/>
    </x:row>
    <x:row r="103">
      <x:c r="A103" s="21"/>
      <x:c r="B103" s="21"/>
      <x:c r="C103" s="21"/>
      <x:c r="D103" s="21"/>
      <x:c r="E103" s="23"/>
      <x:c r="F103" s="23"/>
      <x:c r="G103" s="21"/>
    </x:row>
    <x:row r="104">
      <x:c r="A104" s="21"/>
      <x:c r="B104" s="21"/>
      <x:c r="C104" s="21"/>
      <x:c r="D104" s="21"/>
      <x:c r="E104" s="23"/>
      <x:c r="F104" s="23"/>
      <x:c r="G104" s="21"/>
    </x:row>
    <x:row r="105">
      <x:c r="A105" s="22"/>
      <x:c r="B105" s="22"/>
      <x:c r="C105" s="22"/>
      <x:c r="D105" s="22"/>
      <x:c r="E105" s="24"/>
      <x:c r="F105" s="24"/>
      <x:c r="G105" s="22"/>
    </x:row>
  </x:sheetData>
  <x:mergeCells>
    <x:mergeCell ref="A2:G2"/>
    <x:mergeCell ref="A3:G3"/>
  </x:mergeCells>
  <x:dataValidations count="1">
    <x:dataValidation type="list" sqref="G6:G105">
      <x:formula1>"Hoạt động,Tạm dừng,Ngừng sử dụng"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9cac8a12084c0a"/>
  </x:tableParts>
</x:worksheet>
</file>

<file path=xl/worksheets/sheet10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12.779999732971191" hidden="0" customWidth="1"/>
    <x:col min="4" max="4" width="13.329999923706055" hidden="0" customWidth="1"/>
    <x:col min="5" max="5" width="12.220000267028809" hidden="0" customWidth="1"/>
    <x:col min="6" max="6" width="11.670000076293945" hidden="0" customWidth="1"/>
    <x:col min="7" max="7" width="11.670000076293945" hidden="0" customWidth="1"/>
  </x:cols>
  <x:sheetData>
    <x:row r="2">
      <x:c r="A2" s="2" t="str">
        <x:v>DANH MỤC NHÂN SỰ</x:v>
      </x:c>
    </x:row>
    <x:row r="3">
      <x:c r="A3" s="20" t="str">
        <x:v>Danh mục phục vụ chọn người vận hành và tính chi phí; không dùng một KPI đơn lẻ để đánh giá cá nhân.</x:v>
      </x:c>
      <x:c r="B3" s="3"/>
      <x:c r="C3" s="3"/>
      <x:c r="D3" s="3"/>
      <x:c r="E3" s="3"/>
      <x:c r="F3" s="3"/>
      <x:c r="G3" s="3"/>
    </x:row>
    <x:row r="5">
      <x:c r="A5" s="12" t="str">
        <x:v>EmployeeID</x:v>
      </x:c>
      <x:c r="B5" s="12" t="str">
        <x:v>Họ và tên</x:v>
      </x:c>
      <x:c r="C5" s="12" t="str">
        <x:v>Tổ/Nhóm</x:v>
      </x:c>
      <x:c r="D5" s="12" t="str">
        <x:v>Chức danh</x:v>
      </x:c>
      <x:c r="E5" s="12" t="str">
        <x:v>Đơn giá/giờ</x:v>
      </x:c>
      <x:c r="F5" s="12" t="str">
        <x:v>Ca mặc định</x:v>
      </x:c>
      <x:c r="G5" s="12" t="str">
        <x:v>Trạng thái</x:v>
      </x:c>
    </x:row>
    <x:row r="6">
      <x:c r="A6" s="21" t="str">
        <x:v>NV-1207</x:v>
      </x:c>
      <x:c r="B6" s="21" t="str">
        <x:v>Nguyễn Trường Nhân</x:v>
      </x:c>
      <x:c r="C6" s="21" t="str">
        <x:v>Tiện CNC</x:v>
      </x:c>
      <x:c r="D6" s="21" t="str">
        <x:v>Nhóm trưởng</x:v>
      </x:c>
      <x:c r="E6" s="23" t="n">
        <x:v>85000</x:v>
      </x:c>
      <x:c r="F6" s="21" t="str">
        <x:v>Ca 1</x:v>
      </x:c>
      <x:c r="G6" s="21" t="str">
        <x:v>Làm việc</x:v>
      </x:c>
    </x:row>
    <x:row r="7">
      <x:c r="A7" s="21" t="str">
        <x:v>NV-1624</x:v>
      </x:c>
      <x:c r="B7" s="21" t="str">
        <x:v>Trần Phúc Lộc</x:v>
      </x:c>
      <x:c r="C7" s="21" t="str">
        <x:v>Tiện CNC</x:v>
      </x:c>
      <x:c r="D7" s="21" t="str">
        <x:v>Nhân viên</x:v>
      </x:c>
      <x:c r="E7" s="23" t="n">
        <x:v>70000</x:v>
      </x:c>
      <x:c r="F7" s="21" t="str">
        <x:v>Ca 1</x:v>
      </x:c>
      <x:c r="G7" s="21" t="str">
        <x:v>Làm việc</x:v>
      </x:c>
    </x:row>
    <x:row r="8">
      <x:c r="A8" s="21" t="str">
        <x:v>NV-1236</x:v>
      </x:c>
      <x:c r="B8" s="21" t="str">
        <x:v>Bùi Minh Hoàng</x:v>
      </x:c>
      <x:c r="C8" s="21" t="str">
        <x:v>Phay CNC</x:v>
      </x:c>
      <x:c r="D8" s="21" t="str">
        <x:v>Nhóm trưởng</x:v>
      </x:c>
      <x:c r="E8" s="23" t="n">
        <x:v>85000</x:v>
      </x:c>
      <x:c r="F8" s="21" t="str">
        <x:v>Ca 1</x:v>
      </x:c>
      <x:c r="G8" s="21" t="str">
        <x:v>Làm việc</x:v>
      </x:c>
    </x:row>
    <x:row r="9">
      <x:c r="A9" s="21" t="str">
        <x:v>NV-1575</x:v>
      </x:c>
      <x:c r="B9" s="21" t="str">
        <x:v>Đào Đức Thịnh</x:v>
      </x:c>
      <x:c r="C9" s="21" t="str">
        <x:v>Phay CNC</x:v>
      </x:c>
      <x:c r="D9" s="21" t="str">
        <x:v>Nhân viên</x:v>
      </x:c>
      <x:c r="E9" s="23" t="n">
        <x:v>70000</x:v>
      </x:c>
      <x:c r="F9" s="21" t="str">
        <x:v>Ca 1</x:v>
      </x:c>
      <x:c r="G9" s="21" t="str">
        <x:v>Làm việc</x:v>
      </x:c>
    </x:row>
    <x:row r="10">
      <x:c r="A10" s="21" t="str">
        <x:v>NV-QC01</x:v>
      </x:c>
      <x:c r="B10" s="21" t="str">
        <x:v>Nhân viên QC 01</x:v>
      </x:c>
      <x:c r="C10" s="21" t="str">
        <x:v>QC</x:v>
      </x:c>
      <x:c r="D10" s="21" t="str">
        <x:v>Nhân viên QC</x:v>
      </x:c>
      <x:c r="E10" s="23" t="n">
        <x:v>75000</x:v>
      </x:c>
      <x:c r="F10" s="21" t="str">
        <x:v>Hành chính</x:v>
      </x:c>
      <x:c r="G10" s="21" t="str">
        <x:v>Làm việc</x:v>
      </x:c>
    </x:row>
    <x:row r="11">
      <x:c r="A11" s="21" t="str">
        <x:v>NV-QLSX</x:v>
      </x:c>
      <x:c r="B11" s="21" t="str">
        <x:v>Quản lý sản xuất</x:v>
      </x:c>
      <x:c r="C11" s="21" t="str">
        <x:v>QLSX</x:v>
      </x:c>
      <x:c r="D11" s="21" t="str">
        <x:v>Quản lý</x:v>
      </x:c>
      <x:c r="E11" s="23" t="n">
        <x:v>100000</x:v>
      </x:c>
      <x:c r="F11" s="21" t="str">
        <x:v>Hành chính</x:v>
      </x:c>
      <x:c r="G11" s="21" t="str">
        <x:v>Làm việc</x:v>
      </x:c>
    </x:row>
    <x:row r="12">
      <x:c r="A12" s="21"/>
      <x:c r="B12" s="21"/>
      <x:c r="C12" s="21"/>
      <x:c r="D12" s="21"/>
      <x:c r="E12" s="23"/>
      <x:c r="F12" s="21"/>
      <x:c r="G12" s="21"/>
    </x:row>
    <x:row r="13">
      <x:c r="A13" s="21"/>
      <x:c r="B13" s="21"/>
      <x:c r="C13" s="21"/>
      <x:c r="D13" s="21"/>
      <x:c r="E13" s="23"/>
      <x:c r="F13" s="21"/>
      <x:c r="G13" s="21"/>
    </x:row>
    <x:row r="14">
      <x:c r="A14" s="21"/>
      <x:c r="B14" s="21"/>
      <x:c r="C14" s="21"/>
      <x:c r="D14" s="21"/>
      <x:c r="E14" s="23"/>
      <x:c r="F14" s="21"/>
      <x:c r="G14" s="21"/>
    </x:row>
    <x:row r="15">
      <x:c r="A15" s="21"/>
      <x:c r="B15" s="21"/>
      <x:c r="C15" s="21"/>
      <x:c r="D15" s="21"/>
      <x:c r="E15" s="23"/>
      <x:c r="F15" s="21"/>
      <x:c r="G15" s="21"/>
    </x:row>
    <x:row r="16">
      <x:c r="A16" s="21"/>
      <x:c r="B16" s="21"/>
      <x:c r="C16" s="21"/>
      <x:c r="D16" s="21"/>
      <x:c r="E16" s="23"/>
      <x:c r="F16" s="21"/>
      <x:c r="G16" s="21"/>
    </x:row>
    <x:row r="17">
      <x:c r="A17" s="21"/>
      <x:c r="B17" s="21"/>
      <x:c r="C17" s="21"/>
      <x:c r="D17" s="21"/>
      <x:c r="E17" s="23"/>
      <x:c r="F17" s="21"/>
      <x:c r="G17" s="21"/>
    </x:row>
    <x:row r="18">
      <x:c r="A18" s="21"/>
      <x:c r="B18" s="21"/>
      <x:c r="C18" s="21"/>
      <x:c r="D18" s="21"/>
      <x:c r="E18" s="23"/>
      <x:c r="F18" s="21"/>
      <x:c r="G18" s="21"/>
    </x:row>
    <x:row r="19">
      <x:c r="A19" s="21"/>
      <x:c r="B19" s="21"/>
      <x:c r="C19" s="21"/>
      <x:c r="D19" s="21"/>
      <x:c r="E19" s="23"/>
      <x:c r="F19" s="21"/>
      <x:c r="G19" s="21"/>
    </x:row>
    <x:row r="20">
      <x:c r="A20" s="21"/>
      <x:c r="B20" s="21"/>
      <x:c r="C20" s="21"/>
      <x:c r="D20" s="21"/>
      <x:c r="E20" s="23"/>
      <x:c r="F20" s="21"/>
      <x:c r="G20" s="21"/>
    </x:row>
    <x:row r="21">
      <x:c r="A21" s="21"/>
      <x:c r="B21" s="21"/>
      <x:c r="C21" s="21"/>
      <x:c r="D21" s="21"/>
      <x:c r="E21" s="23"/>
      <x:c r="F21" s="21"/>
      <x:c r="G21" s="21"/>
    </x:row>
    <x:row r="22">
      <x:c r="A22" s="21"/>
      <x:c r="B22" s="21"/>
      <x:c r="C22" s="21"/>
      <x:c r="D22" s="21"/>
      <x:c r="E22" s="23"/>
      <x:c r="F22" s="21"/>
      <x:c r="G22" s="21"/>
    </x:row>
    <x:row r="23">
      <x:c r="A23" s="21"/>
      <x:c r="B23" s="21"/>
      <x:c r="C23" s="21"/>
      <x:c r="D23" s="21"/>
      <x:c r="E23" s="23"/>
      <x:c r="F23" s="21"/>
      <x:c r="G23" s="21"/>
    </x:row>
    <x:row r="24">
      <x:c r="A24" s="21"/>
      <x:c r="B24" s="21"/>
      <x:c r="C24" s="21"/>
      <x:c r="D24" s="21"/>
      <x:c r="E24" s="23"/>
      <x:c r="F24" s="21"/>
      <x:c r="G24" s="21"/>
    </x:row>
    <x:row r="25">
      <x:c r="A25" s="21"/>
      <x:c r="B25" s="21"/>
      <x:c r="C25" s="21"/>
      <x:c r="D25" s="21"/>
      <x:c r="E25" s="23"/>
      <x:c r="F25" s="21"/>
      <x:c r="G25" s="21"/>
    </x:row>
    <x:row r="26">
      <x:c r="A26" s="21"/>
      <x:c r="B26" s="21"/>
      <x:c r="C26" s="21"/>
      <x:c r="D26" s="21"/>
      <x:c r="E26" s="23"/>
      <x:c r="F26" s="21"/>
      <x:c r="G26" s="21"/>
    </x:row>
    <x:row r="27">
      <x:c r="A27" s="21"/>
      <x:c r="B27" s="21"/>
      <x:c r="C27" s="21"/>
      <x:c r="D27" s="21"/>
      <x:c r="E27" s="23"/>
      <x:c r="F27" s="21"/>
      <x:c r="G27" s="21"/>
    </x:row>
    <x:row r="28">
      <x:c r="A28" s="21"/>
      <x:c r="B28" s="21"/>
      <x:c r="C28" s="21"/>
      <x:c r="D28" s="21"/>
      <x:c r="E28" s="23"/>
      <x:c r="F28" s="21"/>
      <x:c r="G28" s="21"/>
    </x:row>
    <x:row r="29">
      <x:c r="A29" s="21"/>
      <x:c r="B29" s="21"/>
      <x:c r="C29" s="21"/>
      <x:c r="D29" s="21"/>
      <x:c r="E29" s="23"/>
      <x:c r="F29" s="21"/>
      <x:c r="G29" s="21"/>
    </x:row>
    <x:row r="30">
      <x:c r="A30" s="21"/>
      <x:c r="B30" s="21"/>
      <x:c r="C30" s="21"/>
      <x:c r="D30" s="21"/>
      <x:c r="E30" s="23"/>
      <x:c r="F30" s="21"/>
      <x:c r="G30" s="21"/>
    </x:row>
    <x:row r="31">
      <x:c r="A31" s="21"/>
      <x:c r="B31" s="21"/>
      <x:c r="C31" s="21"/>
      <x:c r="D31" s="21"/>
      <x:c r="E31" s="23"/>
      <x:c r="F31" s="21"/>
      <x:c r="G31" s="21"/>
    </x:row>
    <x:row r="32">
      <x:c r="A32" s="21"/>
      <x:c r="B32" s="21"/>
      <x:c r="C32" s="21"/>
      <x:c r="D32" s="21"/>
      <x:c r="E32" s="23"/>
      <x:c r="F32" s="21"/>
      <x:c r="G32" s="21"/>
    </x:row>
    <x:row r="33">
      <x:c r="A33" s="21"/>
      <x:c r="B33" s="21"/>
      <x:c r="C33" s="21"/>
      <x:c r="D33" s="21"/>
      <x:c r="E33" s="23"/>
      <x:c r="F33" s="21"/>
      <x:c r="G33" s="21"/>
    </x:row>
    <x:row r="34">
      <x:c r="A34" s="21"/>
      <x:c r="B34" s="21"/>
      <x:c r="C34" s="21"/>
      <x:c r="D34" s="21"/>
      <x:c r="E34" s="23"/>
      <x:c r="F34" s="21"/>
      <x:c r="G34" s="21"/>
    </x:row>
    <x:row r="35">
      <x:c r="A35" s="21"/>
      <x:c r="B35" s="21"/>
      <x:c r="C35" s="21"/>
      <x:c r="D35" s="21"/>
      <x:c r="E35" s="23"/>
      <x:c r="F35" s="21"/>
      <x:c r="G35" s="21"/>
    </x:row>
    <x:row r="36">
      <x:c r="A36" s="21"/>
      <x:c r="B36" s="21"/>
      <x:c r="C36" s="21"/>
      <x:c r="D36" s="21"/>
      <x:c r="E36" s="23"/>
      <x:c r="F36" s="21"/>
      <x:c r="G36" s="21"/>
    </x:row>
    <x:row r="37">
      <x:c r="A37" s="21"/>
      <x:c r="B37" s="21"/>
      <x:c r="C37" s="21"/>
      <x:c r="D37" s="21"/>
      <x:c r="E37" s="23"/>
      <x:c r="F37" s="21"/>
      <x:c r="G37" s="21"/>
    </x:row>
    <x:row r="38">
      <x:c r="A38" s="21"/>
      <x:c r="B38" s="21"/>
      <x:c r="C38" s="21"/>
      <x:c r="D38" s="21"/>
      <x:c r="E38" s="23"/>
      <x:c r="F38" s="21"/>
      <x:c r="G38" s="21"/>
    </x:row>
    <x:row r="39">
      <x:c r="A39" s="21"/>
      <x:c r="B39" s="21"/>
      <x:c r="C39" s="21"/>
      <x:c r="D39" s="21"/>
      <x:c r="E39" s="23"/>
      <x:c r="F39" s="21"/>
      <x:c r="G39" s="21"/>
    </x:row>
    <x:row r="40">
      <x:c r="A40" s="21"/>
      <x:c r="B40" s="21"/>
      <x:c r="C40" s="21"/>
      <x:c r="D40" s="21"/>
      <x:c r="E40" s="23"/>
      <x:c r="F40" s="21"/>
      <x:c r="G40" s="21"/>
    </x:row>
    <x:row r="41">
      <x:c r="A41" s="21"/>
      <x:c r="B41" s="21"/>
      <x:c r="C41" s="21"/>
      <x:c r="D41" s="21"/>
      <x:c r="E41" s="23"/>
      <x:c r="F41" s="21"/>
      <x:c r="G41" s="21"/>
    </x:row>
    <x:row r="42">
      <x:c r="A42" s="21"/>
      <x:c r="B42" s="21"/>
      <x:c r="C42" s="21"/>
      <x:c r="D42" s="21"/>
      <x:c r="E42" s="23"/>
      <x:c r="F42" s="21"/>
      <x:c r="G42" s="21"/>
    </x:row>
    <x:row r="43">
      <x:c r="A43" s="21"/>
      <x:c r="B43" s="21"/>
      <x:c r="C43" s="21"/>
      <x:c r="D43" s="21"/>
      <x:c r="E43" s="23"/>
      <x:c r="F43" s="21"/>
      <x:c r="G43" s="21"/>
    </x:row>
    <x:row r="44">
      <x:c r="A44" s="21"/>
      <x:c r="B44" s="21"/>
      <x:c r="C44" s="21"/>
      <x:c r="D44" s="21"/>
      <x:c r="E44" s="23"/>
      <x:c r="F44" s="21"/>
      <x:c r="G44" s="21"/>
    </x:row>
    <x:row r="45">
      <x:c r="A45" s="21"/>
      <x:c r="B45" s="21"/>
      <x:c r="C45" s="21"/>
      <x:c r="D45" s="21"/>
      <x:c r="E45" s="23"/>
      <x:c r="F45" s="21"/>
      <x:c r="G45" s="21"/>
    </x:row>
    <x:row r="46">
      <x:c r="A46" s="21"/>
      <x:c r="B46" s="21"/>
      <x:c r="C46" s="21"/>
      <x:c r="D46" s="21"/>
      <x:c r="E46" s="23"/>
      <x:c r="F46" s="21"/>
      <x:c r="G46" s="21"/>
    </x:row>
    <x:row r="47">
      <x:c r="A47" s="21"/>
      <x:c r="B47" s="21"/>
      <x:c r="C47" s="21"/>
      <x:c r="D47" s="21"/>
      <x:c r="E47" s="23"/>
      <x:c r="F47" s="21"/>
      <x:c r="G47" s="21"/>
    </x:row>
    <x:row r="48">
      <x:c r="A48" s="21"/>
      <x:c r="B48" s="21"/>
      <x:c r="C48" s="21"/>
      <x:c r="D48" s="21"/>
      <x:c r="E48" s="23"/>
      <x:c r="F48" s="21"/>
      <x:c r="G48" s="21"/>
    </x:row>
    <x:row r="49">
      <x:c r="A49" s="21"/>
      <x:c r="B49" s="21"/>
      <x:c r="C49" s="21"/>
      <x:c r="D49" s="21"/>
      <x:c r="E49" s="23"/>
      <x:c r="F49" s="21"/>
      <x:c r="G49" s="21"/>
    </x:row>
    <x:row r="50">
      <x:c r="A50" s="21"/>
      <x:c r="B50" s="21"/>
      <x:c r="C50" s="21"/>
      <x:c r="D50" s="21"/>
      <x:c r="E50" s="23"/>
      <x:c r="F50" s="21"/>
      <x:c r="G50" s="21"/>
    </x:row>
    <x:row r="51">
      <x:c r="A51" s="21"/>
      <x:c r="B51" s="21"/>
      <x:c r="C51" s="21"/>
      <x:c r="D51" s="21"/>
      <x:c r="E51" s="23"/>
      <x:c r="F51" s="21"/>
      <x:c r="G51" s="21"/>
    </x:row>
    <x:row r="52">
      <x:c r="A52" s="21"/>
      <x:c r="B52" s="21"/>
      <x:c r="C52" s="21"/>
      <x:c r="D52" s="21"/>
      <x:c r="E52" s="23"/>
      <x:c r="F52" s="21"/>
      <x:c r="G52" s="21"/>
    </x:row>
    <x:row r="53">
      <x:c r="A53" s="21"/>
      <x:c r="B53" s="21"/>
      <x:c r="C53" s="21"/>
      <x:c r="D53" s="21"/>
      <x:c r="E53" s="23"/>
      <x:c r="F53" s="21"/>
      <x:c r="G53" s="21"/>
    </x:row>
    <x:row r="54">
      <x:c r="A54" s="21"/>
      <x:c r="B54" s="21"/>
      <x:c r="C54" s="21"/>
      <x:c r="D54" s="21"/>
      <x:c r="E54" s="23"/>
      <x:c r="F54" s="21"/>
      <x:c r="G54" s="21"/>
    </x:row>
    <x:row r="55">
      <x:c r="A55" s="21"/>
      <x:c r="B55" s="21"/>
      <x:c r="C55" s="21"/>
      <x:c r="D55" s="21"/>
      <x:c r="E55" s="23"/>
      <x:c r="F55" s="21"/>
      <x:c r="G55" s="21"/>
    </x:row>
    <x:row r="56">
      <x:c r="A56" s="21"/>
      <x:c r="B56" s="21"/>
      <x:c r="C56" s="21"/>
      <x:c r="D56" s="21"/>
      <x:c r="E56" s="23"/>
      <x:c r="F56" s="21"/>
      <x:c r="G56" s="21"/>
    </x:row>
    <x:row r="57">
      <x:c r="A57" s="21"/>
      <x:c r="B57" s="21"/>
      <x:c r="C57" s="21"/>
      <x:c r="D57" s="21"/>
      <x:c r="E57" s="23"/>
      <x:c r="F57" s="21"/>
      <x:c r="G57" s="21"/>
    </x:row>
    <x:row r="58">
      <x:c r="A58" s="21"/>
      <x:c r="B58" s="21"/>
      <x:c r="C58" s="21"/>
      <x:c r="D58" s="21"/>
      <x:c r="E58" s="23"/>
      <x:c r="F58" s="21"/>
      <x:c r="G58" s="21"/>
    </x:row>
    <x:row r="59">
      <x:c r="A59" s="21"/>
      <x:c r="B59" s="21"/>
      <x:c r="C59" s="21"/>
      <x:c r="D59" s="21"/>
      <x:c r="E59" s="23"/>
      <x:c r="F59" s="21"/>
      <x:c r="G59" s="21"/>
    </x:row>
    <x:row r="60">
      <x:c r="A60" s="21"/>
      <x:c r="B60" s="21"/>
      <x:c r="C60" s="21"/>
      <x:c r="D60" s="21"/>
      <x:c r="E60" s="23"/>
      <x:c r="F60" s="21"/>
      <x:c r="G60" s="21"/>
    </x:row>
    <x:row r="61">
      <x:c r="A61" s="21"/>
      <x:c r="B61" s="21"/>
      <x:c r="C61" s="21"/>
      <x:c r="D61" s="21"/>
      <x:c r="E61" s="23"/>
      <x:c r="F61" s="21"/>
      <x:c r="G61" s="21"/>
    </x:row>
    <x:row r="62">
      <x:c r="A62" s="21"/>
      <x:c r="B62" s="21"/>
      <x:c r="C62" s="21"/>
      <x:c r="D62" s="21"/>
      <x:c r="E62" s="23"/>
      <x:c r="F62" s="21"/>
      <x:c r="G62" s="21"/>
    </x:row>
    <x:row r="63">
      <x:c r="A63" s="21"/>
      <x:c r="B63" s="21"/>
      <x:c r="C63" s="21"/>
      <x:c r="D63" s="21"/>
      <x:c r="E63" s="23"/>
      <x:c r="F63" s="21"/>
      <x:c r="G63" s="21"/>
    </x:row>
    <x:row r="64">
      <x:c r="A64" s="21"/>
      <x:c r="B64" s="21"/>
      <x:c r="C64" s="21"/>
      <x:c r="D64" s="21"/>
      <x:c r="E64" s="23"/>
      <x:c r="F64" s="21"/>
      <x:c r="G64" s="21"/>
    </x:row>
    <x:row r="65">
      <x:c r="A65" s="21"/>
      <x:c r="B65" s="21"/>
      <x:c r="C65" s="21"/>
      <x:c r="D65" s="21"/>
      <x:c r="E65" s="23"/>
      <x:c r="F65" s="21"/>
      <x:c r="G65" s="21"/>
    </x:row>
    <x:row r="66">
      <x:c r="A66" s="21"/>
      <x:c r="B66" s="21"/>
      <x:c r="C66" s="21"/>
      <x:c r="D66" s="21"/>
      <x:c r="E66" s="23"/>
      <x:c r="F66" s="21"/>
      <x:c r="G66" s="21"/>
    </x:row>
    <x:row r="67">
      <x:c r="A67" s="21"/>
      <x:c r="B67" s="21"/>
      <x:c r="C67" s="21"/>
      <x:c r="D67" s="21"/>
      <x:c r="E67" s="23"/>
      <x:c r="F67" s="21"/>
      <x:c r="G67" s="21"/>
    </x:row>
    <x:row r="68">
      <x:c r="A68" s="21"/>
      <x:c r="B68" s="21"/>
      <x:c r="C68" s="21"/>
      <x:c r="D68" s="21"/>
      <x:c r="E68" s="23"/>
      <x:c r="F68" s="21"/>
      <x:c r="G68" s="21"/>
    </x:row>
    <x:row r="69">
      <x:c r="A69" s="21"/>
      <x:c r="B69" s="21"/>
      <x:c r="C69" s="21"/>
      <x:c r="D69" s="21"/>
      <x:c r="E69" s="23"/>
      <x:c r="F69" s="21"/>
      <x:c r="G69" s="21"/>
    </x:row>
    <x:row r="70">
      <x:c r="A70" s="21"/>
      <x:c r="B70" s="21"/>
      <x:c r="C70" s="21"/>
      <x:c r="D70" s="21"/>
      <x:c r="E70" s="23"/>
      <x:c r="F70" s="21"/>
      <x:c r="G70" s="21"/>
    </x:row>
    <x:row r="71">
      <x:c r="A71" s="21"/>
      <x:c r="B71" s="21"/>
      <x:c r="C71" s="21"/>
      <x:c r="D71" s="21"/>
      <x:c r="E71" s="23"/>
      <x:c r="F71" s="21"/>
      <x:c r="G71" s="21"/>
    </x:row>
    <x:row r="72">
      <x:c r="A72" s="21"/>
      <x:c r="B72" s="21"/>
      <x:c r="C72" s="21"/>
      <x:c r="D72" s="21"/>
      <x:c r="E72" s="23"/>
      <x:c r="F72" s="21"/>
      <x:c r="G72" s="21"/>
    </x:row>
    <x:row r="73">
      <x:c r="A73" s="21"/>
      <x:c r="B73" s="21"/>
      <x:c r="C73" s="21"/>
      <x:c r="D73" s="21"/>
      <x:c r="E73" s="23"/>
      <x:c r="F73" s="21"/>
      <x:c r="G73" s="21"/>
    </x:row>
    <x:row r="74">
      <x:c r="A74" s="21"/>
      <x:c r="B74" s="21"/>
      <x:c r="C74" s="21"/>
      <x:c r="D74" s="21"/>
      <x:c r="E74" s="23"/>
      <x:c r="F74" s="21"/>
      <x:c r="G74" s="21"/>
    </x:row>
    <x:row r="75">
      <x:c r="A75" s="21"/>
      <x:c r="B75" s="21"/>
      <x:c r="C75" s="21"/>
      <x:c r="D75" s="21"/>
      <x:c r="E75" s="23"/>
      <x:c r="F75" s="21"/>
      <x:c r="G75" s="21"/>
    </x:row>
    <x:row r="76">
      <x:c r="A76" s="21"/>
      <x:c r="B76" s="21"/>
      <x:c r="C76" s="21"/>
      <x:c r="D76" s="21"/>
      <x:c r="E76" s="23"/>
      <x:c r="F76" s="21"/>
      <x:c r="G76" s="21"/>
    </x:row>
    <x:row r="77">
      <x:c r="A77" s="21"/>
      <x:c r="B77" s="21"/>
      <x:c r="C77" s="21"/>
      <x:c r="D77" s="21"/>
      <x:c r="E77" s="23"/>
      <x:c r="F77" s="21"/>
      <x:c r="G77" s="21"/>
    </x:row>
    <x:row r="78">
      <x:c r="A78" s="21"/>
      <x:c r="B78" s="21"/>
      <x:c r="C78" s="21"/>
      <x:c r="D78" s="21"/>
      <x:c r="E78" s="23"/>
      <x:c r="F78" s="21"/>
      <x:c r="G78" s="21"/>
    </x:row>
    <x:row r="79">
      <x:c r="A79" s="21"/>
      <x:c r="B79" s="21"/>
      <x:c r="C79" s="21"/>
      <x:c r="D79" s="21"/>
      <x:c r="E79" s="23"/>
      <x:c r="F79" s="21"/>
      <x:c r="G79" s="21"/>
    </x:row>
    <x:row r="80">
      <x:c r="A80" s="21"/>
      <x:c r="B80" s="21"/>
      <x:c r="C80" s="21"/>
      <x:c r="D80" s="21"/>
      <x:c r="E80" s="23"/>
      <x:c r="F80" s="21"/>
      <x:c r="G80" s="21"/>
    </x:row>
    <x:row r="81">
      <x:c r="A81" s="21"/>
      <x:c r="B81" s="21"/>
      <x:c r="C81" s="21"/>
      <x:c r="D81" s="21"/>
      <x:c r="E81" s="23"/>
      <x:c r="F81" s="21"/>
      <x:c r="G81" s="21"/>
    </x:row>
    <x:row r="82">
      <x:c r="A82" s="21"/>
      <x:c r="B82" s="21"/>
      <x:c r="C82" s="21"/>
      <x:c r="D82" s="21"/>
      <x:c r="E82" s="23"/>
      <x:c r="F82" s="21"/>
      <x:c r="G82" s="21"/>
    </x:row>
    <x:row r="83">
      <x:c r="A83" s="21"/>
      <x:c r="B83" s="21"/>
      <x:c r="C83" s="21"/>
      <x:c r="D83" s="21"/>
      <x:c r="E83" s="23"/>
      <x:c r="F83" s="21"/>
      <x:c r="G83" s="21"/>
    </x:row>
    <x:row r="84">
      <x:c r="A84" s="21"/>
      <x:c r="B84" s="21"/>
      <x:c r="C84" s="21"/>
      <x:c r="D84" s="21"/>
      <x:c r="E84" s="23"/>
      <x:c r="F84" s="21"/>
      <x:c r="G84" s="21"/>
    </x:row>
    <x:row r="85">
      <x:c r="A85" s="21"/>
      <x:c r="B85" s="21"/>
      <x:c r="C85" s="21"/>
      <x:c r="D85" s="21"/>
      <x:c r="E85" s="23"/>
      <x:c r="F85" s="21"/>
      <x:c r="G85" s="21"/>
    </x:row>
    <x:row r="86">
      <x:c r="A86" s="21"/>
      <x:c r="B86" s="21"/>
      <x:c r="C86" s="21"/>
      <x:c r="D86" s="21"/>
      <x:c r="E86" s="23"/>
      <x:c r="F86" s="21"/>
      <x:c r="G86" s="21"/>
    </x:row>
    <x:row r="87">
      <x:c r="A87" s="21"/>
      <x:c r="B87" s="21"/>
      <x:c r="C87" s="21"/>
      <x:c r="D87" s="21"/>
      <x:c r="E87" s="23"/>
      <x:c r="F87" s="21"/>
      <x:c r="G87" s="21"/>
    </x:row>
    <x:row r="88">
      <x:c r="A88" s="21"/>
      <x:c r="B88" s="21"/>
      <x:c r="C88" s="21"/>
      <x:c r="D88" s="21"/>
      <x:c r="E88" s="23"/>
      <x:c r="F88" s="21"/>
      <x:c r="G88" s="21"/>
    </x:row>
    <x:row r="89">
      <x:c r="A89" s="21"/>
      <x:c r="B89" s="21"/>
      <x:c r="C89" s="21"/>
      <x:c r="D89" s="21"/>
      <x:c r="E89" s="23"/>
      <x:c r="F89" s="21"/>
      <x:c r="G89" s="21"/>
    </x:row>
    <x:row r="90">
      <x:c r="A90" s="21"/>
      <x:c r="B90" s="21"/>
      <x:c r="C90" s="21"/>
      <x:c r="D90" s="21"/>
      <x:c r="E90" s="23"/>
      <x:c r="F90" s="21"/>
      <x:c r="G90" s="21"/>
    </x:row>
    <x:row r="91">
      <x:c r="A91" s="21"/>
      <x:c r="B91" s="21"/>
      <x:c r="C91" s="21"/>
      <x:c r="D91" s="21"/>
      <x:c r="E91" s="23"/>
      <x:c r="F91" s="21"/>
      <x:c r="G91" s="21"/>
    </x:row>
    <x:row r="92">
      <x:c r="A92" s="21"/>
      <x:c r="B92" s="21"/>
      <x:c r="C92" s="21"/>
      <x:c r="D92" s="21"/>
      <x:c r="E92" s="23"/>
      <x:c r="F92" s="21"/>
      <x:c r="G92" s="21"/>
    </x:row>
    <x:row r="93">
      <x:c r="A93" s="21"/>
      <x:c r="B93" s="21"/>
      <x:c r="C93" s="21"/>
      <x:c r="D93" s="21"/>
      <x:c r="E93" s="23"/>
      <x:c r="F93" s="21"/>
      <x:c r="G93" s="21"/>
    </x:row>
    <x:row r="94">
      <x:c r="A94" s="21"/>
      <x:c r="B94" s="21"/>
      <x:c r="C94" s="21"/>
      <x:c r="D94" s="21"/>
      <x:c r="E94" s="23"/>
      <x:c r="F94" s="21"/>
      <x:c r="G94" s="21"/>
    </x:row>
    <x:row r="95">
      <x:c r="A95" s="21"/>
      <x:c r="B95" s="21"/>
      <x:c r="C95" s="21"/>
      <x:c r="D95" s="21"/>
      <x:c r="E95" s="23"/>
      <x:c r="F95" s="21"/>
      <x:c r="G95" s="21"/>
    </x:row>
    <x:row r="96">
      <x:c r="A96" s="21"/>
      <x:c r="B96" s="21"/>
      <x:c r="C96" s="21"/>
      <x:c r="D96" s="21"/>
      <x:c r="E96" s="23"/>
      <x:c r="F96" s="21"/>
      <x:c r="G96" s="21"/>
    </x:row>
    <x:row r="97">
      <x:c r="A97" s="21"/>
      <x:c r="B97" s="21"/>
      <x:c r="C97" s="21"/>
      <x:c r="D97" s="21"/>
      <x:c r="E97" s="23"/>
      <x:c r="F97" s="21"/>
      <x:c r="G97" s="21"/>
    </x:row>
    <x:row r="98">
      <x:c r="A98" s="21"/>
      <x:c r="B98" s="21"/>
      <x:c r="C98" s="21"/>
      <x:c r="D98" s="21"/>
      <x:c r="E98" s="23"/>
      <x:c r="F98" s="21"/>
      <x:c r="G98" s="21"/>
    </x:row>
    <x:row r="99">
      <x:c r="A99" s="21"/>
      <x:c r="B99" s="21"/>
      <x:c r="C99" s="21"/>
      <x:c r="D99" s="21"/>
      <x:c r="E99" s="23"/>
      <x:c r="F99" s="21"/>
      <x:c r="G99" s="21"/>
    </x:row>
    <x:row r="100">
      <x:c r="A100" s="21"/>
      <x:c r="B100" s="21"/>
      <x:c r="C100" s="21"/>
      <x:c r="D100" s="21"/>
      <x:c r="E100" s="23"/>
      <x:c r="F100" s="21"/>
      <x:c r="G100" s="21"/>
    </x:row>
    <x:row r="101">
      <x:c r="A101" s="21"/>
      <x:c r="B101" s="21"/>
      <x:c r="C101" s="21"/>
      <x:c r="D101" s="21"/>
      <x:c r="E101" s="23"/>
      <x:c r="F101" s="21"/>
      <x:c r="G101" s="21"/>
    </x:row>
    <x:row r="102">
      <x:c r="A102" s="21"/>
      <x:c r="B102" s="21"/>
      <x:c r="C102" s="21"/>
      <x:c r="D102" s="21"/>
      <x:c r="E102" s="23"/>
      <x:c r="F102" s="21"/>
      <x:c r="G102" s="21"/>
    </x:row>
    <x:row r="103">
      <x:c r="A103" s="21"/>
      <x:c r="B103" s="21"/>
      <x:c r="C103" s="21"/>
      <x:c r="D103" s="21"/>
      <x:c r="E103" s="23"/>
      <x:c r="F103" s="21"/>
      <x:c r="G103" s="21"/>
    </x:row>
    <x:row r="104">
      <x:c r="A104" s="21"/>
      <x:c r="B104" s="21"/>
      <x:c r="C104" s="21"/>
      <x:c r="D104" s="21"/>
      <x:c r="E104" s="23"/>
      <x:c r="F104" s="21"/>
      <x:c r="G104" s="21"/>
    </x:row>
    <x:row r="105">
      <x:c r="A105" s="22"/>
      <x:c r="B105" s="22"/>
      <x:c r="C105" s="22"/>
      <x:c r="D105" s="22"/>
      <x:c r="E105" s="24"/>
      <x:c r="F105" s="22"/>
      <x:c r="G105" s="22"/>
    </x:row>
  </x:sheetData>
  <x:mergeCells>
    <x:mergeCell ref="A2:G2"/>
    <x:mergeCell ref="A3:G3"/>
  </x:mergeCells>
  <x:dataValidations count="1">
    <x:dataValidation type="list" sqref="G6:G105">
      <x:formula1>"Làm việc,Tạm nghỉ,Nghỉ việc"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55d72840dc47aa"/>
  </x:tableParts>
</x:worksheet>
</file>

<file path=xl/worksheets/sheet11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779999732971191" hidden="0" customWidth="1"/>
    <x:col min="2" max="2" width="17.780000686645508" hidden="0" customWidth="1"/>
    <x:col min="3" max="3" width="12.779999732971191" hidden="0" customWidth="1"/>
    <x:col min="4" max="4" width="8.329999923706055" hidden="0" customWidth="1"/>
    <x:col min="5" max="5" width="12.779999732971191" hidden="0" customWidth="1"/>
    <x:col min="6" max="6" width="12.779999732971191" hidden="0" customWidth="1"/>
    <x:col min="7" max="7" width="11.109999656677246" hidden="0" customWidth="1"/>
    <x:col min="8" max="8" width="12.220000267028809" hidden="0" customWidth="1"/>
    <x:col min="9" max="9" width="11.109999656677246" hidden="0" customWidth="1"/>
  </x:cols>
  <x:sheetData>
    <x:row r="2">
      <x:c r="A2" s="2" t="str">
        <x:v>DANH MỤC CÔNG ĐOẠN</x:v>
      </x:c>
    </x:row>
    <x:row r="3">
      <x:c r="A3" s="20" t="str">
        <x:v>Định mức tại đây là giá trị gợi ý; kế hoạch cụ thể của từng bản vẽ được xác nhận tại 04_KE_HOACH_CD.</x:v>
      </x:c>
      <x:c r="B3" s="3"/>
      <x:c r="C3" s="3"/>
      <x:c r="D3" s="3"/>
      <x:c r="E3" s="3"/>
      <x:c r="F3" s="3"/>
      <x:c r="G3" s="3"/>
      <x:c r="H3" s="3"/>
      <x:c r="I3" s="3"/>
    </x:row>
    <x:row r="5">
      <x:c r="A5" s="12" t="str">
        <x:v>OperationCode</x:v>
      </x:c>
      <x:c r="B5" s="12" t="str">
        <x:v>Tên công đoạn</x:v>
      </x:c>
      <x:c r="C5" s="12" t="str">
        <x:v>WorkCenter</x:v>
      </x:c>
      <x:c r="D5" s="12" t="str">
        <x:v>Đơn vị</x:v>
      </x:c>
      <x:c r="E5" s="12" t="str">
        <x:v>Setup mặc định</x:v>
      </x:c>
      <x:c r="F5" s="12" t="str">
        <x:v>Cycle mặc định</x:v>
      </x:c>
      <x:c r="G5" s="12" t="str">
        <x:v>Bắt buộc QC</x:v>
      </x:c>
      <x:c r="H5" s="12" t="str">
        <x:v>Nhóm máy</x:v>
      </x:c>
      <x:c r="I5" s="12" t="str">
        <x:v>Trạng thái</x:v>
      </x:c>
    </x:row>
    <x:row r="6">
      <x:c r="A6" s="21" t="str">
        <x:v>TAO_PHOI</x:v>
      </x:c>
      <x:c r="B6" s="21" t="str">
        <x:v>Tạo phôi</x:v>
      </x:c>
      <x:c r="C6" s="21" t="str">
        <x:v>Cấp phôi</x:v>
      </x:c>
      <x:c r="D6" s="21" t="str">
        <x:v>PCS</x:v>
      </x:c>
      <x:c r="E6" s="25" t="n">
        <x:v>20</x:v>
      </x:c>
      <x:c r="F6" s="25" t="n">
        <x:v>5</x:v>
      </x:c>
      <x:c r="G6" s="21" t="str">
        <x:v>Không</x:v>
      </x:c>
      <x:c r="H6" s="21" t="str">
        <x:v>Cấp phôi</x:v>
      </x:c>
      <x:c r="I6" s="21" t="str">
        <x:v>Hoạt động</x:v>
      </x:c>
    </x:row>
    <x:row r="7">
      <x:c r="A7" s="21" t="str">
        <x:v>PHAY_NC1</x:v>
      </x:c>
      <x:c r="B7" s="21" t="str">
        <x:v>Phay NC1</x:v>
      </x:c>
      <x:c r="C7" s="21" t="str">
        <x:v>Phay CNC</x:v>
      </x:c>
      <x:c r="D7" s="21" t="str">
        <x:v>PCS</x:v>
      </x:c>
      <x:c r="E7" s="25" t="n">
        <x:v>45</x:v>
      </x:c>
      <x:c r="F7" s="25" t="n">
        <x:v>15</x:v>
      </x:c>
      <x:c r="G7" s="21" t="str">
        <x:v>Có</x:v>
      </x:c>
      <x:c r="H7" s="21" t="str">
        <x:v>Phay CNC</x:v>
      </x:c>
      <x:c r="I7" s="21" t="str">
        <x:v>Hoạt động</x:v>
      </x:c>
    </x:row>
    <x:row r="8">
      <x:c r="A8" s="21" t="str">
        <x:v>PHAY_NC2</x:v>
      </x:c>
      <x:c r="B8" s="21" t="str">
        <x:v>Phay NC2</x:v>
      </x:c>
      <x:c r="C8" s="21" t="str">
        <x:v>Phay CNC</x:v>
      </x:c>
      <x:c r="D8" s="21" t="str">
        <x:v>PCS</x:v>
      </x:c>
      <x:c r="E8" s="25" t="n">
        <x:v>40</x:v>
      </x:c>
      <x:c r="F8" s="25" t="n">
        <x:v>12</x:v>
      </x:c>
      <x:c r="G8" s="21" t="str">
        <x:v>Có</x:v>
      </x:c>
      <x:c r="H8" s="21" t="str">
        <x:v>Phay CNC</x:v>
      </x:c>
      <x:c r="I8" s="21" t="str">
        <x:v>Hoạt động</x:v>
      </x:c>
    </x:row>
    <x:row r="9">
      <x:c r="A9" s="21" t="str">
        <x:v>PHAY_NC3</x:v>
      </x:c>
      <x:c r="B9" s="21" t="str">
        <x:v>Phay NC3</x:v>
      </x:c>
      <x:c r="C9" s="21" t="str">
        <x:v>Phay CNC</x:v>
      </x:c>
      <x:c r="D9" s="21" t="str">
        <x:v>PCS</x:v>
      </x:c>
      <x:c r="E9" s="25" t="n">
        <x:v>60</x:v>
      </x:c>
      <x:c r="F9" s="25" t="n">
        <x:v>10</x:v>
      </x:c>
      <x:c r="G9" s="21" t="str">
        <x:v>Có</x:v>
      </x:c>
      <x:c r="H9" s="21" t="str">
        <x:v>Phay CNC</x:v>
      </x:c>
      <x:c r="I9" s="21" t="str">
        <x:v>Hoạt động</x:v>
      </x:c>
    </x:row>
    <x:row r="10">
      <x:c r="A10" s="21" t="str">
        <x:v>TIEN_NC1</x:v>
      </x:c>
      <x:c r="B10" s="21" t="str">
        <x:v>Tiện NC1</x:v>
      </x:c>
      <x:c r="C10" s="21" t="str">
        <x:v>Tiện CNC</x:v>
      </x:c>
      <x:c r="D10" s="21" t="str">
        <x:v>PCS</x:v>
      </x:c>
      <x:c r="E10" s="25" t="n">
        <x:v>45</x:v>
      </x:c>
      <x:c r="F10" s="25" t="n">
        <x:v>12</x:v>
      </x:c>
      <x:c r="G10" s="21" t="str">
        <x:v>Có</x:v>
      </x:c>
      <x:c r="H10" s="21" t="str">
        <x:v>Tiện CNC</x:v>
      </x:c>
      <x:c r="I10" s="21" t="str">
        <x:v>Hoạt động</x:v>
      </x:c>
    </x:row>
    <x:row r="11">
      <x:c r="A11" s="21" t="str">
        <x:v>TIEN_NC2</x:v>
      </x:c>
      <x:c r="B11" s="21" t="str">
        <x:v>Tiện NC2</x:v>
      </x:c>
      <x:c r="C11" s="21" t="str">
        <x:v>Tiện CNC</x:v>
      </x:c>
      <x:c r="D11" s="21" t="str">
        <x:v>PCS</x:v>
      </x:c>
      <x:c r="E11" s="25" t="n">
        <x:v>30</x:v>
      </x:c>
      <x:c r="F11" s="25" t="n">
        <x:v>8</x:v>
      </x:c>
      <x:c r="G11" s="21" t="str">
        <x:v>Có</x:v>
      </x:c>
      <x:c r="H11" s="21" t="str">
        <x:v>Tiện CNC</x:v>
      </x:c>
      <x:c r="I11" s="21" t="str">
        <x:v>Hoạt động</x:v>
      </x:c>
    </x:row>
    <x:row r="12">
      <x:c r="A12" s="21" t="str">
        <x:v>CAT_DAY</x:v>
      </x:c>
      <x:c r="B12" s="21" t="str">
        <x:v>Cắt dây</x:v>
      </x:c>
      <x:c r="C12" s="21" t="str">
        <x:v>Cắt dây</x:v>
      </x:c>
      <x:c r="D12" s="21" t="str">
        <x:v>PCS</x:v>
      </x:c>
      <x:c r="E12" s="25" t="n">
        <x:v>30</x:v>
      </x:c>
      <x:c r="F12" s="25" t="n">
        <x:v>20</x:v>
      </x:c>
      <x:c r="G12" s="21" t="str">
        <x:v>Có</x:v>
      </x:c>
      <x:c r="H12" s="21" t="str">
        <x:v>Cắt dây</x:v>
      </x:c>
      <x:c r="I12" s="21" t="str">
        <x:v>Hoạt động</x:v>
      </x:c>
    </x:row>
    <x:row r="13">
      <x:c r="A13" s="21" t="str">
        <x:v>HAN</x:v>
      </x:c>
      <x:c r="B13" s="21" t="str">
        <x:v>Hàn</x:v>
      </x:c>
      <x:c r="C13" s="21" t="str">
        <x:v>Hàn-Nguội</x:v>
      </x:c>
      <x:c r="D13" s="21" t="str">
        <x:v>PCS</x:v>
      </x:c>
      <x:c r="E13" s="25" t="n">
        <x:v>30</x:v>
      </x:c>
      <x:c r="F13" s="25" t="n">
        <x:v>18</x:v>
      </x:c>
      <x:c r="G13" s="21" t="str">
        <x:v>Có</x:v>
      </x:c>
      <x:c r="H13" s="21" t="str">
        <x:v>Hàn-Nguội</x:v>
      </x:c>
      <x:c r="I13" s="21" t="str">
        <x:v>Hoạt động</x:v>
      </x:c>
    </x:row>
    <x:row r="14">
      <x:c r="A14" s="21" t="str">
        <x:v>NGUOI</x:v>
      </x:c>
      <x:c r="B14" s="21" t="str">
        <x:v>Nguội</x:v>
      </x:c>
      <x:c r="C14" s="21" t="str">
        <x:v>Hàn-Nguội</x:v>
      </x:c>
      <x:c r="D14" s="21" t="str">
        <x:v>PCS</x:v>
      </x:c>
      <x:c r="E14" s="25" t="n">
        <x:v>15</x:v>
      </x:c>
      <x:c r="F14" s="25" t="n">
        <x:v>10</x:v>
      </x:c>
      <x:c r="G14" s="21" t="str">
        <x:v>Có</x:v>
      </x:c>
      <x:c r="H14" s="21" t="str">
        <x:v>Hàn-Nguội</x:v>
      </x:c>
      <x:c r="I14" s="21" t="str">
        <x:v>Hoạt động</x:v>
      </x:c>
    </x:row>
    <x:row r="15">
      <x:c r="A15" s="21" t="str">
        <x:v>QC_IP</x:v>
      </x:c>
      <x:c r="B15" s="21" t="str">
        <x:v>Kiểm tra công đoạn</x:v>
      </x:c>
      <x:c r="C15" s="21" t="str">
        <x:v>QC</x:v>
      </x:c>
      <x:c r="D15" s="21" t="str">
        <x:v>PCS</x:v>
      </x:c>
      <x:c r="E15" s="25" t="n">
        <x:v>10</x:v>
      </x:c>
      <x:c r="F15" s="25" t="n">
        <x:v>3</x:v>
      </x:c>
      <x:c r="G15" s="21" t="str">
        <x:v>Có</x:v>
      </x:c>
      <x:c r="H15" s="21" t="str">
        <x:v>QC</x:v>
      </x:c>
      <x:c r="I15" s="21" t="str">
        <x:v>Hoạt động</x:v>
      </x:c>
    </x:row>
    <x:row r="16">
      <x:c r="A16" s="21" t="str">
        <x:v>QC_FINAL</x:v>
      </x:c>
      <x:c r="B16" s="21" t="str">
        <x:v>Kiểm tra cuối</x:v>
      </x:c>
      <x:c r="C16" s="21" t="str">
        <x:v>QC</x:v>
      </x:c>
      <x:c r="D16" s="21" t="str">
        <x:v>PCS</x:v>
      </x:c>
      <x:c r="E16" s="25" t="n">
        <x:v>10</x:v>
      </x:c>
      <x:c r="F16" s="25" t="n">
        <x:v>3</x:v>
      </x:c>
      <x:c r="G16" s="21" t="str">
        <x:v>Có</x:v>
      </x:c>
      <x:c r="H16" s="21" t="str">
        <x:v>QC</x:v>
      </x:c>
      <x:c r="I16" s="21" t="str">
        <x:v>Hoạt động</x:v>
      </x:c>
    </x:row>
    <x:row r="17">
      <x:c r="A17" s="21"/>
      <x:c r="B17" s="21"/>
      <x:c r="C17" s="21"/>
      <x:c r="D17" s="21"/>
      <x:c r="E17" s="25"/>
      <x:c r="F17" s="25"/>
      <x:c r="G17" s="21"/>
      <x:c r="H17" s="21"/>
      <x:c r="I17" s="21"/>
    </x:row>
    <x:row r="18">
      <x:c r="A18" s="21"/>
      <x:c r="B18" s="21"/>
      <x:c r="C18" s="21"/>
      <x:c r="D18" s="21"/>
      <x:c r="E18" s="25"/>
      <x:c r="F18" s="25"/>
      <x:c r="G18" s="21"/>
      <x:c r="H18" s="21"/>
      <x:c r="I18" s="21"/>
    </x:row>
    <x:row r="19">
      <x:c r="A19" s="21"/>
      <x:c r="B19" s="21"/>
      <x:c r="C19" s="21"/>
      <x:c r="D19" s="21"/>
      <x:c r="E19" s="25"/>
      <x:c r="F19" s="25"/>
      <x:c r="G19" s="21"/>
      <x:c r="H19" s="21"/>
      <x:c r="I19" s="21"/>
    </x:row>
    <x:row r="20">
      <x:c r="A20" s="21"/>
      <x:c r="B20" s="21"/>
      <x:c r="C20" s="21"/>
      <x:c r="D20" s="21"/>
      <x:c r="E20" s="25"/>
      <x:c r="F20" s="25"/>
      <x:c r="G20" s="21"/>
      <x:c r="H20" s="21"/>
      <x:c r="I20" s="21"/>
    </x:row>
    <x:row r="21">
      <x:c r="A21" s="21"/>
      <x:c r="B21" s="21"/>
      <x:c r="C21" s="21"/>
      <x:c r="D21" s="21"/>
      <x:c r="E21" s="25"/>
      <x:c r="F21" s="25"/>
      <x:c r="G21" s="21"/>
      <x:c r="H21" s="21"/>
      <x:c r="I21" s="21"/>
    </x:row>
    <x:row r="22">
      <x:c r="A22" s="21"/>
      <x:c r="B22" s="21"/>
      <x:c r="C22" s="21"/>
      <x:c r="D22" s="21"/>
      <x:c r="E22" s="25"/>
      <x:c r="F22" s="25"/>
      <x:c r="G22" s="21"/>
      <x:c r="H22" s="21"/>
      <x:c r="I22" s="21"/>
    </x:row>
    <x:row r="23">
      <x:c r="A23" s="21"/>
      <x:c r="B23" s="21"/>
      <x:c r="C23" s="21"/>
      <x:c r="D23" s="21"/>
      <x:c r="E23" s="25"/>
      <x:c r="F23" s="25"/>
      <x:c r="G23" s="21"/>
      <x:c r="H23" s="21"/>
      <x:c r="I23" s="21"/>
    </x:row>
    <x:row r="24">
      <x:c r="A24" s="21"/>
      <x:c r="B24" s="21"/>
      <x:c r="C24" s="21"/>
      <x:c r="D24" s="21"/>
      <x:c r="E24" s="25"/>
      <x:c r="F24" s="25"/>
      <x:c r="G24" s="21"/>
      <x:c r="H24" s="21"/>
      <x:c r="I24" s="21"/>
    </x:row>
    <x:row r="25">
      <x:c r="A25" s="21"/>
      <x:c r="B25" s="21"/>
      <x:c r="C25" s="21"/>
      <x:c r="D25" s="21"/>
      <x:c r="E25" s="25"/>
      <x:c r="F25" s="25"/>
      <x:c r="G25" s="21"/>
      <x:c r="H25" s="21"/>
      <x:c r="I25" s="21"/>
    </x:row>
    <x:row r="26">
      <x:c r="A26" s="21"/>
      <x:c r="B26" s="21"/>
      <x:c r="C26" s="21"/>
      <x:c r="D26" s="21"/>
      <x:c r="E26" s="25"/>
      <x:c r="F26" s="25"/>
      <x:c r="G26" s="21"/>
      <x:c r="H26" s="21"/>
      <x:c r="I26" s="21"/>
    </x:row>
    <x:row r="27">
      <x:c r="A27" s="21"/>
      <x:c r="B27" s="21"/>
      <x:c r="C27" s="21"/>
      <x:c r="D27" s="21"/>
      <x:c r="E27" s="25"/>
      <x:c r="F27" s="25"/>
      <x:c r="G27" s="21"/>
      <x:c r="H27" s="21"/>
      <x:c r="I27" s="21"/>
    </x:row>
    <x:row r="28">
      <x:c r="A28" s="21"/>
      <x:c r="B28" s="21"/>
      <x:c r="C28" s="21"/>
      <x:c r="D28" s="21"/>
      <x:c r="E28" s="25"/>
      <x:c r="F28" s="25"/>
      <x:c r="G28" s="21"/>
      <x:c r="H28" s="21"/>
      <x:c r="I28" s="21"/>
    </x:row>
    <x:row r="29">
      <x:c r="A29" s="21"/>
      <x:c r="B29" s="21"/>
      <x:c r="C29" s="21"/>
      <x:c r="D29" s="21"/>
      <x:c r="E29" s="25"/>
      <x:c r="F29" s="25"/>
      <x:c r="G29" s="21"/>
      <x:c r="H29" s="21"/>
      <x:c r="I29" s="21"/>
    </x:row>
    <x:row r="30">
      <x:c r="A30" s="21"/>
      <x:c r="B30" s="21"/>
      <x:c r="C30" s="21"/>
      <x:c r="D30" s="21"/>
      <x:c r="E30" s="25"/>
      <x:c r="F30" s="25"/>
      <x:c r="G30" s="21"/>
      <x:c r="H30" s="21"/>
      <x:c r="I30" s="21"/>
    </x:row>
    <x:row r="31">
      <x:c r="A31" s="21"/>
      <x:c r="B31" s="21"/>
      <x:c r="C31" s="21"/>
      <x:c r="D31" s="21"/>
      <x:c r="E31" s="25"/>
      <x:c r="F31" s="25"/>
      <x:c r="G31" s="21"/>
      <x:c r="H31" s="21"/>
      <x:c r="I31" s="21"/>
    </x:row>
    <x:row r="32">
      <x:c r="A32" s="21"/>
      <x:c r="B32" s="21"/>
      <x:c r="C32" s="21"/>
      <x:c r="D32" s="21"/>
      <x:c r="E32" s="25"/>
      <x:c r="F32" s="25"/>
      <x:c r="G32" s="21"/>
      <x:c r="H32" s="21"/>
      <x:c r="I32" s="21"/>
    </x:row>
    <x:row r="33">
      <x:c r="A33" s="21"/>
      <x:c r="B33" s="21"/>
      <x:c r="C33" s="21"/>
      <x:c r="D33" s="21"/>
      <x:c r="E33" s="25"/>
      <x:c r="F33" s="25"/>
      <x:c r="G33" s="21"/>
      <x:c r="H33" s="21"/>
      <x:c r="I33" s="21"/>
    </x:row>
    <x:row r="34">
      <x:c r="A34" s="21"/>
      <x:c r="B34" s="21"/>
      <x:c r="C34" s="21"/>
      <x:c r="D34" s="21"/>
      <x:c r="E34" s="25"/>
      <x:c r="F34" s="25"/>
      <x:c r="G34" s="21"/>
      <x:c r="H34" s="21"/>
      <x:c r="I34" s="21"/>
    </x:row>
    <x:row r="35">
      <x:c r="A35" s="21"/>
      <x:c r="B35" s="21"/>
      <x:c r="C35" s="21"/>
      <x:c r="D35" s="21"/>
      <x:c r="E35" s="25"/>
      <x:c r="F35" s="25"/>
      <x:c r="G35" s="21"/>
      <x:c r="H35" s="21"/>
      <x:c r="I35" s="21"/>
    </x:row>
    <x:row r="36">
      <x:c r="A36" s="21"/>
      <x:c r="B36" s="21"/>
      <x:c r="C36" s="21"/>
      <x:c r="D36" s="21"/>
      <x:c r="E36" s="25"/>
      <x:c r="F36" s="25"/>
      <x:c r="G36" s="21"/>
      <x:c r="H36" s="21"/>
      <x:c r="I36" s="21"/>
    </x:row>
    <x:row r="37">
      <x:c r="A37" s="21"/>
      <x:c r="B37" s="21"/>
      <x:c r="C37" s="21"/>
      <x:c r="D37" s="21"/>
      <x:c r="E37" s="25"/>
      <x:c r="F37" s="25"/>
      <x:c r="G37" s="21"/>
      <x:c r="H37" s="21"/>
      <x:c r="I37" s="21"/>
    </x:row>
    <x:row r="38">
      <x:c r="A38" s="21"/>
      <x:c r="B38" s="21"/>
      <x:c r="C38" s="21"/>
      <x:c r="D38" s="21"/>
      <x:c r="E38" s="25"/>
      <x:c r="F38" s="25"/>
      <x:c r="G38" s="21"/>
      <x:c r="H38" s="21"/>
      <x:c r="I38" s="21"/>
    </x:row>
    <x:row r="39">
      <x:c r="A39" s="21"/>
      <x:c r="B39" s="21"/>
      <x:c r="C39" s="21"/>
      <x:c r="D39" s="21"/>
      <x:c r="E39" s="25"/>
      <x:c r="F39" s="25"/>
      <x:c r="G39" s="21"/>
      <x:c r="H39" s="21"/>
      <x:c r="I39" s="21"/>
    </x:row>
    <x:row r="40">
      <x:c r="A40" s="21"/>
      <x:c r="B40" s="21"/>
      <x:c r="C40" s="21"/>
      <x:c r="D40" s="21"/>
      <x:c r="E40" s="25"/>
      <x:c r="F40" s="25"/>
      <x:c r="G40" s="21"/>
      <x:c r="H40" s="21"/>
      <x:c r="I40" s="21"/>
    </x:row>
    <x:row r="41">
      <x:c r="A41" s="21"/>
      <x:c r="B41" s="21"/>
      <x:c r="C41" s="21"/>
      <x:c r="D41" s="21"/>
      <x:c r="E41" s="25"/>
      <x:c r="F41" s="25"/>
      <x:c r="G41" s="21"/>
      <x:c r="H41" s="21"/>
      <x:c r="I41" s="21"/>
    </x:row>
    <x:row r="42">
      <x:c r="A42" s="21"/>
      <x:c r="B42" s="21"/>
      <x:c r="C42" s="21"/>
      <x:c r="D42" s="21"/>
      <x:c r="E42" s="25"/>
      <x:c r="F42" s="25"/>
      <x:c r="G42" s="21"/>
      <x:c r="H42" s="21"/>
      <x:c r="I42" s="21"/>
    </x:row>
    <x:row r="43">
      <x:c r="A43" s="21"/>
      <x:c r="B43" s="21"/>
      <x:c r="C43" s="21"/>
      <x:c r="D43" s="21"/>
      <x:c r="E43" s="25"/>
      <x:c r="F43" s="25"/>
      <x:c r="G43" s="21"/>
      <x:c r="H43" s="21"/>
      <x:c r="I43" s="21"/>
    </x:row>
    <x:row r="44">
      <x:c r="A44" s="21"/>
      <x:c r="B44" s="21"/>
      <x:c r="C44" s="21"/>
      <x:c r="D44" s="21"/>
      <x:c r="E44" s="25"/>
      <x:c r="F44" s="25"/>
      <x:c r="G44" s="21"/>
      <x:c r="H44" s="21"/>
      <x:c r="I44" s="21"/>
    </x:row>
    <x:row r="45">
      <x:c r="A45" s="21"/>
      <x:c r="B45" s="21"/>
      <x:c r="C45" s="21"/>
      <x:c r="D45" s="21"/>
      <x:c r="E45" s="25"/>
      <x:c r="F45" s="25"/>
      <x:c r="G45" s="21"/>
      <x:c r="H45" s="21"/>
      <x:c r="I45" s="21"/>
    </x:row>
    <x:row r="46">
      <x:c r="A46" s="21"/>
      <x:c r="B46" s="21"/>
      <x:c r="C46" s="21"/>
      <x:c r="D46" s="21"/>
      <x:c r="E46" s="25"/>
      <x:c r="F46" s="25"/>
      <x:c r="G46" s="21"/>
      <x:c r="H46" s="21"/>
      <x:c r="I46" s="21"/>
    </x:row>
    <x:row r="47">
      <x:c r="A47" s="21"/>
      <x:c r="B47" s="21"/>
      <x:c r="C47" s="21"/>
      <x:c r="D47" s="21"/>
      <x:c r="E47" s="25"/>
      <x:c r="F47" s="25"/>
      <x:c r="G47" s="21"/>
      <x:c r="H47" s="21"/>
      <x:c r="I47" s="21"/>
    </x:row>
    <x:row r="48">
      <x:c r="A48" s="21"/>
      <x:c r="B48" s="21"/>
      <x:c r="C48" s="21"/>
      <x:c r="D48" s="21"/>
      <x:c r="E48" s="25"/>
      <x:c r="F48" s="25"/>
      <x:c r="G48" s="21"/>
      <x:c r="H48" s="21"/>
      <x:c r="I48" s="21"/>
    </x:row>
    <x:row r="49">
      <x:c r="A49" s="21"/>
      <x:c r="B49" s="21"/>
      <x:c r="C49" s="21"/>
      <x:c r="D49" s="21"/>
      <x:c r="E49" s="25"/>
      <x:c r="F49" s="25"/>
      <x:c r="G49" s="21"/>
      <x:c r="H49" s="21"/>
      <x:c r="I49" s="21"/>
    </x:row>
    <x:row r="50">
      <x:c r="A50" s="21"/>
      <x:c r="B50" s="21"/>
      <x:c r="C50" s="21"/>
      <x:c r="D50" s="21"/>
      <x:c r="E50" s="25"/>
      <x:c r="F50" s="25"/>
      <x:c r="G50" s="21"/>
      <x:c r="H50" s="21"/>
      <x:c r="I50" s="21"/>
    </x:row>
    <x:row r="51">
      <x:c r="A51" s="21"/>
      <x:c r="B51" s="21"/>
      <x:c r="C51" s="21"/>
      <x:c r="D51" s="21"/>
      <x:c r="E51" s="25"/>
      <x:c r="F51" s="25"/>
      <x:c r="G51" s="21"/>
      <x:c r="H51" s="21"/>
      <x:c r="I51" s="21"/>
    </x:row>
    <x:row r="52">
      <x:c r="A52" s="21"/>
      <x:c r="B52" s="21"/>
      <x:c r="C52" s="21"/>
      <x:c r="D52" s="21"/>
      <x:c r="E52" s="25"/>
      <x:c r="F52" s="25"/>
      <x:c r="G52" s="21"/>
      <x:c r="H52" s="21"/>
      <x:c r="I52" s="21"/>
    </x:row>
    <x:row r="53">
      <x:c r="A53" s="21"/>
      <x:c r="B53" s="21"/>
      <x:c r="C53" s="21"/>
      <x:c r="D53" s="21"/>
      <x:c r="E53" s="25"/>
      <x:c r="F53" s="25"/>
      <x:c r="G53" s="21"/>
      <x:c r="H53" s="21"/>
      <x:c r="I53" s="21"/>
    </x:row>
    <x:row r="54">
      <x:c r="A54" s="21"/>
      <x:c r="B54" s="21"/>
      <x:c r="C54" s="21"/>
      <x:c r="D54" s="21"/>
      <x:c r="E54" s="25"/>
      <x:c r="F54" s="25"/>
      <x:c r="G54" s="21"/>
      <x:c r="H54" s="21"/>
      <x:c r="I54" s="21"/>
    </x:row>
    <x:row r="55">
      <x:c r="A55" s="21"/>
      <x:c r="B55" s="21"/>
      <x:c r="C55" s="21"/>
      <x:c r="D55" s="21"/>
      <x:c r="E55" s="25"/>
      <x:c r="F55" s="25"/>
      <x:c r="G55" s="21"/>
      <x:c r="H55" s="21"/>
      <x:c r="I55" s="21"/>
    </x:row>
    <x:row r="56">
      <x:c r="A56" s="21"/>
      <x:c r="B56" s="21"/>
      <x:c r="C56" s="21"/>
      <x:c r="D56" s="21"/>
      <x:c r="E56" s="25"/>
      <x:c r="F56" s="25"/>
      <x:c r="G56" s="21"/>
      <x:c r="H56" s="21"/>
      <x:c r="I56" s="21"/>
    </x:row>
    <x:row r="57">
      <x:c r="A57" s="21"/>
      <x:c r="B57" s="21"/>
      <x:c r="C57" s="21"/>
      <x:c r="D57" s="21"/>
      <x:c r="E57" s="25"/>
      <x:c r="F57" s="25"/>
      <x:c r="G57" s="21"/>
      <x:c r="H57" s="21"/>
      <x:c r="I57" s="21"/>
    </x:row>
    <x:row r="58">
      <x:c r="A58" s="21"/>
      <x:c r="B58" s="21"/>
      <x:c r="C58" s="21"/>
      <x:c r="D58" s="21"/>
      <x:c r="E58" s="25"/>
      <x:c r="F58" s="25"/>
      <x:c r="G58" s="21"/>
      <x:c r="H58" s="21"/>
      <x:c r="I58" s="21"/>
    </x:row>
    <x:row r="59">
      <x:c r="A59" s="21"/>
      <x:c r="B59" s="21"/>
      <x:c r="C59" s="21"/>
      <x:c r="D59" s="21"/>
      <x:c r="E59" s="25"/>
      <x:c r="F59" s="25"/>
      <x:c r="G59" s="21"/>
      <x:c r="H59" s="21"/>
      <x:c r="I59" s="21"/>
    </x:row>
    <x:row r="60">
      <x:c r="A60" s="21"/>
      <x:c r="B60" s="21"/>
      <x:c r="C60" s="21"/>
      <x:c r="D60" s="21"/>
      <x:c r="E60" s="25"/>
      <x:c r="F60" s="25"/>
      <x:c r="G60" s="21"/>
      <x:c r="H60" s="21"/>
      <x:c r="I60" s="21"/>
    </x:row>
    <x:row r="61">
      <x:c r="A61" s="21"/>
      <x:c r="B61" s="21"/>
      <x:c r="C61" s="21"/>
      <x:c r="D61" s="21"/>
      <x:c r="E61" s="25"/>
      <x:c r="F61" s="25"/>
      <x:c r="G61" s="21"/>
      <x:c r="H61" s="21"/>
      <x:c r="I61" s="21"/>
    </x:row>
    <x:row r="62">
      <x:c r="A62" s="21"/>
      <x:c r="B62" s="21"/>
      <x:c r="C62" s="21"/>
      <x:c r="D62" s="21"/>
      <x:c r="E62" s="25"/>
      <x:c r="F62" s="25"/>
      <x:c r="G62" s="21"/>
      <x:c r="H62" s="21"/>
      <x:c r="I62" s="21"/>
    </x:row>
    <x:row r="63">
      <x:c r="A63" s="21"/>
      <x:c r="B63" s="21"/>
      <x:c r="C63" s="21"/>
      <x:c r="D63" s="21"/>
      <x:c r="E63" s="25"/>
      <x:c r="F63" s="25"/>
      <x:c r="G63" s="21"/>
      <x:c r="H63" s="21"/>
      <x:c r="I63" s="21"/>
    </x:row>
    <x:row r="64">
      <x:c r="A64" s="21"/>
      <x:c r="B64" s="21"/>
      <x:c r="C64" s="21"/>
      <x:c r="D64" s="21"/>
      <x:c r="E64" s="25"/>
      <x:c r="F64" s="25"/>
      <x:c r="G64" s="21"/>
      <x:c r="H64" s="21"/>
      <x:c r="I64" s="21"/>
    </x:row>
    <x:row r="65">
      <x:c r="A65" s="21"/>
      <x:c r="B65" s="21"/>
      <x:c r="C65" s="21"/>
      <x:c r="D65" s="21"/>
      <x:c r="E65" s="25"/>
      <x:c r="F65" s="25"/>
      <x:c r="G65" s="21"/>
      <x:c r="H65" s="21"/>
      <x:c r="I65" s="21"/>
    </x:row>
    <x:row r="66">
      <x:c r="A66" s="21"/>
      <x:c r="B66" s="21"/>
      <x:c r="C66" s="21"/>
      <x:c r="D66" s="21"/>
      <x:c r="E66" s="25"/>
      <x:c r="F66" s="25"/>
      <x:c r="G66" s="21"/>
      <x:c r="H66" s="21"/>
      <x:c r="I66" s="21"/>
    </x:row>
    <x:row r="67">
      <x:c r="A67" s="21"/>
      <x:c r="B67" s="21"/>
      <x:c r="C67" s="21"/>
      <x:c r="D67" s="21"/>
      <x:c r="E67" s="25"/>
      <x:c r="F67" s="25"/>
      <x:c r="G67" s="21"/>
      <x:c r="H67" s="21"/>
      <x:c r="I67" s="21"/>
    </x:row>
    <x:row r="68">
      <x:c r="A68" s="21"/>
      <x:c r="B68" s="21"/>
      <x:c r="C68" s="21"/>
      <x:c r="D68" s="21"/>
      <x:c r="E68" s="25"/>
      <x:c r="F68" s="25"/>
      <x:c r="G68" s="21"/>
      <x:c r="H68" s="21"/>
      <x:c r="I68" s="21"/>
    </x:row>
    <x:row r="69">
      <x:c r="A69" s="21"/>
      <x:c r="B69" s="21"/>
      <x:c r="C69" s="21"/>
      <x:c r="D69" s="21"/>
      <x:c r="E69" s="25"/>
      <x:c r="F69" s="25"/>
      <x:c r="G69" s="21"/>
      <x:c r="H69" s="21"/>
      <x:c r="I69" s="21"/>
    </x:row>
    <x:row r="70">
      <x:c r="A70" s="21"/>
      <x:c r="B70" s="21"/>
      <x:c r="C70" s="21"/>
      <x:c r="D70" s="21"/>
      <x:c r="E70" s="25"/>
      <x:c r="F70" s="25"/>
      <x:c r="G70" s="21"/>
      <x:c r="H70" s="21"/>
      <x:c r="I70" s="21"/>
    </x:row>
    <x:row r="71">
      <x:c r="A71" s="21"/>
      <x:c r="B71" s="21"/>
      <x:c r="C71" s="21"/>
      <x:c r="D71" s="21"/>
      <x:c r="E71" s="25"/>
      <x:c r="F71" s="25"/>
      <x:c r="G71" s="21"/>
      <x:c r="H71" s="21"/>
      <x:c r="I71" s="21"/>
    </x:row>
    <x:row r="72">
      <x:c r="A72" s="21"/>
      <x:c r="B72" s="21"/>
      <x:c r="C72" s="21"/>
      <x:c r="D72" s="21"/>
      <x:c r="E72" s="25"/>
      <x:c r="F72" s="25"/>
      <x:c r="G72" s="21"/>
      <x:c r="H72" s="21"/>
      <x:c r="I72" s="21"/>
    </x:row>
    <x:row r="73">
      <x:c r="A73" s="21"/>
      <x:c r="B73" s="21"/>
      <x:c r="C73" s="21"/>
      <x:c r="D73" s="21"/>
      <x:c r="E73" s="25"/>
      <x:c r="F73" s="25"/>
      <x:c r="G73" s="21"/>
      <x:c r="H73" s="21"/>
      <x:c r="I73" s="21"/>
    </x:row>
    <x:row r="74">
      <x:c r="A74" s="21"/>
      <x:c r="B74" s="21"/>
      <x:c r="C74" s="21"/>
      <x:c r="D74" s="21"/>
      <x:c r="E74" s="25"/>
      <x:c r="F74" s="25"/>
      <x:c r="G74" s="21"/>
      <x:c r="H74" s="21"/>
      <x:c r="I74" s="21"/>
    </x:row>
    <x:row r="75">
      <x:c r="A75" s="21"/>
      <x:c r="B75" s="21"/>
      <x:c r="C75" s="21"/>
      <x:c r="D75" s="21"/>
      <x:c r="E75" s="25"/>
      <x:c r="F75" s="25"/>
      <x:c r="G75" s="21"/>
      <x:c r="H75" s="21"/>
      <x:c r="I75" s="21"/>
    </x:row>
    <x:row r="76">
      <x:c r="A76" s="21"/>
      <x:c r="B76" s="21"/>
      <x:c r="C76" s="21"/>
      <x:c r="D76" s="21"/>
      <x:c r="E76" s="25"/>
      <x:c r="F76" s="25"/>
      <x:c r="G76" s="21"/>
      <x:c r="H76" s="21"/>
      <x:c r="I76" s="21"/>
    </x:row>
    <x:row r="77">
      <x:c r="A77" s="21"/>
      <x:c r="B77" s="21"/>
      <x:c r="C77" s="21"/>
      <x:c r="D77" s="21"/>
      <x:c r="E77" s="25"/>
      <x:c r="F77" s="25"/>
      <x:c r="G77" s="21"/>
      <x:c r="H77" s="21"/>
      <x:c r="I77" s="21"/>
    </x:row>
    <x:row r="78">
      <x:c r="A78" s="21"/>
      <x:c r="B78" s="21"/>
      <x:c r="C78" s="21"/>
      <x:c r="D78" s="21"/>
      <x:c r="E78" s="25"/>
      <x:c r="F78" s="25"/>
      <x:c r="G78" s="21"/>
      <x:c r="H78" s="21"/>
      <x:c r="I78" s="21"/>
    </x:row>
    <x:row r="79">
      <x:c r="A79" s="21"/>
      <x:c r="B79" s="21"/>
      <x:c r="C79" s="21"/>
      <x:c r="D79" s="21"/>
      <x:c r="E79" s="25"/>
      <x:c r="F79" s="25"/>
      <x:c r="G79" s="21"/>
      <x:c r="H79" s="21"/>
      <x:c r="I79" s="21"/>
    </x:row>
    <x:row r="80">
      <x:c r="A80" s="21"/>
      <x:c r="B80" s="21"/>
      <x:c r="C80" s="21"/>
      <x:c r="D80" s="21"/>
      <x:c r="E80" s="25"/>
      <x:c r="F80" s="25"/>
      <x:c r="G80" s="21"/>
      <x:c r="H80" s="21"/>
      <x:c r="I80" s="21"/>
    </x:row>
    <x:row r="81">
      <x:c r="A81" s="21"/>
      <x:c r="B81" s="21"/>
      <x:c r="C81" s="21"/>
      <x:c r="D81" s="21"/>
      <x:c r="E81" s="25"/>
      <x:c r="F81" s="25"/>
      <x:c r="G81" s="21"/>
      <x:c r="H81" s="21"/>
      <x:c r="I81" s="21"/>
    </x:row>
    <x:row r="82">
      <x:c r="A82" s="21"/>
      <x:c r="B82" s="21"/>
      <x:c r="C82" s="21"/>
      <x:c r="D82" s="21"/>
      <x:c r="E82" s="25"/>
      <x:c r="F82" s="25"/>
      <x:c r="G82" s="21"/>
      <x:c r="H82" s="21"/>
      <x:c r="I82" s="21"/>
    </x:row>
    <x:row r="83">
      <x:c r="A83" s="21"/>
      <x:c r="B83" s="21"/>
      <x:c r="C83" s="21"/>
      <x:c r="D83" s="21"/>
      <x:c r="E83" s="25"/>
      <x:c r="F83" s="25"/>
      <x:c r="G83" s="21"/>
      <x:c r="H83" s="21"/>
      <x:c r="I83" s="21"/>
    </x:row>
    <x:row r="84">
      <x:c r="A84" s="21"/>
      <x:c r="B84" s="21"/>
      <x:c r="C84" s="21"/>
      <x:c r="D84" s="21"/>
      <x:c r="E84" s="25"/>
      <x:c r="F84" s="25"/>
      <x:c r="G84" s="21"/>
      <x:c r="H84" s="21"/>
      <x:c r="I84" s="21"/>
    </x:row>
    <x:row r="85">
      <x:c r="A85" s="21"/>
      <x:c r="B85" s="21"/>
      <x:c r="C85" s="21"/>
      <x:c r="D85" s="21"/>
      <x:c r="E85" s="25"/>
      <x:c r="F85" s="25"/>
      <x:c r="G85" s="21"/>
      <x:c r="H85" s="21"/>
      <x:c r="I85" s="21"/>
    </x:row>
    <x:row r="86">
      <x:c r="A86" s="21"/>
      <x:c r="B86" s="21"/>
      <x:c r="C86" s="21"/>
      <x:c r="D86" s="21"/>
      <x:c r="E86" s="25"/>
      <x:c r="F86" s="25"/>
      <x:c r="G86" s="21"/>
      <x:c r="H86" s="21"/>
      <x:c r="I86" s="21"/>
    </x:row>
    <x:row r="87">
      <x:c r="A87" s="21"/>
      <x:c r="B87" s="21"/>
      <x:c r="C87" s="21"/>
      <x:c r="D87" s="21"/>
      <x:c r="E87" s="25"/>
      <x:c r="F87" s="25"/>
      <x:c r="G87" s="21"/>
      <x:c r="H87" s="21"/>
      <x:c r="I87" s="21"/>
    </x:row>
    <x:row r="88">
      <x:c r="A88" s="21"/>
      <x:c r="B88" s="21"/>
      <x:c r="C88" s="21"/>
      <x:c r="D88" s="21"/>
      <x:c r="E88" s="25"/>
      <x:c r="F88" s="25"/>
      <x:c r="G88" s="21"/>
      <x:c r="H88" s="21"/>
      <x:c r="I88" s="21"/>
    </x:row>
    <x:row r="89">
      <x:c r="A89" s="21"/>
      <x:c r="B89" s="21"/>
      <x:c r="C89" s="21"/>
      <x:c r="D89" s="21"/>
      <x:c r="E89" s="25"/>
      <x:c r="F89" s="25"/>
      <x:c r="G89" s="21"/>
      <x:c r="H89" s="21"/>
      <x:c r="I89" s="21"/>
    </x:row>
    <x:row r="90">
      <x:c r="A90" s="21"/>
      <x:c r="B90" s="21"/>
      <x:c r="C90" s="21"/>
      <x:c r="D90" s="21"/>
      <x:c r="E90" s="25"/>
      <x:c r="F90" s="25"/>
      <x:c r="G90" s="21"/>
      <x:c r="H90" s="21"/>
      <x:c r="I90" s="21"/>
    </x:row>
    <x:row r="91">
      <x:c r="A91" s="21"/>
      <x:c r="B91" s="21"/>
      <x:c r="C91" s="21"/>
      <x:c r="D91" s="21"/>
      <x:c r="E91" s="25"/>
      <x:c r="F91" s="25"/>
      <x:c r="G91" s="21"/>
      <x:c r="H91" s="21"/>
      <x:c r="I91" s="21"/>
    </x:row>
    <x:row r="92">
      <x:c r="A92" s="21"/>
      <x:c r="B92" s="21"/>
      <x:c r="C92" s="21"/>
      <x:c r="D92" s="21"/>
      <x:c r="E92" s="25"/>
      <x:c r="F92" s="25"/>
      <x:c r="G92" s="21"/>
      <x:c r="H92" s="21"/>
      <x:c r="I92" s="21"/>
    </x:row>
    <x:row r="93">
      <x:c r="A93" s="21"/>
      <x:c r="B93" s="21"/>
      <x:c r="C93" s="21"/>
      <x:c r="D93" s="21"/>
      <x:c r="E93" s="25"/>
      <x:c r="F93" s="25"/>
      <x:c r="G93" s="21"/>
      <x:c r="H93" s="21"/>
      <x:c r="I93" s="21"/>
    </x:row>
    <x:row r="94">
      <x:c r="A94" s="21"/>
      <x:c r="B94" s="21"/>
      <x:c r="C94" s="21"/>
      <x:c r="D94" s="21"/>
      <x:c r="E94" s="25"/>
      <x:c r="F94" s="25"/>
      <x:c r="G94" s="21"/>
      <x:c r="H94" s="21"/>
      <x:c r="I94" s="21"/>
    </x:row>
    <x:row r="95">
      <x:c r="A95" s="21"/>
      <x:c r="B95" s="21"/>
      <x:c r="C95" s="21"/>
      <x:c r="D95" s="21"/>
      <x:c r="E95" s="25"/>
      <x:c r="F95" s="25"/>
      <x:c r="G95" s="21"/>
      <x:c r="H95" s="21"/>
      <x:c r="I95" s="21"/>
    </x:row>
    <x:row r="96">
      <x:c r="A96" s="21"/>
      <x:c r="B96" s="21"/>
      <x:c r="C96" s="21"/>
      <x:c r="D96" s="21"/>
      <x:c r="E96" s="25"/>
      <x:c r="F96" s="25"/>
      <x:c r="G96" s="21"/>
      <x:c r="H96" s="21"/>
      <x:c r="I96" s="21"/>
    </x:row>
    <x:row r="97">
      <x:c r="A97" s="21"/>
      <x:c r="B97" s="21"/>
      <x:c r="C97" s="21"/>
      <x:c r="D97" s="21"/>
      <x:c r="E97" s="25"/>
      <x:c r="F97" s="25"/>
      <x:c r="G97" s="21"/>
      <x:c r="H97" s="21"/>
      <x:c r="I97" s="21"/>
    </x:row>
    <x:row r="98">
      <x:c r="A98" s="21"/>
      <x:c r="B98" s="21"/>
      <x:c r="C98" s="21"/>
      <x:c r="D98" s="21"/>
      <x:c r="E98" s="25"/>
      <x:c r="F98" s="25"/>
      <x:c r="G98" s="21"/>
      <x:c r="H98" s="21"/>
      <x:c r="I98" s="21"/>
    </x:row>
    <x:row r="99">
      <x:c r="A99" s="21"/>
      <x:c r="B99" s="21"/>
      <x:c r="C99" s="21"/>
      <x:c r="D99" s="21"/>
      <x:c r="E99" s="25"/>
      <x:c r="F99" s="25"/>
      <x:c r="G99" s="21"/>
      <x:c r="H99" s="21"/>
      <x:c r="I99" s="21"/>
    </x:row>
    <x:row r="100">
      <x:c r="A100" s="21"/>
      <x:c r="B100" s="21"/>
      <x:c r="C100" s="21"/>
      <x:c r="D100" s="21"/>
      <x:c r="E100" s="25"/>
      <x:c r="F100" s="25"/>
      <x:c r="G100" s="21"/>
      <x:c r="H100" s="21"/>
      <x:c r="I100" s="21"/>
    </x:row>
    <x:row r="101">
      <x:c r="A101" s="21"/>
      <x:c r="B101" s="21"/>
      <x:c r="C101" s="21"/>
      <x:c r="D101" s="21"/>
      <x:c r="E101" s="25"/>
      <x:c r="F101" s="25"/>
      <x:c r="G101" s="21"/>
      <x:c r="H101" s="21"/>
      <x:c r="I101" s="21"/>
    </x:row>
    <x:row r="102">
      <x:c r="A102" s="21"/>
      <x:c r="B102" s="21"/>
      <x:c r="C102" s="21"/>
      <x:c r="D102" s="21"/>
      <x:c r="E102" s="25"/>
      <x:c r="F102" s="25"/>
      <x:c r="G102" s="21"/>
      <x:c r="H102" s="21"/>
      <x:c r="I102" s="21"/>
    </x:row>
    <x:row r="103">
      <x:c r="A103" s="21"/>
      <x:c r="B103" s="21"/>
      <x:c r="C103" s="21"/>
      <x:c r="D103" s="21"/>
      <x:c r="E103" s="25"/>
      <x:c r="F103" s="25"/>
      <x:c r="G103" s="21"/>
      <x:c r="H103" s="21"/>
      <x:c r="I103" s="21"/>
    </x:row>
    <x:row r="104">
      <x:c r="A104" s="21"/>
      <x:c r="B104" s="21"/>
      <x:c r="C104" s="21"/>
      <x:c r="D104" s="21"/>
      <x:c r="E104" s="25"/>
      <x:c r="F104" s="25"/>
      <x:c r="G104" s="21"/>
      <x:c r="H104" s="21"/>
      <x:c r="I104" s="21"/>
    </x:row>
    <x:row r="105">
      <x:c r="A105" s="22"/>
      <x:c r="B105" s="22"/>
      <x:c r="C105" s="22"/>
      <x:c r="D105" s="22"/>
      <x:c r="E105" s="26"/>
      <x:c r="F105" s="26"/>
      <x:c r="G105" s="22"/>
      <x:c r="H105" s="22"/>
      <x:c r="I105" s="22"/>
    </x:row>
  </x:sheetData>
  <x:mergeCells>
    <x:mergeCell ref="A2:I2"/>
    <x:mergeCell ref="A3:I3"/>
  </x:mergeCells>
  <x:dataValidations count="1">
    <x:dataValidation type="list" sqref="G6:G105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e46f7abeba4e55"/>
  </x:tableParts>
</x:worksheet>
</file>

<file path=xl/worksheets/sheet12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13.890000343322754" hidden="0" customWidth="1"/>
    <x:col min="3" max="3" width="23.329999923706055" hidden="0" customWidth="1"/>
    <x:col min="4" max="4" width="43.33000183105469" hidden="0" customWidth="1"/>
    <x:col min="5" max="5" width="10.5600004196167" hidden="0" customWidth="1"/>
    <x:col min="6" max="6" width="12.220000267028809" hidden="0" customWidth="1"/>
    <x:col min="7" max="7" width="13.329999923706055" hidden="0" customWidth="1"/>
    <x:col min="8" max="8" width="13.329999923706055" hidden="0" customWidth="1"/>
    <x:col min="9" max="9" width="7.78000020980835" hidden="0" customWidth="1"/>
    <x:col min="10" max="10" width="36.66999816894531" hidden="0" customWidth="1"/>
  </x:cols>
  <x:sheetData>
    <x:row r="2">
      <x:c r="A2" s="2" t="str">
        <x:v>DANH MỤC MÃ LỖI</x:v>
      </x:c>
    </x:row>
    <x:row r="3">
      <x:c r="A3" s="20" t="str">
        <x:v>Giữ nguyên 49 mã lỗi từ file nguồn; bổ sung phân loại KPI và ghi chú chuẩn hóa.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12" t="str">
        <x:v>Mã lỗi</x:v>
      </x:c>
      <x:c r="B5" s="12" t="str">
        <x:v>Nhóm lỗi</x:v>
      </x:c>
      <x:c r="C5" s="12" t="str">
        <x:v>Tên lỗi gốc</x:v>
      </x:c>
      <x:c r="D5" s="12" t="str">
        <x:v>Diễn giải gốc</x:v>
      </x:c>
      <x:c r="E5" s="12" t="str">
        <x:v>DefectType</x:v>
      </x:c>
      <x:c r="F5" s="12" t="str">
        <x:v>Tính KPI sản phẩm</x:v>
      </x:c>
      <x:c r="G5" s="12" t="str">
        <x:v>Mức độ mặc định</x:v>
      </x:c>
      <x:c r="H5" s="12" t="str">
        <x:v>WorkCenter áp dụng</x:v>
      </x:c>
      <x:c r="I5" s="12" t="str">
        <x:v>Active</x:v>
      </x:c>
      <x:c r="J5" s="12" t="str">
        <x:v>Ghi chú chuẩn hóa</x:v>
      </x:c>
    </x:row>
    <x:row r="6">
      <x:c r="A6" s="21" t="str">
        <x:v>A001</x:v>
      </x:c>
      <x:c r="B6" s="21" t="str">
        <x:v>Ngoại quan</x:v>
      </x:c>
      <x:c r="C6" s="27" t="str">
        <x:v>Cấn móp, trầy xước do thao tác</x:v>
      </x:c>
      <x:c r="D6" s="27" t="str">
        <x:v>Bề mặt bị trầy, móp do va chạm khi thao tác, đóng gói, bốc dỡ</x:v>
      </x:c>
      <x:c r="E6" s="27" t="str">
        <x:v>PRODUCT</x:v>
      </x:c>
      <x:c r="F6" s="27" t="str">
        <x:v>Có</x:v>
      </x:c>
      <x:c r="G6" s="27" t="str">
        <x:v>Theo đánh giá</x:v>
      </x:c>
      <x:c r="H6" s="27" t="str">
        <x:v>Tất cả</x:v>
      </x:c>
      <x:c r="I6" s="27" t="str">
        <x:v>Có</x:v>
      </x:c>
      <x:c r="J6" s="27" t="str">
        <x:v>Tên hiện tại chứa nguyên nhân 'do thao tác'; nên tách nguyên nhân khi phân tích RCA.</x:v>
      </x:c>
    </x:row>
    <x:row r="7">
      <x:c r="A7" s="21" t="str">
        <x:v>A002</x:v>
      </x:c>
      <x:c r="B7" s="21" t="str">
        <x:v>Ngoại quan</x:v>
      </x:c>
      <x:c r="C7" s="27" t="str">
        <x:v>Cấn móp, trầy xước do phôi</x:v>
      </x:c>
      <x:c r="D7" s="27" t="str">
        <x:v>Phôi đầu vào có lỗi bề mặt chưa được phát hiện hoặc xử lý trước gia công</x:v>
      </x:c>
      <x:c r="E7" s="27" t="str">
        <x:v>PRODUCT</x:v>
      </x:c>
      <x:c r="F7" s="27" t="str">
        <x:v>Có</x:v>
      </x:c>
      <x:c r="G7" s="27" t="str">
        <x:v>Theo đánh giá</x:v>
      </x:c>
      <x:c r="H7" s="27" t="str">
        <x:v>Tất cả</x:v>
      </x:c>
      <x:c r="I7" s="27" t="str">
        <x:v>Có</x:v>
      </x:c>
      <x:c r="J7" s="27" t="str">
        <x:v>Tên hiện tại chứa nguyên nhân 'do phôi'; nên tách nguyên nhân khi phân tích RCA.</x:v>
      </x:c>
    </x:row>
    <x:row r="8">
      <x:c r="A8" s="21" t="str">
        <x:v>A003</x:v>
      </x:c>
      <x:c r="B8" s="21" t="str">
        <x:v>Ngoại quan</x:v>
      </x:c>
      <x:c r="C8" s="27" t="str">
        <x:v>Sót vết gia công không hết</x:v>
      </x:c>
      <x:c r="D8" s="27" t="str">
        <x:v>Vết dao, đường cắt, dấu vết gia công vẫn còn trên bề mặt sau khi hoàn thiện</x:v>
      </x:c>
      <x:c r="E8" s="27" t="str">
        <x:v>PRODUCT</x:v>
      </x:c>
      <x:c r="F8" s="27" t="str">
        <x:v>Có</x:v>
      </x:c>
      <x:c r="G8" s="27" t="str">
        <x:v>Theo đánh giá</x:v>
      </x:c>
      <x:c r="H8" s="27" t="str">
        <x:v>Tất cả</x:v>
      </x:c>
      <x:c r="I8" s="27" t="str">
        <x:v>Có</x:v>
      </x:c>
      <x:c r="J8" s="27" t="str"/>
    </x:row>
    <x:row r="9">
      <x:c r="A9" s="21" t="str">
        <x:v>A004</x:v>
      </x:c>
      <x:c r="B9" s="21" t="str">
        <x:v>Ngoại quan</x:v>
      </x:c>
      <x:c r="C9" s="27" t="str">
        <x:v>Sót vết do mài không hết</x:v>
      </x:c>
      <x:c r="D9" s="27" t="str">
        <x:v>Sau mài, bề mặt vẫn còn vết xước, gợn sóng hoặc nhám chưa đạt yêu cầu</x:v>
      </x:c>
      <x:c r="E9" s="27" t="str">
        <x:v>PRODUCT</x:v>
      </x:c>
      <x:c r="F9" s="27" t="str">
        <x:v>Có</x:v>
      </x:c>
      <x:c r="G9" s="27" t="str">
        <x:v>Theo đánh giá</x:v>
      </x:c>
      <x:c r="H9" s="27" t="str">
        <x:v>Tất cả</x:v>
      </x:c>
      <x:c r="I9" s="27" t="str">
        <x:v>Có</x:v>
      </x:c>
      <x:c r="J9" s="27" t="str"/>
    </x:row>
    <x:row r="10">
      <x:c r="A10" s="21" t="str">
        <x:v>A005</x:v>
      </x:c>
      <x:c r="B10" s="21" t="str">
        <x:v>Ngoại quan</x:v>
      </x:c>
      <x:c r="C10" s="27" t="str">
        <x:v>Rỉ sét</x:v>
      </x:c>
      <x:c r="D10" s="27" t="str">
        <x:v>Xuất hiện rỉ sét trên bề mặt sản phẩm → không đạt yêu cầu bảo quản hoặc xử lý bề mặt</x:v>
      </x:c>
      <x:c r="E10" s="27" t="str">
        <x:v>PRODUCT</x:v>
      </x:c>
      <x:c r="F10" s="27" t="str">
        <x:v>Có</x:v>
      </x:c>
      <x:c r="G10" s="27" t="str">
        <x:v>Theo đánh giá</x:v>
      </x:c>
      <x:c r="H10" s="27" t="str">
        <x:v>Tất cả</x:v>
      </x:c>
      <x:c r="I10" s="27" t="str">
        <x:v>Có</x:v>
      </x:c>
      <x:c r="J10" s="27" t="str"/>
    </x:row>
    <x:row r="11">
      <x:c r="A11" s="21" t="str">
        <x:v>A006</x:v>
      </x:c>
      <x:c r="B11" s="21" t="str">
        <x:v>Ngoại quan</x:v>
      </x:c>
      <x:c r="C11" s="27" t="str">
        <x:v>Chamfer (Ci men) sai</x:v>
      </x:c>
      <x:c r="D11" s="27" t="str">
        <x:v>Vát cạnh không đúng kích thước hoặc góc; còn sắc hoặc vát quá nhiều</x:v>
      </x:c>
      <x:c r="E11" s="27" t="str">
        <x:v>PRODUCT</x:v>
      </x:c>
      <x:c r="F11" s="27" t="str">
        <x:v>Có</x:v>
      </x:c>
      <x:c r="G11" s="27" t="str">
        <x:v>Theo đánh giá</x:v>
      </x:c>
      <x:c r="H11" s="27" t="str">
        <x:v>Tất cả</x:v>
      </x:c>
      <x:c r="I11" s="27" t="str">
        <x:v>Có</x:v>
      </x:c>
      <x:c r="J11" s="27" t="str">
        <x:v>Phân biệt với B012: dùng A006 cho ngoại quan/cạnh sắc, B012 cho sai kích thước hoặc góc chamfer.</x:v>
      </x:c>
    </x:row>
    <x:row r="12">
      <x:c r="A12" s="21" t="str">
        <x:v>A007</x:v>
      </x:c>
      <x:c r="B12" s="21" t="str">
        <x:v>Ngoại quan</x:v>
      </x:c>
      <x:c r="C12" s="27" t="str">
        <x:v>Sai hình dạng</x:v>
      </x:c>
      <x:c r="D12" s="27" t="str">
        <x:v>Hình dạng tổng thể không đúng với thiết kế (méo, thiếu góc, gờ sai...)</x:v>
      </x:c>
      <x:c r="E12" s="27" t="str">
        <x:v>PRODUCT</x:v>
      </x:c>
      <x:c r="F12" s="27" t="str">
        <x:v>Có</x:v>
      </x:c>
      <x:c r="G12" s="27" t="str">
        <x:v>Theo đánh giá</x:v>
      </x:c>
      <x:c r="H12" s="27" t="str">
        <x:v>Tất cả</x:v>
      </x:c>
      <x:c r="I12" s="27" t="str">
        <x:v>Có</x:v>
      </x:c>
      <x:c r="J12" s="27" t="str">
        <x:v>Mã tổng quát; ưu tiên mã hình học cụ thể nếu xác định được.</x:v>
      </x:c>
    </x:row>
    <x:row r="13">
      <x:c r="A13" s="21" t="str">
        <x:v>A008</x:v>
      </x:c>
      <x:c r="B13" s="21" t="str">
        <x:v>Ngoại quan</x:v>
      </x:c>
      <x:c r="C13" s="27" t="str">
        <x:v>Độ nhám không đạt</x:v>
      </x:c>
      <x:c r="D13" s="27" t="str">
        <x:v>Bề mặt quá nhám hoặc quá bóng so với tiêu chuẩn bản vẽ</x:v>
      </x:c>
      <x:c r="E13" s="27" t="str">
        <x:v>PRODUCT</x:v>
      </x:c>
      <x:c r="F13" s="27" t="str">
        <x:v>Có</x:v>
      </x:c>
      <x:c r="G13" s="27" t="str">
        <x:v>Theo đánh giá</x:v>
      </x:c>
      <x:c r="H13" s="27" t="str">
        <x:v>Tất cả</x:v>
      </x:c>
      <x:c r="I13" s="27" t="str">
        <x:v>Có</x:v>
      </x:c>
      <x:c r="J13" s="27" t="str"/>
    </x:row>
    <x:row r="14">
      <x:c r="A14" s="21" t="str">
        <x:v>A009</x:v>
      </x:c>
      <x:c r="B14" s="21" t="str">
        <x:v>Ngoại quan</x:v>
      </x:c>
      <x:c r="C14" s="27" t="str">
        <x:v>Bén nhọn, sắt cạnh</x:v>
      </x:c>
      <x:c r="D14" s="27" t="str">
        <x:v>Các mép cạnh không được xử lý, còn sắc bén gây nguy hiểm khi lắp ráp hoặc sử dụng</x:v>
      </x:c>
      <x:c r="E14" s="27" t="str">
        <x:v>PRODUCT</x:v>
      </x:c>
      <x:c r="F14" s="27" t="str">
        <x:v>Có</x:v>
      </x:c>
      <x:c r="G14" s="27" t="str">
        <x:v>Theo đánh giá</x:v>
      </x:c>
      <x:c r="H14" s="27" t="str">
        <x:v>Tất cả</x:v>
      </x:c>
      <x:c r="I14" s="27" t="str">
        <x:v>Có</x:v>
      </x:c>
      <x:c r="J14" s="27" t="str"/>
    </x:row>
    <x:row r="15">
      <x:c r="A15" s="21" t="str">
        <x:v>A010</x:v>
      </x:c>
      <x:c r="B15" s="21" t="str">
        <x:v>Ngoại quan</x:v>
      </x:c>
      <x:c r="C15" s="27" t="str">
        <x:v>Cong vênh</x:v>
      </x:c>
      <x:c r="D15" s="27" t="str">
        <x:v>Biến dạng bề mặt hoặc toàn bộ chi tiết (do nhiệt, gia công, lưu kho...)</x:v>
      </x:c>
      <x:c r="E15" s="27" t="str">
        <x:v>PRODUCT</x:v>
      </x:c>
      <x:c r="F15" s="27" t="str">
        <x:v>Có</x:v>
      </x:c>
      <x:c r="G15" s="27" t="str">
        <x:v>Theo đánh giá</x:v>
      </x:c>
      <x:c r="H15" s="27" t="str">
        <x:v>Tất cả</x:v>
      </x:c>
      <x:c r="I15" s="27" t="str">
        <x:v>Có</x:v>
      </x:c>
      <x:c r="J15" s="27" t="str"/>
    </x:row>
    <x:row r="16">
      <x:c r="A16" s="21" t="str">
        <x:v>A011</x:v>
      </x:c>
      <x:c r="B16" s="21" t="str">
        <x:v>Ngoại quan</x:v>
      </x:c>
      <x:c r="C16" s="27" t="str">
        <x:v>Mối hàn xấu</x:v>
      </x:c>
      <x:c r="D16" s="27" t="str">
        <x:v>Mối hàn bị rỗ, không đều, dư hàn, nứt... ảnh hưởng đến chất lượng ngoại quan</x:v>
      </x:c>
      <x:c r="E16" s="27" t="str">
        <x:v>PRODUCT</x:v>
      </x:c>
      <x:c r="F16" s="27" t="str">
        <x:v>Có</x:v>
      </x:c>
      <x:c r="G16" s="27" t="str">
        <x:v>Theo đánh giá</x:v>
      </x:c>
      <x:c r="H16" s="27" t="str">
        <x:v>Tất cả</x:v>
      </x:c>
      <x:c r="I16" s="27" t="str">
        <x:v>Có</x:v>
      </x:c>
      <x:c r="J16" s="27" t="str"/>
    </x:row>
    <x:row r="17">
      <x:c r="A17" s="21" t="str">
        <x:v>A012</x:v>
      </x:c>
      <x:c r="B17" s="21" t="str">
        <x:v>Ngoại quan</x:v>
      </x:c>
      <x:c r="C17" s="27" t="str">
        <x:v>Xi mạ không đều</x:v>
      </x:c>
      <x:c r="D17" s="27" t="str">
        <x:v>Lớp xi, mạ có vệt loang, mỏng – dày không đều hoặc bị đốm</x:v>
      </x:c>
      <x:c r="E17" s="27" t="str">
        <x:v>PRODUCT</x:v>
      </x:c>
      <x:c r="F17" s="27" t="str">
        <x:v>Có</x:v>
      </x:c>
      <x:c r="G17" s="27" t="str">
        <x:v>Theo đánh giá</x:v>
      </x:c>
      <x:c r="H17" s="27" t="str">
        <x:v>Tất cả</x:v>
      </x:c>
      <x:c r="I17" s="27" t="str">
        <x:v>Có</x:v>
      </x:c>
      <x:c r="J17" s="27" t="str"/>
    </x:row>
    <x:row r="18">
      <x:c r="A18" s="21" t="str">
        <x:v>A013</x:v>
      </x:c>
      <x:c r="B18" s="21" t="str">
        <x:v>Ngoại quan</x:v>
      </x:c>
      <x:c r="C18" s="27" t="str">
        <x:v>Tróc lớp mạ, sơn</x:v>
      </x:c>
      <x:c r="D18" s="27" t="str">
        <x:v>Lớp mạ hoặc sơn bong tróc, nứt nẻ, không bám dính tốt</x:v>
      </x:c>
      <x:c r="E18" s="27" t="str">
        <x:v>PRODUCT</x:v>
      </x:c>
      <x:c r="F18" s="27" t="str">
        <x:v>Có</x:v>
      </x:c>
      <x:c r="G18" s="27" t="str">
        <x:v>Theo đánh giá</x:v>
      </x:c>
      <x:c r="H18" s="27" t="str">
        <x:v>Tất cả</x:v>
      </x:c>
      <x:c r="I18" s="27" t="str">
        <x:v>Có</x:v>
      </x:c>
      <x:c r="J18" s="27" t="str"/>
    </x:row>
    <x:row r="19">
      <x:c r="A19" s="21" t="str">
        <x:v>A014</x:v>
      </x:c>
      <x:c r="B19" s="21" t="str">
        <x:v>Ngoại quan</x:v>
      </x:c>
      <x:c r="C19" s="27" t="str">
        <x:v>Thiếu mối hàn</x:v>
      </x:c>
      <x:c r="D19" s="27" t="str">
        <x:v>Vị trí yêu cầu có mối hàn nhưng bị bỏ sót hoặc hàn không đầy đủ</x:v>
      </x:c>
      <x:c r="E19" s="27" t="str">
        <x:v>PRODUCT</x:v>
      </x:c>
      <x:c r="F19" s="27" t="str">
        <x:v>Có</x:v>
      </x:c>
      <x:c r="G19" s="27" t="str">
        <x:v>Theo đánh giá</x:v>
      </x:c>
      <x:c r="H19" s="27" t="str">
        <x:v>Tất cả</x:v>
      </x:c>
      <x:c r="I19" s="27" t="str">
        <x:v>Có</x:v>
      </x:c>
      <x:c r="J19" s="27" t="str"/>
    </x:row>
    <x:row r="20">
      <x:c r="A20" s="21" t="str">
        <x:v>B001</x:v>
      </x:c>
      <x:c r="B20" s="21" t="str">
        <x:v>Kích thước</x:v>
      </x:c>
      <x:c r="C20" s="27" t="str">
        <x:v>Sai kích thước</x:v>
      </x:c>
      <x:c r="D20" s="27" t="str">
        <x:v>Kích thước đo được khác với bản vẽ vượt dung sai cho phép</x:v>
      </x:c>
      <x:c r="E20" s="27" t="str">
        <x:v>PRODUCT</x:v>
      </x:c>
      <x:c r="F20" s="27" t="str">
        <x:v>Có</x:v>
      </x:c>
      <x:c r="G20" s="27" t="str">
        <x:v>Theo đánh giá</x:v>
      </x:c>
      <x:c r="H20" s="27" t="str">
        <x:v>Tất cả</x:v>
      </x:c>
      <x:c r="I20" s="27" t="str">
        <x:v>Có</x:v>
      </x:c>
      <x:c r="J20" s="27" t="str">
        <x:v>Mã tổng quát; chỉ dùng khi chưa có mã kích thước cụ thể hơn.</x:v>
      </x:c>
    </x:row>
    <x:row r="21">
      <x:c r="A21" s="21" t="str">
        <x:v>B002</x:v>
      </x:c>
      <x:c r="B21" s="21" t="str">
        <x:v>Kích thước</x:v>
      </x:c>
      <x:c r="C21" s="27" t="str">
        <x:v>Sai lỗ bậc</x:v>
      </x:c>
      <x:c r="D21" s="27" t="str">
        <x:v>Lỗ có nhiều bậc nhưng sai vị trí, đường kính hoặc chiều sâu</x:v>
      </x:c>
      <x:c r="E21" s="27" t="str">
        <x:v>PRODUCT</x:v>
      </x:c>
      <x:c r="F21" s="27" t="str">
        <x:v>Có</x:v>
      </x:c>
      <x:c r="G21" s="27" t="str">
        <x:v>Theo đánh giá</x:v>
      </x:c>
      <x:c r="H21" s="27" t="str">
        <x:v>Tất cả</x:v>
      </x:c>
      <x:c r="I21" s="27" t="str">
        <x:v>Có</x:v>
      </x:c>
      <x:c r="J21" s="27" t="str"/>
    </x:row>
    <x:row r="22">
      <x:c r="A22" s="21" t="str">
        <x:v>B003</x:v>
      </x:c>
      <x:c r="B22" s="21" t="str">
        <x:v>Kích thước</x:v>
      </x:c>
      <x:c r="C22" s="27" t="str">
        <x:v>Sai đường kính trong</x:v>
      </x:c>
      <x:c r="D22" s="27" t="str">
        <x:v>Đường kính lỗ trong không đúng yêu cầu bản vẽ</x:v>
      </x:c>
      <x:c r="E22" s="27" t="str">
        <x:v>PRODUCT</x:v>
      </x:c>
      <x:c r="F22" s="27" t="str">
        <x:v>Có</x:v>
      </x:c>
      <x:c r="G22" s="27" t="str">
        <x:v>Theo đánh giá</x:v>
      </x:c>
      <x:c r="H22" s="27" t="str">
        <x:v>Tất cả</x:v>
      </x:c>
      <x:c r="I22" s="27" t="str">
        <x:v>Có</x:v>
      </x:c>
      <x:c r="J22" s="27" t="str"/>
    </x:row>
    <x:row r="23">
      <x:c r="A23" s="21" t="str">
        <x:v>B004</x:v>
      </x:c>
      <x:c r="B23" s="21" t="str">
        <x:v>Kích thước</x:v>
      </x:c>
      <x:c r="C23" s="27" t="str">
        <x:v>Sai đường kính ngoài</x:v>
      </x:c>
      <x:c r="D23" s="27" t="str">
        <x:v>Đường kính ngoài của chi tiết không đạt yêu cầu</x:v>
      </x:c>
      <x:c r="E23" s="27" t="str">
        <x:v>PRODUCT</x:v>
      </x:c>
      <x:c r="F23" s="27" t="str">
        <x:v>Có</x:v>
      </x:c>
      <x:c r="G23" s="27" t="str">
        <x:v>Theo đánh giá</x:v>
      </x:c>
      <x:c r="H23" s="27" t="str">
        <x:v>Tất cả</x:v>
      </x:c>
      <x:c r="I23" s="27" t="str">
        <x:v>Có</x:v>
      </x:c>
      <x:c r="J23" s="27" t="str"/>
    </x:row>
    <x:row r="24">
      <x:c r="A24" s="21" t="str">
        <x:v>B005</x:v>
      </x:c>
      <x:c r="B24" s="21" t="str">
        <x:v>Kích thước</x:v>
      </x:c>
      <x:c r="C24" s="27" t="str">
        <x:v>Sai kích thước chiều sâu của ren</x:v>
      </x:c>
      <x:c r="D24" s="27" t="str">
        <x:v>Độ sâu phần ren không đủ hoặc quá mức cho phép</x:v>
      </x:c>
      <x:c r="E24" s="27" t="str">
        <x:v>PRODUCT</x:v>
      </x:c>
      <x:c r="F24" s="27" t="str">
        <x:v>Có</x:v>
      </x:c>
      <x:c r="G24" s="27" t="str">
        <x:v>Theo đánh giá</x:v>
      </x:c>
      <x:c r="H24" s="27" t="str">
        <x:v>Tất cả</x:v>
      </x:c>
      <x:c r="I24" s="27" t="str">
        <x:v>Có</x:v>
      </x:c>
      <x:c r="J24" s="27" t="str"/>
    </x:row>
    <x:row r="25">
      <x:c r="A25" s="21" t="str">
        <x:v>B006</x:v>
      </x:c>
      <x:c r="B25" s="21" t="str">
        <x:v>Kích thước</x:v>
      </x:c>
      <x:c r="C25" s="27" t="str">
        <x:v>Lọt pin NOGO (không đạt giới hạn dưới)</x:v>
      </x:c>
      <x:c r="D25" s="27" t="str">
        <x:v>Pin NOGO phải không lọt, nhưng lại lọt → lỗ quá lớn</x:v>
      </x:c>
      <x:c r="E25" s="27" t="str">
        <x:v>PRODUCT</x:v>
      </x:c>
      <x:c r="F25" s="27" t="str">
        <x:v>Có</x:v>
      </x:c>
      <x:c r="G25" s="27" t="str">
        <x:v>Theo đánh giá</x:v>
      </x:c>
      <x:c r="H25" s="27" t="str">
        <x:v>Tất cả</x:v>
      </x:c>
      <x:c r="I25" s="27" t="str">
        <x:v>Có</x:v>
      </x:c>
      <x:c r="J25" s="27" t="str"/>
    </x:row>
    <x:row r="26">
      <x:c r="A26" s="21" t="str">
        <x:v>B007</x:v>
      </x:c>
      <x:c r="B26" s="21" t="str">
        <x:v>Kích thước</x:v>
      </x:c>
      <x:c r="C26" s="27" t="str">
        <x:v>Không lọt pin GO (không đạt giới hạn trên)</x:v>
      </x:c>
      <x:c r="D26" s="27" t="str">
        <x:v>Pin GO phải lọt, nhưng không lọt → lỗ quá nhỏ</x:v>
      </x:c>
      <x:c r="E26" s="27" t="str">
        <x:v>PRODUCT</x:v>
      </x:c>
      <x:c r="F26" s="27" t="str">
        <x:v>Có</x:v>
      </x:c>
      <x:c r="G26" s="27" t="str">
        <x:v>Theo đánh giá</x:v>
      </x:c>
      <x:c r="H26" s="27" t="str">
        <x:v>Tất cả</x:v>
      </x:c>
      <x:c r="I26" s="27" t="str">
        <x:v>Có</x:v>
      </x:c>
      <x:c r="J26" s="27" t="str"/>
    </x:row>
    <x:row r="27">
      <x:c r="A27" s="21" t="str">
        <x:v>B008</x:v>
      </x:c>
      <x:c r="B27" s="21" t="str">
        <x:v>Kích thước</x:v>
      </x:c>
      <x:c r="C27" s="27" t="str">
        <x:v>Hàn thiếu kích thước</x:v>
      </x:c>
      <x:c r="D27" s="27" t="str">
        <x:v>Sau khi hàn, tổng thể chi tiết bị thiếu kích thước thiết kế (co rút, sai lệch)</x:v>
      </x:c>
      <x:c r="E27" s="27" t="str">
        <x:v>PRODUCT</x:v>
      </x:c>
      <x:c r="F27" s="27" t="str">
        <x:v>Có</x:v>
      </x:c>
      <x:c r="G27" s="27" t="str">
        <x:v>Theo đánh giá</x:v>
      </x:c>
      <x:c r="H27" s="27" t="str">
        <x:v>Tất cả</x:v>
      </x:c>
      <x:c r="I27" s="27" t="str">
        <x:v>Có</x:v>
      </x:c>
      <x:c r="J27" s="27" t="str"/>
    </x:row>
    <x:row r="28">
      <x:c r="A28" s="21" t="str">
        <x:v>B009</x:v>
      </x:c>
      <x:c r="B28" s="21" t="str">
        <x:v>Kích thước</x:v>
      </x:c>
      <x:c r="C28" s="27" t="str">
        <x:v>Sai khoảng cách lỗ</x:v>
      </x:c>
      <x:c r="D28" s="27" t="str">
        <x:v>Khoảng cách giữa hai hoặc nhiều lỗ không đúng theo bản vẽ; có thể gây lỗi lắp ráp hoặc sai vị trí gá</x:v>
      </x:c>
      <x:c r="E28" s="27" t="str">
        <x:v>PRODUCT</x:v>
      </x:c>
      <x:c r="F28" s="27" t="str">
        <x:v>Có</x:v>
      </x:c>
      <x:c r="G28" s="27" t="str">
        <x:v>Theo đánh giá</x:v>
      </x:c>
      <x:c r="H28" s="27" t="str">
        <x:v>Tất cả</x:v>
      </x:c>
      <x:c r="I28" s="27" t="str">
        <x:v>Có</x:v>
      </x:c>
      <x:c r="J28" s="27" t="str"/>
    </x:row>
    <x:row r="29">
      <x:c r="A29" s="21" t="str">
        <x:v>B010</x:v>
      </x:c>
      <x:c r="B29" s="21" t="str">
        <x:v>Kích thước</x:v>
      </x:c>
      <x:c r="C29" s="27" t="str">
        <x:v>Sai kích thước bề mặt lắp ghép</x:v>
      </x:c>
      <x:c r="D29" s="27" t="str">
        <x:v>Kích thước của vùng tiếp xúc/lắp ghép không đạt yêu cầu → gây lỏng, chặt hoặc sai chức năng</x:v>
      </x:c>
      <x:c r="E29" s="27" t="str">
        <x:v>PRODUCT</x:v>
      </x:c>
      <x:c r="F29" s="27" t="str">
        <x:v>Có</x:v>
      </x:c>
      <x:c r="G29" s="27" t="str">
        <x:v>Theo đánh giá</x:v>
      </x:c>
      <x:c r="H29" s="27" t="str">
        <x:v>Tất cả</x:v>
      </x:c>
      <x:c r="I29" s="27" t="str">
        <x:v>Có</x:v>
      </x:c>
      <x:c r="J29" s="27" t="str"/>
    </x:row>
    <x:row r="30">
      <x:c r="A30" s="21" t="str">
        <x:v>B011</x:v>
      </x:c>
      <x:c r="B30" s="21" t="str">
        <x:v>Kích thước</x:v>
      </x:c>
      <x:c r="C30" s="27" t="str">
        <x:v>Độ dày không đạt</x:v>
      </x:c>
      <x:c r="D30" s="27" t="str">
        <x:v>Chi tiết quá mỏng hoặc quá dày so với bản vẽ kỹ thuật → ảnh hưởng đến độ bền, độ cứng</x:v>
      </x:c>
      <x:c r="E30" s="27" t="str">
        <x:v>PRODUCT</x:v>
      </x:c>
      <x:c r="F30" s="27" t="str">
        <x:v>Có</x:v>
      </x:c>
      <x:c r="G30" s="27" t="str">
        <x:v>Theo đánh giá</x:v>
      </x:c>
      <x:c r="H30" s="27" t="str">
        <x:v>Tất cả</x:v>
      </x:c>
      <x:c r="I30" s="27" t="str">
        <x:v>Có</x:v>
      </x:c>
      <x:c r="J30" s="27" t="str"/>
    </x:row>
    <x:row r="31">
      <x:c r="A31" s="21" t="str">
        <x:v>B012</x:v>
      </x:c>
      <x:c r="B31" s="21" t="str">
        <x:v>Kích thước</x:v>
      </x:c>
      <x:c r="C31" s="27" t="str">
        <x:v>Sai kích thước chamfer</x:v>
      </x:c>
      <x:c r="D31" s="27" t="str">
        <x:v>Kích thước vát cạnh (chiều dài hoặc góc) không đúng yêu cầu → có thể gây cấn, sắc cạnh, khó lắp</x:v>
      </x:c>
      <x:c r="E31" s="27" t="str">
        <x:v>PRODUCT</x:v>
      </x:c>
      <x:c r="F31" s="27" t="str">
        <x:v>Có</x:v>
      </x:c>
      <x:c r="G31" s="27" t="str">
        <x:v>Theo đánh giá</x:v>
      </x:c>
      <x:c r="H31" s="27" t="str">
        <x:v>Tất cả</x:v>
      </x:c>
      <x:c r="I31" s="27" t="str">
        <x:v>Có</x:v>
      </x:c>
      <x:c r="J31" s="27" t="str"/>
    </x:row>
    <x:row r="32">
      <x:c r="A32" s="21" t="str">
        <x:v>C001</x:v>
      </x:c>
      <x:c r="B32" s="21" t="str">
        <x:v>Chức năng/hình học</x:v>
      </x:c>
      <x:c r="C32" s="27" t="str">
        <x:v>Sai độ song song</x:v>
      </x:c>
      <x:c r="D32" s="27" t="str">
        <x:v>Hai bề mặt hoặc trục không song song như yêu cầu bản vẽ; ảnh hưởng đến lắp ráp, hoạt động</x:v>
      </x:c>
      <x:c r="E32" s="27" t="str">
        <x:v>PRODUCT</x:v>
      </x:c>
      <x:c r="F32" s="27" t="str">
        <x:v>Có</x:v>
      </x:c>
      <x:c r="G32" s="27" t="str">
        <x:v>Theo đánh giá</x:v>
      </x:c>
      <x:c r="H32" s="27" t="str">
        <x:v>Tất cả</x:v>
      </x:c>
      <x:c r="I32" s="27" t="str">
        <x:v>Có</x:v>
      </x:c>
      <x:c r="J32" s="27" t="str"/>
    </x:row>
    <x:row r="33">
      <x:c r="A33" s="21" t="str">
        <x:v>C002</x:v>
      </x:c>
      <x:c r="B33" s="21" t="str">
        <x:v>Chức năng/hình học</x:v>
      </x:c>
      <x:c r="C33" s="27" t="str">
        <x:v>Sai độ phẳng</x:v>
      </x:c>
      <x:c r="D33" s="27" t="str">
        <x:v>Bề mặt bị lượn sóng, gồ ghề → không đạt yêu cầu độ phẳng; ảnh hưởng khi ghép nối</x:v>
      </x:c>
      <x:c r="E33" s="27" t="str">
        <x:v>PRODUCT</x:v>
      </x:c>
      <x:c r="F33" s="27" t="str">
        <x:v>Có</x:v>
      </x:c>
      <x:c r="G33" s="27" t="str">
        <x:v>Theo đánh giá</x:v>
      </x:c>
      <x:c r="H33" s="27" t="str">
        <x:v>Tất cả</x:v>
      </x:c>
      <x:c r="I33" s="27" t="str">
        <x:v>Có</x:v>
      </x:c>
      <x:c r="J33" s="27" t="str"/>
    </x:row>
    <x:row r="34">
      <x:c r="A34" s="21" t="str">
        <x:v>C003</x:v>
      </x:c>
      <x:c r="B34" s="21" t="str">
        <x:v>Chức năng/hình học</x:v>
      </x:c>
      <x:c r="C34" s="27" t="str">
        <x:v>Sai độ vuông góc</x:v>
      </x:c>
      <x:c r="D34" s="27" t="str">
        <x:v>Hai mặt không vuông góc theo dung sai góc vuông quy định</x:v>
      </x:c>
      <x:c r="E34" s="27" t="str">
        <x:v>PRODUCT</x:v>
      </x:c>
      <x:c r="F34" s="27" t="str">
        <x:v>Có</x:v>
      </x:c>
      <x:c r="G34" s="27" t="str">
        <x:v>Theo đánh giá</x:v>
      </x:c>
      <x:c r="H34" s="27" t="str">
        <x:v>Tất cả</x:v>
      </x:c>
      <x:c r="I34" s="27" t="str">
        <x:v>Có</x:v>
      </x:c>
      <x:c r="J34" s="27" t="str"/>
    </x:row>
    <x:row r="35">
      <x:c r="A35" s="21" t="str">
        <x:v>C004</x:v>
      </x:c>
      <x:c r="B35" s="21" t="str">
        <x:v>Chức năng/hình học</x:v>
      </x:c>
      <x:c r="C35" s="27" t="str">
        <x:v>Không đồng tâm</x:v>
      </x:c>
      <x:c r="D35" s="27" t="str">
        <x:v>Tâm lỗ và tâm trục, hoặc các chi tiết không trùng nhau → ảnh hưởng lắp ráp quay / dẫn hướng</x:v>
      </x:c>
      <x:c r="E35" s="27" t="str">
        <x:v>PRODUCT</x:v>
      </x:c>
      <x:c r="F35" s="27" t="str">
        <x:v>Có</x:v>
      </x:c>
      <x:c r="G35" s="27" t="str">
        <x:v>Theo đánh giá</x:v>
      </x:c>
      <x:c r="H35" s="27" t="str">
        <x:v>Tất cả</x:v>
      </x:c>
      <x:c r="I35" s="27" t="str">
        <x:v>Có</x:v>
      </x:c>
      <x:c r="J35" s="27" t="str"/>
    </x:row>
    <x:row r="36">
      <x:c r="A36" s="21" t="str">
        <x:v>C005</x:v>
      </x:c>
      <x:c r="B36" s="21" t="str">
        <x:v>Chức năng/hình học</x:v>
      </x:c>
      <x:c r="C36" s="27" t="str">
        <x:v>Sai độ đảo trục</x:v>
      </x:c>
      <x:c r="D36" s="27" t="str">
        <x:v>Trục quay bị lệch, rung → sai dung sai độ đảo (runout)</x:v>
      </x:c>
      <x:c r="E36" s="27" t="str">
        <x:v>PRODUCT</x:v>
      </x:c>
      <x:c r="F36" s="27" t="str">
        <x:v>Có</x:v>
      </x:c>
      <x:c r="G36" s="27" t="str">
        <x:v>Theo đánh giá</x:v>
      </x:c>
      <x:c r="H36" s="27" t="str">
        <x:v>Tất cả</x:v>
      </x:c>
      <x:c r="I36" s="27" t="str">
        <x:v>Có</x:v>
      </x:c>
      <x:c r="J36" s="27" t="str"/>
    </x:row>
    <x:row r="37">
      <x:c r="A37" s="21" t="str">
        <x:v>C006</x:v>
      </x:c>
      <x:c r="B37" s="21" t="str">
        <x:v>Chức năng/hình học</x:v>
      </x:c>
      <x:c r="C37" s="27" t="str">
        <x:v>Cứng ren</x:v>
      </x:c>
      <x:c r="D37" s="27" t="str">
        <x:v>Ren bị chặt, khó vặn – nguyên nhân có thể do sai kích thước, biên dạng, hoặc có ba via</x:v>
      </x:c>
      <x:c r="E37" s="27" t="str">
        <x:v>PRODUCT</x:v>
      </x:c>
      <x:c r="F37" s="27" t="str">
        <x:v>Có</x:v>
      </x:c>
      <x:c r="G37" s="27" t="str">
        <x:v>Theo đánh giá</x:v>
      </x:c>
      <x:c r="H37" s="27" t="str">
        <x:v>Tất cả</x:v>
      </x:c>
      <x:c r="I37" s="27" t="str">
        <x:v>Có</x:v>
      </x:c>
      <x:c r="J37" s="27" t="str"/>
    </x:row>
    <x:row r="38">
      <x:c r="A38" s="21" t="str">
        <x:v>C007</x:v>
      </x:c>
      <x:c r="B38" s="21" t="str">
        <x:v>Chức năng/hình học</x:v>
      </x:c>
      <x:c r="C38" s="27" t="str">
        <x:v>Nghiêng ren</x:v>
      </x:c>
      <x:c r="D38" s="27" t="str">
        <x:v>Ren bị nghiêng, lệch trục → gây khó khăn khi lắp ráp hoặc không thể sử dụng</x:v>
      </x:c>
      <x:c r="E38" s="27" t="str">
        <x:v>PRODUCT</x:v>
      </x:c>
      <x:c r="F38" s="27" t="str">
        <x:v>Có</x:v>
      </x:c>
      <x:c r="G38" s="27" t="str">
        <x:v>Theo đánh giá</x:v>
      </x:c>
      <x:c r="H38" s="27" t="str">
        <x:v>Tất cả</x:v>
      </x:c>
      <x:c r="I38" s="27" t="str">
        <x:v>Có</x:v>
      </x:c>
      <x:c r="J38" s="27" t="str"/>
    </x:row>
    <x:row r="39">
      <x:c r="A39" s="21" t="str">
        <x:v>C008</x:v>
      </x:c>
      <x:c r="B39" s="21" t="str">
        <x:v>Chức năng/hình học</x:v>
      </x:c>
      <x:c r="C39" s="27" t="str">
        <x:v>Gãy tap</x:v>
      </x:c>
      <x:c r="D39" s="27" t="str">
        <x:v>Dụng cụ taro (tap) gãy và còn kẹt trong chi tiết → không thể lắp ráp hoặc gây hỏng phôi</x:v>
      </x:c>
      <x:c r="E39" s="27" t="str">
        <x:v>PROCESS</x:v>
      </x:c>
      <x:c r="F39" s="27" t="str">
        <x:v>Không</x:v>
      </x:c>
      <x:c r="G39" s="27" t="str">
        <x:v>Theo đánh giá</x:v>
      </x:c>
      <x:c r="H39" s="27" t="str">
        <x:v>Tất cả</x:v>
      </x:c>
      <x:c r="I39" s="27" t="str">
        <x:v>Có</x:v>
      </x:c>
      <x:c r="J39" s="27" t="str">
        <x:v>Gãy tap là sự cố quá trình/công cụ; không tự động tính vào FPY sản phẩm.</x:v>
      </x:c>
    </x:row>
    <x:row r="40">
      <x:c r="A40" s="21" t="str">
        <x:v>C009</x:v>
      </x:c>
      <x:c r="B40" s="21" t="str">
        <x:v>Chức năng/hình học</x:v>
      </x:c>
      <x:c r="C40" s="27" t="str">
        <x:v>Chưa đủ độ cứng</x:v>
      </x:c>
      <x:c r="D40" s="27" t="str">
        <x:v>Vật liệu sau xử lý nhiệt không đạt độ cứng yêu cầu (có thể đo bằng máy đo độ cứng)</x:v>
      </x:c>
      <x:c r="E40" s="27" t="str">
        <x:v>PRODUCT</x:v>
      </x:c>
      <x:c r="F40" s="27" t="str">
        <x:v>Có</x:v>
      </x:c>
      <x:c r="G40" s="27" t="str">
        <x:v>Theo đánh giá</x:v>
      </x:c>
      <x:c r="H40" s="27" t="str">
        <x:v>Tất cả</x:v>
      </x:c>
      <x:c r="I40" s="27" t="str">
        <x:v>Có</x:v>
      </x:c>
      <x:c r="J40" s="27" t="str"/>
    </x:row>
    <x:row r="41">
      <x:c r="A41" s="21" t="str">
        <x:v>C010</x:v>
      </x:c>
      <x:c r="B41" s="21" t="str">
        <x:v>Chức năng/hình học</x:v>
      </x:c>
      <x:c r="C41" s="27" t="str">
        <x:v>Vượt độ cứng</x:v>
      </x:c>
      <x:c r="D41" s="27" t="str">
        <x:v>Độ cứng cao hơn quy định → gây giòn, dễ nứt, khó gia công tiếp</x:v>
      </x:c>
      <x:c r="E41" s="27" t="str">
        <x:v>PRODUCT</x:v>
      </x:c>
      <x:c r="F41" s="27" t="str">
        <x:v>Có</x:v>
      </x:c>
      <x:c r="G41" s="27" t="str">
        <x:v>Theo đánh giá</x:v>
      </x:c>
      <x:c r="H41" s="27" t="str">
        <x:v>Tất cả</x:v>
      </x:c>
      <x:c r="I41" s="27" t="str">
        <x:v>Có</x:v>
      </x:c>
      <x:c r="J41" s="27" t="str"/>
    </x:row>
    <x:row r="42">
      <x:c r="A42" s="21" t="str">
        <x:v>C011</x:v>
      </x:c>
      <x:c r="B42" s="21" t="str">
        <x:v>Chức năng/hình học</x:v>
      </x:c>
      <x:c r="C42" s="27" t="str">
        <x:v>Gia công sai hướng</x:v>
      </x:c>
      <x:c r="D42" s="27" t="str">
        <x:v>Chi tiết được gia công hoặc khoan/taro sai hướng, ngược bên hoặc không đúng bản vẽ</x:v>
      </x:c>
      <x:c r="E42" s="27" t="str">
        <x:v>PRODUCT</x:v>
      </x:c>
      <x:c r="F42" s="27" t="str">
        <x:v>Có</x:v>
      </x:c>
      <x:c r="G42" s="27" t="str">
        <x:v>Theo đánh giá</x:v>
      </x:c>
      <x:c r="H42" s="27" t="str">
        <x:v>Tất cả</x:v>
      </x:c>
      <x:c r="I42" s="27" t="str">
        <x:v>Có</x:v>
      </x:c>
      <x:c r="J42" s="27" t="str"/>
    </x:row>
    <x:row r="43">
      <x:c r="A43" s="21" t="str">
        <x:v>C012</x:v>
      </x:c>
      <x:c r="B43" s="21" t="str">
        <x:v>Chức năng/hình học</x:v>
      </x:c>
      <x:c r="C43" s="27" t="str">
        <x:v>Sai vật liệu</x:v>
      </x:c>
      <x:c r="D43" s="27" t="str">
        <x:v>Vật liệu sử dụng không đúng với quy cách thiết kế hoặc bản vẽ (sai mác, sai tiêu chuẩn...)</x:v>
      </x:c>
      <x:c r="E43" s="27" t="str">
        <x:v>PRODUCT</x:v>
      </x:c>
      <x:c r="F43" s="27" t="str">
        <x:v>Có</x:v>
      </x:c>
      <x:c r="G43" s="27" t="str">
        <x:v>Theo đánh giá</x:v>
      </x:c>
      <x:c r="H43" s="27" t="str">
        <x:v>Tất cả</x:v>
      </x:c>
      <x:c r="I43" s="27" t="str">
        <x:v>Có</x:v>
      </x:c>
      <x:c r="J43" s="27" t="str"/>
    </x:row>
    <x:row r="44">
      <x:c r="A44" s="21" t="str">
        <x:v>D001</x:v>
      </x:c>
      <x:c r="B44" s="21" t="str">
        <x:v>Lắp ráp/hoạt động</x:v>
      </x:c>
      <x:c r="C44" s="27" t="str">
        <x:v>Thiếu linh kiện / phụ tùng</x:v>
      </x:c>
      <x:c r="D44" s="27" t="str">
        <x:v>Bỏ sót không gắn đầy đủ các chi tiết cần thiết trong quá trình lắp ráp</x:v>
      </x:c>
      <x:c r="E44" s="27" t="str">
        <x:v>PRODUCT</x:v>
      </x:c>
      <x:c r="F44" s="27" t="str">
        <x:v>Có</x:v>
      </x:c>
      <x:c r="G44" s="27" t="str">
        <x:v>Theo đánh giá</x:v>
      </x:c>
      <x:c r="H44" s="27" t="str">
        <x:v>Tất cả</x:v>
      </x:c>
      <x:c r="I44" s="27" t="str">
        <x:v>Có</x:v>
      </x:c>
      <x:c r="J44" s="27" t="str"/>
    </x:row>
    <x:row r="45">
      <x:c r="A45" s="21" t="str">
        <x:v>D002</x:v>
      </x:c>
      <x:c r="B45" s="21" t="str">
        <x:v>Lắp ráp/hoạt động</x:v>
      </x:c>
      <x:c r="C45" s="27" t="str">
        <x:v>Gắn, lắp ráp sai hướng</x:v>
      </x:c>
      <x:c r="D45" s="27" t="str">
        <x:v>Lắp sai chiều, sai vị trí hoặc sai định hướng so với thiết kế</x:v>
      </x:c>
      <x:c r="E45" s="27" t="str">
        <x:v>PRODUCT</x:v>
      </x:c>
      <x:c r="F45" s="27" t="str">
        <x:v>Có</x:v>
      </x:c>
      <x:c r="G45" s="27" t="str">
        <x:v>Theo đánh giá</x:v>
      </x:c>
      <x:c r="H45" s="27" t="str">
        <x:v>Tất cả</x:v>
      </x:c>
      <x:c r="I45" s="27" t="str">
        <x:v>Có</x:v>
      </x:c>
      <x:c r="J45" s="27" t="str"/>
    </x:row>
    <x:row r="46">
      <x:c r="A46" s="21" t="str">
        <x:v>D003</x:v>
      </x:c>
      <x:c r="B46" s="21" t="str">
        <x:v>Lắp ráp/hoạt động</x:v>
      </x:c>
      <x:c r="C46" s="27" t="str">
        <x:v>Siết lực không đủ</x:v>
      </x:c>
      <x:c r="D46" s="27" t="str">
        <x:v>Lực siết (bằng tay hoặc máy) không đạt tiêu chuẩn kỹ thuật</x:v>
      </x:c>
      <x:c r="E46" s="27" t="str">
        <x:v>PRODUCT</x:v>
      </x:c>
      <x:c r="F46" s="27" t="str">
        <x:v>Có</x:v>
      </x:c>
      <x:c r="G46" s="27" t="str">
        <x:v>Theo đánh giá</x:v>
      </x:c>
      <x:c r="H46" s="27" t="str">
        <x:v>Tất cả</x:v>
      </x:c>
      <x:c r="I46" s="27" t="str">
        <x:v>Có</x:v>
      </x:c>
      <x:c r="J46" s="27" t="str"/>
    </x:row>
    <x:row r="47">
      <x:c r="A47" s="21" t="str">
        <x:v>D004</x:v>
      </x:c>
      <x:c r="B47" s="21" t="str">
        <x:v>Lắp ráp/hoạt động</x:v>
      </x:c>
      <x:c r="C47" s="27" t="str">
        <x:v>Lỏng lẻo sau lắp ráp</x:v>
      </x:c>
      <x:c r="D47" s="27" t="str">
        <x:v>Bộ phận bị rung lắc, không chắc chắn sau khi hoàn tất lắp ráp</x:v>
      </x:c>
      <x:c r="E47" s="27" t="str">
        <x:v>PRODUCT</x:v>
      </x:c>
      <x:c r="F47" s="27" t="str">
        <x:v>Có</x:v>
      </x:c>
      <x:c r="G47" s="27" t="str">
        <x:v>Theo đánh giá</x:v>
      </x:c>
      <x:c r="H47" s="27" t="str">
        <x:v>Tất cả</x:v>
      </x:c>
      <x:c r="I47" s="27" t="str">
        <x:v>Có</x:v>
      </x:c>
      <x:c r="J47" s="27" t="str"/>
    </x:row>
    <x:row r="48">
      <x:c r="A48" s="21" t="str">
        <x:v>D005</x:v>
      </x:c>
      <x:c r="B48" s="21" t="str">
        <x:v>Lắp ráp/hoạt động</x:v>
      </x:c>
      <x:c r="C48" s="27" t="str">
        <x:v>Không hoạt động sau lắp</x:v>
      </x:c>
      <x:c r="D48" s="27" t="str">
        <x:v>Sản phẩm/bộ phận không vận hành đúng sau khi lắp xong</x:v>
      </x:c>
      <x:c r="E48" s="27" t="str">
        <x:v>PRODUCT</x:v>
      </x:c>
      <x:c r="F48" s="27" t="str">
        <x:v>Có</x:v>
      </x:c>
      <x:c r="G48" s="27" t="str">
        <x:v>Theo đánh giá</x:v>
      </x:c>
      <x:c r="H48" s="27" t="str">
        <x:v>Tất cả</x:v>
      </x:c>
      <x:c r="I48" s="27" t="str">
        <x:v>Có</x:v>
      </x:c>
      <x:c r="J48" s="27" t="str"/>
    </x:row>
    <x:row r="49">
      <x:c r="A49" s="21" t="str">
        <x:v>D006</x:v>
      </x:c>
      <x:c r="B49" s="21" t="str">
        <x:v>Lắp ráp/hoạt động</x:v>
      </x:c>
      <x:c r="C49" s="27" t="str">
        <x:v>Thiếu check sơn sau lắp</x:v>
      </x:c>
      <x:c r="D49" s="27" t="str">
        <x:v>Bỏ qua bước kiểm tra lớp sơn hoàn thiện sau khi lắp ráp</x:v>
      </x:c>
      <x:c r="E49" s="27" t="str">
        <x:v>PROCESS</x:v>
      </x:c>
      <x:c r="F49" s="27" t="str">
        <x:v>Không</x:v>
      </x:c>
      <x:c r="G49" s="27" t="str">
        <x:v>Theo đánh giá</x:v>
      </x:c>
      <x:c r="H49" s="27" t="str">
        <x:v>Tất cả</x:v>
      </x:c>
      <x:c r="I49" s="27" t="str">
        <x:v>Có</x:v>
      </x:c>
      <x:c r="J49" s="27" t="str">
        <x:v>Thiếu bước kiểm tra là lỗi tuân thủ quá trình; không tự động tính vào FPY sản phẩm.</x:v>
      </x:c>
    </x:row>
    <x:row r="50">
      <x:c r="A50" s="21" t="str">
        <x:v>E001</x:v>
      </x:c>
      <x:c r="B50" s="21" t="str">
        <x:v>Truy vết/tài liệu</x:v>
      </x:c>
      <x:c r="C50" s="27" t="str">
        <x:v>Thiếu tem truy vết</x:v>
      </x:c>
      <x:c r="D50" s="27" t="str">
        <x:v>Không dán/mã hóa tem truy xuất nguồn gốc trên sản phẩm theo quy định</x:v>
      </x:c>
      <x:c r="E50" s="27" t="str">
        <x:v>DOCUMENT</x:v>
      </x:c>
      <x:c r="F50" s="27" t="str">
        <x:v>Không</x:v>
      </x:c>
      <x:c r="G50" s="27" t="str">
        <x:v>Theo đánh giá</x:v>
      </x:c>
      <x:c r="H50" s="27" t="str">
        <x:v>Tất cả</x:v>
      </x:c>
      <x:c r="I50" s="27" t="str">
        <x:v>Có</x:v>
      </x:c>
      <x:c r="J50" s="27" t="str"/>
    </x:row>
    <x:row r="51">
      <x:c r="A51" s="21" t="str">
        <x:v>E002</x:v>
      </x:c>
      <x:c r="B51" s="21" t="str">
        <x:v>Truy vết/tài liệu</x:v>
      </x:c>
      <x:c r="C51" s="27" t="str">
        <x:v>Thiếu phiếu kiểm tra</x:v>
      </x:c>
      <x:c r="D51" s="27" t="str">
        <x:v>Bỏ sót không đính kèm phiếu kiểm tra chất lượng sau quá trình kiểm tra hoặc lắp ráp</x:v>
      </x:c>
      <x:c r="E51" s="27" t="str">
        <x:v>DOCUMENT</x:v>
      </x:c>
      <x:c r="F51" s="27" t="str">
        <x:v>Không</x:v>
      </x:c>
      <x:c r="G51" s="27" t="str">
        <x:v>Theo đánh giá</x:v>
      </x:c>
      <x:c r="H51" s="27" t="str">
        <x:v>Tất cả</x:v>
      </x:c>
      <x:c r="I51" s="27" t="str">
        <x:v>Có</x:v>
      </x:c>
      <x:c r="J51" s="27" t="str"/>
    </x:row>
    <x:row r="52">
      <x:c r="A52" s="21" t="str">
        <x:v>E003</x:v>
      </x:c>
      <x:c r="B52" s="21" t="str">
        <x:v>Truy vết/tài liệu</x:v>
      </x:c>
      <x:c r="C52" s="27" t="str">
        <x:v>Sử dụng sai bản vẽ / tài liệu</x:v>
      </x:c>
      <x:c r="D52" s="27" t="str">
        <x:v>Áp dụng nhầm bản vẽ kỹ thuật hoặc tài liệu hướng dẫn không đúng phiên bản</x:v>
      </x:c>
      <x:c r="E52" s="27" t="str">
        <x:v>DOCUMENT</x:v>
      </x:c>
      <x:c r="F52" s="27" t="str">
        <x:v>Không</x:v>
      </x:c>
      <x:c r="G52" s="27" t="str">
        <x:v>Theo đánh giá</x:v>
      </x:c>
      <x:c r="H52" s="27" t="str">
        <x:v>Tất cả</x:v>
      </x:c>
      <x:c r="I52" s="27" t="str">
        <x:v>Có</x:v>
      </x:c>
      <x:c r="J52" s="27" t="str"/>
    </x:row>
    <x:row r="53">
      <x:c r="A53" s="21" t="str">
        <x:v>E004</x:v>
      </x:c>
      <x:c r="B53" s="21" t="str">
        <x:v>Truy vết/tài liệu</x:v>
      </x:c>
      <x:c r="C53" s="27" t="str">
        <x:v>Thiếu thông tin trên nhãn</x:v>
      </x:c>
      <x:c r="D53" s="27" t="str">
        <x:v>Nhãn không đầy đủ thông tin cần thiết như mã hàng, ngày sản xuất, số lô,...</x:v>
      </x:c>
      <x:c r="E53" s="27" t="str">
        <x:v>DOCUMENT</x:v>
      </x:c>
      <x:c r="F53" s="27" t="str">
        <x:v>Không</x:v>
      </x:c>
      <x:c r="G53" s="27" t="str">
        <x:v>Theo đánh giá</x:v>
      </x:c>
      <x:c r="H53" s="27" t="str">
        <x:v>Tất cả</x:v>
      </x:c>
      <x:c r="I53" s="27" t="str">
        <x:v>Có</x:v>
      </x:c>
      <x:c r="J53" s="27" t="str"/>
    </x:row>
    <x:row r="54">
      <x:c r="A54" s="21" t="str">
        <x:v>E005</x:v>
      </x:c>
      <x:c r="B54" s="21" t="str">
        <x:v>Truy vết/tài liệu</x:v>
      </x:c>
      <x:c r="C54" s="27" t="str">
        <x:v>Ghi chép sai trong báo cáo</x:v>
      </x:c>
      <x:c r="D54" s="27" t="str">
        <x:v>Nhập sai số liệu, thông tin hoặc kết quả kiểm tra trong báo cáo sản xuất/kỹ thuật</x:v>
      </x:c>
      <x:c r="E54" s="27" t="str">
        <x:v>DOCUMENT</x:v>
      </x:c>
      <x:c r="F54" s="27" t="str">
        <x:v>Không</x:v>
      </x:c>
      <x:c r="G54" s="27" t="str">
        <x:v>Theo đánh giá</x:v>
      </x:c>
      <x:c r="H54" s="27" t="str">
        <x:v>Tất cả</x:v>
      </x:c>
      <x:c r="I54" s="27" t="str">
        <x:v>Có</x:v>
      </x:c>
      <x:c r="J54" s="27" t="str">
        <x:v>Lỗi dữ liệu/tài liệu; không tự động tính vào FPY sản phẩm.</x:v>
      </x:c>
    </x:row>
    <x:row r="55">
      <x:c r="A55" s="21"/>
      <x:c r="B55" s="21"/>
      <x:c r="C55" s="27"/>
      <x:c r="D55" s="27"/>
      <x:c r="E55" s="27"/>
      <x:c r="F55" s="27"/>
      <x:c r="G55" s="27"/>
      <x:c r="H55" s="27"/>
      <x:c r="I55" s="27"/>
      <x:c r="J55" s="27"/>
    </x:row>
    <x:row r="56">
      <x:c r="A56" s="21"/>
      <x:c r="B56" s="21"/>
      <x:c r="C56" s="27"/>
      <x:c r="D56" s="27"/>
      <x:c r="E56" s="27"/>
      <x:c r="F56" s="27"/>
      <x:c r="G56" s="27"/>
      <x:c r="H56" s="27"/>
      <x:c r="I56" s="27"/>
      <x:c r="J56" s="27"/>
    </x:row>
    <x:row r="57">
      <x:c r="A57" s="21"/>
      <x:c r="B57" s="21"/>
      <x:c r="C57" s="27"/>
      <x:c r="D57" s="27"/>
      <x:c r="E57" s="27"/>
      <x:c r="F57" s="27"/>
      <x:c r="G57" s="27"/>
      <x:c r="H57" s="27"/>
      <x:c r="I57" s="27"/>
      <x:c r="J57" s="27"/>
    </x:row>
    <x:row r="58">
      <x:c r="A58" s="21"/>
      <x:c r="B58" s="21"/>
      <x:c r="C58" s="27"/>
      <x:c r="D58" s="27"/>
      <x:c r="E58" s="27"/>
      <x:c r="F58" s="27"/>
      <x:c r="G58" s="27"/>
      <x:c r="H58" s="27"/>
      <x:c r="I58" s="27"/>
      <x:c r="J58" s="27"/>
    </x:row>
    <x:row r="59">
      <x:c r="A59" s="21"/>
      <x:c r="B59" s="21"/>
      <x:c r="C59" s="27"/>
      <x:c r="D59" s="27"/>
      <x:c r="E59" s="27"/>
      <x:c r="F59" s="27"/>
      <x:c r="G59" s="27"/>
      <x:c r="H59" s="27"/>
      <x:c r="I59" s="27"/>
      <x:c r="J59" s="27"/>
    </x:row>
    <x:row r="60">
      <x:c r="A60" s="21"/>
      <x:c r="B60" s="21"/>
      <x:c r="C60" s="27"/>
      <x:c r="D60" s="27"/>
      <x:c r="E60" s="27"/>
      <x:c r="F60" s="27"/>
      <x:c r="G60" s="27"/>
      <x:c r="H60" s="27"/>
      <x:c r="I60" s="27"/>
      <x:c r="J60" s="27"/>
    </x:row>
    <x:row r="61">
      <x:c r="A61" s="21"/>
      <x:c r="B61" s="21"/>
      <x:c r="C61" s="27"/>
      <x:c r="D61" s="27"/>
      <x:c r="E61" s="27"/>
      <x:c r="F61" s="27"/>
      <x:c r="G61" s="27"/>
      <x:c r="H61" s="27"/>
      <x:c r="I61" s="27"/>
      <x:c r="J61" s="27"/>
    </x:row>
    <x:row r="62">
      <x:c r="A62" s="21"/>
      <x:c r="B62" s="21"/>
      <x:c r="C62" s="27"/>
      <x:c r="D62" s="27"/>
      <x:c r="E62" s="27"/>
      <x:c r="F62" s="27"/>
      <x:c r="G62" s="27"/>
      <x:c r="H62" s="27"/>
      <x:c r="I62" s="27"/>
      <x:c r="J62" s="27"/>
    </x:row>
    <x:row r="63">
      <x:c r="A63" s="21"/>
      <x:c r="B63" s="21"/>
      <x:c r="C63" s="27"/>
      <x:c r="D63" s="27"/>
      <x:c r="E63" s="27"/>
      <x:c r="F63" s="27"/>
      <x:c r="G63" s="27"/>
      <x:c r="H63" s="27"/>
      <x:c r="I63" s="27"/>
      <x:c r="J63" s="27"/>
    </x:row>
    <x:row r="64">
      <x:c r="A64" s="21"/>
      <x:c r="B64" s="21"/>
      <x:c r="C64" s="27"/>
      <x:c r="D64" s="27"/>
      <x:c r="E64" s="27"/>
      <x:c r="F64" s="27"/>
      <x:c r="G64" s="27"/>
      <x:c r="H64" s="27"/>
      <x:c r="I64" s="27"/>
      <x:c r="J64" s="27"/>
    </x:row>
    <x:row r="65">
      <x:c r="A65" s="21"/>
      <x:c r="B65" s="21"/>
      <x:c r="C65" s="27"/>
      <x:c r="D65" s="27"/>
      <x:c r="E65" s="27"/>
      <x:c r="F65" s="27"/>
      <x:c r="G65" s="27"/>
      <x:c r="H65" s="27"/>
      <x:c r="I65" s="27"/>
      <x:c r="J65" s="27"/>
    </x:row>
    <x:row r="66">
      <x:c r="A66" s="21"/>
      <x:c r="B66" s="21"/>
      <x:c r="C66" s="27"/>
      <x:c r="D66" s="27"/>
      <x:c r="E66" s="27"/>
      <x:c r="F66" s="27"/>
      <x:c r="G66" s="27"/>
      <x:c r="H66" s="27"/>
      <x:c r="I66" s="27"/>
      <x:c r="J66" s="27"/>
    </x:row>
    <x:row r="67">
      <x:c r="A67" s="21"/>
      <x:c r="B67" s="21"/>
      <x:c r="C67" s="27"/>
      <x:c r="D67" s="27"/>
      <x:c r="E67" s="27"/>
      <x:c r="F67" s="27"/>
      <x:c r="G67" s="27"/>
      <x:c r="H67" s="27"/>
      <x:c r="I67" s="27"/>
      <x:c r="J67" s="27"/>
    </x:row>
    <x:row r="68">
      <x:c r="A68" s="21"/>
      <x:c r="B68" s="21"/>
      <x:c r="C68" s="27"/>
      <x:c r="D68" s="27"/>
      <x:c r="E68" s="27"/>
      <x:c r="F68" s="27"/>
      <x:c r="G68" s="27"/>
      <x:c r="H68" s="27"/>
      <x:c r="I68" s="27"/>
      <x:c r="J68" s="27"/>
    </x:row>
    <x:row r="69">
      <x:c r="A69" s="21"/>
      <x:c r="B69" s="21"/>
      <x:c r="C69" s="27"/>
      <x:c r="D69" s="27"/>
      <x:c r="E69" s="27"/>
      <x:c r="F69" s="27"/>
      <x:c r="G69" s="27"/>
      <x:c r="H69" s="27"/>
      <x:c r="I69" s="27"/>
      <x:c r="J69" s="27"/>
    </x:row>
    <x:row r="70">
      <x:c r="A70" s="21"/>
      <x:c r="B70" s="21"/>
      <x:c r="C70" s="27"/>
      <x:c r="D70" s="27"/>
      <x:c r="E70" s="27"/>
      <x:c r="F70" s="27"/>
      <x:c r="G70" s="27"/>
      <x:c r="H70" s="27"/>
      <x:c r="I70" s="27"/>
      <x:c r="J70" s="27"/>
    </x:row>
    <x:row r="71">
      <x:c r="A71" s="21"/>
      <x:c r="B71" s="21"/>
      <x:c r="C71" s="27"/>
      <x:c r="D71" s="27"/>
      <x:c r="E71" s="27"/>
      <x:c r="F71" s="27"/>
      <x:c r="G71" s="27"/>
      <x:c r="H71" s="27"/>
      <x:c r="I71" s="27"/>
      <x:c r="J71" s="27"/>
    </x:row>
    <x:row r="72">
      <x:c r="A72" s="21"/>
      <x:c r="B72" s="21"/>
      <x:c r="C72" s="27"/>
      <x:c r="D72" s="27"/>
      <x:c r="E72" s="27"/>
      <x:c r="F72" s="27"/>
      <x:c r="G72" s="27"/>
      <x:c r="H72" s="27"/>
      <x:c r="I72" s="27"/>
      <x:c r="J72" s="27"/>
    </x:row>
    <x:row r="73">
      <x:c r="A73" s="21"/>
      <x:c r="B73" s="21"/>
      <x:c r="C73" s="27"/>
      <x:c r="D73" s="27"/>
      <x:c r="E73" s="27"/>
      <x:c r="F73" s="27"/>
      <x:c r="G73" s="27"/>
      <x:c r="H73" s="27"/>
      <x:c r="I73" s="27"/>
      <x:c r="J73" s="27"/>
    </x:row>
    <x:row r="74">
      <x:c r="A74" s="21"/>
      <x:c r="B74" s="21"/>
      <x:c r="C74" s="27"/>
      <x:c r="D74" s="27"/>
      <x:c r="E74" s="27"/>
      <x:c r="F74" s="27"/>
      <x:c r="G74" s="27"/>
      <x:c r="H74" s="27"/>
      <x:c r="I74" s="27"/>
      <x:c r="J74" s="27"/>
    </x:row>
    <x:row r="75">
      <x:c r="A75" s="21"/>
      <x:c r="B75" s="21"/>
      <x:c r="C75" s="27"/>
      <x:c r="D75" s="27"/>
      <x:c r="E75" s="27"/>
      <x:c r="F75" s="27"/>
      <x:c r="G75" s="27"/>
      <x:c r="H75" s="27"/>
      <x:c r="I75" s="27"/>
      <x:c r="J75" s="27"/>
    </x:row>
    <x:row r="76">
      <x:c r="A76" s="21"/>
      <x:c r="B76" s="21"/>
      <x:c r="C76" s="27"/>
      <x:c r="D76" s="27"/>
      <x:c r="E76" s="27"/>
      <x:c r="F76" s="27"/>
      <x:c r="G76" s="27"/>
      <x:c r="H76" s="27"/>
      <x:c r="I76" s="27"/>
      <x:c r="J76" s="27"/>
    </x:row>
    <x:row r="77">
      <x:c r="A77" s="21"/>
      <x:c r="B77" s="21"/>
      <x:c r="C77" s="27"/>
      <x:c r="D77" s="27"/>
      <x:c r="E77" s="27"/>
      <x:c r="F77" s="27"/>
      <x:c r="G77" s="27"/>
      <x:c r="H77" s="27"/>
      <x:c r="I77" s="27"/>
      <x:c r="J77" s="27"/>
    </x:row>
    <x:row r="78">
      <x:c r="A78" s="21"/>
      <x:c r="B78" s="21"/>
      <x:c r="C78" s="27"/>
      <x:c r="D78" s="27"/>
      <x:c r="E78" s="27"/>
      <x:c r="F78" s="27"/>
      <x:c r="G78" s="27"/>
      <x:c r="H78" s="27"/>
      <x:c r="I78" s="27"/>
      <x:c r="J78" s="27"/>
    </x:row>
    <x:row r="79">
      <x:c r="A79" s="21"/>
      <x:c r="B79" s="21"/>
      <x:c r="C79" s="27"/>
      <x:c r="D79" s="27"/>
      <x:c r="E79" s="27"/>
      <x:c r="F79" s="27"/>
      <x:c r="G79" s="27"/>
      <x:c r="H79" s="27"/>
      <x:c r="I79" s="27"/>
      <x:c r="J79" s="27"/>
    </x:row>
    <x:row r="80">
      <x:c r="A80" s="21"/>
      <x:c r="B80" s="21"/>
      <x:c r="C80" s="27"/>
      <x:c r="D80" s="27"/>
      <x:c r="E80" s="27"/>
      <x:c r="F80" s="27"/>
      <x:c r="G80" s="27"/>
      <x:c r="H80" s="27"/>
      <x:c r="I80" s="27"/>
      <x:c r="J80" s="27"/>
    </x:row>
    <x:row r="81">
      <x:c r="A81" s="21"/>
      <x:c r="B81" s="21"/>
      <x:c r="C81" s="27"/>
      <x:c r="D81" s="27"/>
      <x:c r="E81" s="27"/>
      <x:c r="F81" s="27"/>
      <x:c r="G81" s="27"/>
      <x:c r="H81" s="27"/>
      <x:c r="I81" s="27"/>
      <x:c r="J81" s="27"/>
    </x:row>
    <x:row r="82">
      <x:c r="A82" s="21"/>
      <x:c r="B82" s="21"/>
      <x:c r="C82" s="27"/>
      <x:c r="D82" s="27"/>
      <x:c r="E82" s="27"/>
      <x:c r="F82" s="27"/>
      <x:c r="G82" s="27"/>
      <x:c r="H82" s="27"/>
      <x:c r="I82" s="27"/>
      <x:c r="J82" s="27"/>
    </x:row>
    <x:row r="83">
      <x:c r="A83" s="21"/>
      <x:c r="B83" s="21"/>
      <x:c r="C83" s="27"/>
      <x:c r="D83" s="27"/>
      <x:c r="E83" s="27"/>
      <x:c r="F83" s="27"/>
      <x:c r="G83" s="27"/>
      <x:c r="H83" s="27"/>
      <x:c r="I83" s="27"/>
      <x:c r="J83" s="27"/>
    </x:row>
    <x:row r="84">
      <x:c r="A84" s="21"/>
      <x:c r="B84" s="21"/>
      <x:c r="C84" s="27"/>
      <x:c r="D84" s="27"/>
      <x:c r="E84" s="27"/>
      <x:c r="F84" s="27"/>
      <x:c r="G84" s="27"/>
      <x:c r="H84" s="27"/>
      <x:c r="I84" s="27"/>
      <x:c r="J84" s="27"/>
    </x:row>
    <x:row r="85">
      <x:c r="A85" s="21"/>
      <x:c r="B85" s="21"/>
      <x:c r="C85" s="27"/>
      <x:c r="D85" s="27"/>
      <x:c r="E85" s="27"/>
      <x:c r="F85" s="27"/>
      <x:c r="G85" s="27"/>
      <x:c r="H85" s="27"/>
      <x:c r="I85" s="27"/>
      <x:c r="J85" s="27"/>
    </x:row>
    <x:row r="86">
      <x:c r="A86" s="21"/>
      <x:c r="B86" s="21"/>
      <x:c r="C86" s="27"/>
      <x:c r="D86" s="27"/>
      <x:c r="E86" s="27"/>
      <x:c r="F86" s="27"/>
      <x:c r="G86" s="27"/>
      <x:c r="H86" s="27"/>
      <x:c r="I86" s="27"/>
      <x:c r="J86" s="27"/>
    </x:row>
    <x:row r="87">
      <x:c r="A87" s="21"/>
      <x:c r="B87" s="21"/>
      <x:c r="C87" s="27"/>
      <x:c r="D87" s="27"/>
      <x:c r="E87" s="27"/>
      <x:c r="F87" s="27"/>
      <x:c r="G87" s="27"/>
      <x:c r="H87" s="27"/>
      <x:c r="I87" s="27"/>
      <x:c r="J87" s="27"/>
    </x:row>
    <x:row r="88">
      <x:c r="A88" s="21"/>
      <x:c r="B88" s="21"/>
      <x:c r="C88" s="27"/>
      <x:c r="D88" s="27"/>
      <x:c r="E88" s="27"/>
      <x:c r="F88" s="27"/>
      <x:c r="G88" s="27"/>
      <x:c r="H88" s="27"/>
      <x:c r="I88" s="27"/>
      <x:c r="J88" s="27"/>
    </x:row>
    <x:row r="89">
      <x:c r="A89" s="21"/>
      <x:c r="B89" s="21"/>
      <x:c r="C89" s="27"/>
      <x:c r="D89" s="27"/>
      <x:c r="E89" s="27"/>
      <x:c r="F89" s="27"/>
      <x:c r="G89" s="27"/>
      <x:c r="H89" s="27"/>
      <x:c r="I89" s="27"/>
      <x:c r="J89" s="27"/>
    </x:row>
    <x:row r="90">
      <x:c r="A90" s="21"/>
      <x:c r="B90" s="21"/>
      <x:c r="C90" s="27"/>
      <x:c r="D90" s="27"/>
      <x:c r="E90" s="27"/>
      <x:c r="F90" s="27"/>
      <x:c r="G90" s="27"/>
      <x:c r="H90" s="27"/>
      <x:c r="I90" s="27"/>
      <x:c r="J90" s="27"/>
    </x:row>
    <x:row r="91">
      <x:c r="A91" s="21"/>
      <x:c r="B91" s="21"/>
      <x:c r="C91" s="27"/>
      <x:c r="D91" s="27"/>
      <x:c r="E91" s="27"/>
      <x:c r="F91" s="27"/>
      <x:c r="G91" s="27"/>
      <x:c r="H91" s="27"/>
      <x:c r="I91" s="27"/>
      <x:c r="J91" s="27"/>
    </x:row>
    <x:row r="92">
      <x:c r="A92" s="21"/>
      <x:c r="B92" s="21"/>
      <x:c r="C92" s="27"/>
      <x:c r="D92" s="27"/>
      <x:c r="E92" s="27"/>
      <x:c r="F92" s="27"/>
      <x:c r="G92" s="27"/>
      <x:c r="H92" s="27"/>
      <x:c r="I92" s="27"/>
      <x:c r="J92" s="27"/>
    </x:row>
    <x:row r="93">
      <x:c r="A93" s="21"/>
      <x:c r="B93" s="21"/>
      <x:c r="C93" s="27"/>
      <x:c r="D93" s="27"/>
      <x:c r="E93" s="27"/>
      <x:c r="F93" s="27"/>
      <x:c r="G93" s="27"/>
      <x:c r="H93" s="27"/>
      <x:c r="I93" s="27"/>
      <x:c r="J93" s="27"/>
    </x:row>
    <x:row r="94">
      <x:c r="A94" s="21"/>
      <x:c r="B94" s="21"/>
      <x:c r="C94" s="27"/>
      <x:c r="D94" s="27"/>
      <x:c r="E94" s="27"/>
      <x:c r="F94" s="27"/>
      <x:c r="G94" s="27"/>
      <x:c r="H94" s="27"/>
      <x:c r="I94" s="27"/>
      <x:c r="J94" s="27"/>
    </x:row>
    <x:row r="95">
      <x:c r="A95" s="21"/>
      <x:c r="B95" s="21"/>
      <x:c r="C95" s="27"/>
      <x:c r="D95" s="27"/>
      <x:c r="E95" s="27"/>
      <x:c r="F95" s="27"/>
      <x:c r="G95" s="27"/>
      <x:c r="H95" s="27"/>
      <x:c r="I95" s="27"/>
      <x:c r="J95" s="27"/>
    </x:row>
    <x:row r="96">
      <x:c r="A96" s="21"/>
      <x:c r="B96" s="21"/>
      <x:c r="C96" s="27"/>
      <x:c r="D96" s="27"/>
      <x:c r="E96" s="27"/>
      <x:c r="F96" s="27"/>
      <x:c r="G96" s="27"/>
      <x:c r="H96" s="27"/>
      <x:c r="I96" s="27"/>
      <x:c r="J96" s="27"/>
    </x:row>
    <x:row r="97">
      <x:c r="A97" s="21"/>
      <x:c r="B97" s="21"/>
      <x:c r="C97" s="27"/>
      <x:c r="D97" s="27"/>
      <x:c r="E97" s="27"/>
      <x:c r="F97" s="27"/>
      <x:c r="G97" s="27"/>
      <x:c r="H97" s="27"/>
      <x:c r="I97" s="27"/>
      <x:c r="J97" s="27"/>
    </x:row>
    <x:row r="98">
      <x:c r="A98" s="21"/>
      <x:c r="B98" s="21"/>
      <x:c r="C98" s="27"/>
      <x:c r="D98" s="27"/>
      <x:c r="E98" s="27"/>
      <x:c r="F98" s="27"/>
      <x:c r="G98" s="27"/>
      <x:c r="H98" s="27"/>
      <x:c r="I98" s="27"/>
      <x:c r="J98" s="27"/>
    </x:row>
    <x:row r="99">
      <x:c r="A99" s="21"/>
      <x:c r="B99" s="21"/>
      <x:c r="C99" s="27"/>
      <x:c r="D99" s="27"/>
      <x:c r="E99" s="27"/>
      <x:c r="F99" s="27"/>
      <x:c r="G99" s="27"/>
      <x:c r="H99" s="27"/>
      <x:c r="I99" s="27"/>
      <x:c r="J99" s="27"/>
    </x:row>
    <x:row r="100">
      <x:c r="A100" s="21"/>
      <x:c r="B100" s="21"/>
      <x:c r="C100" s="27"/>
      <x:c r="D100" s="27"/>
      <x:c r="E100" s="27"/>
      <x:c r="F100" s="27"/>
      <x:c r="G100" s="27"/>
      <x:c r="H100" s="27"/>
      <x:c r="I100" s="27"/>
      <x:c r="J100" s="27"/>
    </x:row>
    <x:row r="101">
      <x:c r="A101" s="21"/>
      <x:c r="B101" s="21"/>
      <x:c r="C101" s="27"/>
      <x:c r="D101" s="27"/>
      <x:c r="E101" s="27"/>
      <x:c r="F101" s="27"/>
      <x:c r="G101" s="27"/>
      <x:c r="H101" s="27"/>
      <x:c r="I101" s="27"/>
      <x:c r="J101" s="27"/>
    </x:row>
    <x:row r="102">
      <x:c r="A102" s="21"/>
      <x:c r="B102" s="21"/>
      <x:c r="C102" s="27"/>
      <x:c r="D102" s="27"/>
      <x:c r="E102" s="27"/>
      <x:c r="F102" s="27"/>
      <x:c r="G102" s="27"/>
      <x:c r="H102" s="27"/>
      <x:c r="I102" s="27"/>
      <x:c r="J102" s="27"/>
    </x:row>
    <x:row r="103">
      <x:c r="A103" s="21"/>
      <x:c r="B103" s="21"/>
      <x:c r="C103" s="27"/>
      <x:c r="D103" s="27"/>
      <x:c r="E103" s="27"/>
      <x:c r="F103" s="27"/>
      <x:c r="G103" s="27"/>
      <x:c r="H103" s="27"/>
      <x:c r="I103" s="27"/>
      <x:c r="J103" s="27"/>
    </x:row>
    <x:row r="104">
      <x:c r="A104" s="21"/>
      <x:c r="B104" s="21"/>
      <x:c r="C104" s="27"/>
      <x:c r="D104" s="27"/>
      <x:c r="E104" s="27"/>
      <x:c r="F104" s="27"/>
      <x:c r="G104" s="27"/>
      <x:c r="H104" s="27"/>
      <x:c r="I104" s="27"/>
      <x:c r="J104" s="27"/>
    </x:row>
    <x:row r="105">
      <x:c r="A105" s="22"/>
      <x:c r="B105" s="22"/>
      <x:c r="C105" s="28"/>
      <x:c r="D105" s="28"/>
      <x:c r="E105" s="28"/>
      <x:c r="F105" s="28"/>
      <x:c r="G105" s="28"/>
      <x:c r="H105" s="28"/>
      <x:c r="I105" s="28"/>
      <x:c r="J105" s="28"/>
    </x:row>
  </x:sheetData>
  <x:mergeCells>
    <x:mergeCell ref="A2:J2"/>
    <x:mergeCell ref="A3:J3"/>
  </x:mergeCells>
  <x:dataValidations count="2">
    <x:dataValidation type="list" sqref="F6:F105">
      <x:formula1>"Có,Không"</x:formula1>
    </x:dataValidation>
    <x:dataValidation type="list" sqref="I6:I105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30ebea3f204942"/>
  </x:tableParts>
</x:worksheet>
</file>

<file path=xl/worksheets/sheet13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779999732971191" hidden="0" customWidth="1"/>
    <x:col min="2" max="2" width="21.110000610351562" hidden="0" customWidth="1"/>
    <x:col min="3" max="3" width="14.4399995803833" hidden="0" customWidth="1"/>
    <x:col min="4" max="4" width="20" hidden="0" customWidth="1"/>
    <x:col min="5" max="5" width="8.329999923706055" hidden="0" customWidth="1"/>
  </x:cols>
  <x:sheetData>
    <x:row r="2">
      <x:c r="A2" s="2" t="str">
        <x:v>DANH MỤC LÝ DO DỪNG / CHỜ</x:v>
      </x:c>
    </x:row>
    <x:row r="3">
      <x:c r="A3" s="20" t="str">
        <x:v>Lý do dừng là nguyên nhân của thời gian mất mát; không sử dụng mã lỗi sản phẩm thay cho lý do dừng.</x:v>
      </x:c>
      <x:c r="B3" s="3"/>
      <x:c r="C3" s="3"/>
      <x:c r="D3" s="3"/>
      <x:c r="E3" s="3"/>
    </x:row>
    <x:row r="5">
      <x:c r="A5" s="12" t="str">
        <x:v>ReasonCode</x:v>
      </x:c>
      <x:c r="B5" s="12" t="str">
        <x:v>Lý do</x:v>
      </x:c>
      <x:c r="C5" s="12" t="str">
        <x:v>Nhóm 4M1E/Flow</x:v>
      </x:c>
      <x:c r="D5" s="12" t="str">
        <x:v>Đơn vị xử lý mặc định</x:v>
      </x:c>
      <x:c r="E5" s="12" t="str">
        <x:v>Active</x:v>
      </x:c>
    </x:row>
    <x:row r="6">
      <x:c r="A6" s="21" t="str">
        <x:v>DT-MATERIAL</x:v>
      </x:c>
      <x:c r="B6" s="21" t="str">
        <x:v>Chờ phôi/vật liệu</x:v>
      </x:c>
      <x:c r="C6" s="21" t="str">
        <x:v>Material</x:v>
      </x:c>
      <x:c r="D6" s="21" t="str">
        <x:v>Kho/Cung ứng</x:v>
      </x:c>
      <x:c r="E6" s="21" t="str">
        <x:v>Có</x:v>
      </x:c>
    </x:row>
    <x:row r="7">
      <x:c r="A7" s="21" t="str">
        <x:v>DT-TOOL</x:v>
      </x:c>
      <x:c r="B7" s="21" t="str">
        <x:v>Chờ dao/đồ gá</x:v>
      </x:c>
      <x:c r="C7" s="21" t="str">
        <x:v>Machine</x:v>
      </x:c>
      <x:c r="D7" s="21" t="str">
        <x:v>Kho dụng cụ</x:v>
      </x:c>
      <x:c r="E7" s="21" t="str">
        <x:v>Có</x:v>
      </x:c>
    </x:row>
    <x:row r="8">
      <x:c r="A8" s="21" t="str">
        <x:v>DT-DRAWING</x:v>
      </x:c>
      <x:c r="B8" s="21" t="str">
        <x:v>Chờ bản vẽ</x:v>
      </x:c>
      <x:c r="C8" s="21" t="str">
        <x:v>Method</x:v>
      </x:c>
      <x:c r="D8" s="21" t="str">
        <x:v>Kỹ thuật</x:v>
      </x:c>
      <x:c r="E8" s="21" t="str">
        <x:v>Có</x:v>
      </x:c>
    </x:row>
    <x:row r="9">
      <x:c r="A9" s="21" t="str">
        <x:v>DT-NC</x:v>
      </x:c>
      <x:c r="B9" s="21" t="str">
        <x:v>Chờ chương trình NC</x:v>
      </x:c>
      <x:c r="C9" s="21" t="str">
        <x:v>Method</x:v>
      </x:c>
      <x:c r="D9" s="21" t="str">
        <x:v>Kỹ thuật</x:v>
      </x:c>
      <x:c r="E9" s="21" t="str">
        <x:v>Có</x:v>
      </x:c>
    </x:row>
    <x:row r="10">
      <x:c r="A10" s="21" t="str">
        <x:v>DT-QC</x:v>
      </x:c>
      <x:c r="B10" s="21" t="str">
        <x:v>Chờ QC</x:v>
      </x:c>
      <x:c r="C10" s="21" t="str">
        <x:v>Flow</x:v>
      </x:c>
      <x:c r="D10" s="21" t="str">
        <x:v>QC</x:v>
      </x:c>
      <x:c r="E10" s="21" t="str">
        <x:v>Có</x:v>
      </x:c>
    </x:row>
    <x:row r="11">
      <x:c r="A11" s="21" t="str">
        <x:v>DT-BREAKDOWN</x:v>
      </x:c>
      <x:c r="B11" s="21" t="str">
        <x:v>Máy hỏng</x:v>
      </x:c>
      <x:c r="C11" s="21" t="str">
        <x:v>Machine</x:v>
      </x:c>
      <x:c r="D11" s="21" t="str">
        <x:v>Bảo trì</x:v>
      </x:c>
      <x:c r="E11" s="21" t="str">
        <x:v>Có</x:v>
      </x:c>
    </x:row>
    <x:row r="12">
      <x:c r="A12" s="21" t="str">
        <x:v>DT-SETUP</x:v>
      </x:c>
      <x:c r="B12" s="21" t="str">
        <x:v>Setup kéo dài</x:v>
      </x:c>
      <x:c r="C12" s="21" t="str">
        <x:v>Method</x:v>
      </x:c>
      <x:c r="D12" s="21" t="str">
        <x:v>Sản xuất</x:v>
      </x:c>
      <x:c r="E12" s="21" t="str">
        <x:v>Có</x:v>
      </x:c>
    </x:row>
    <x:row r="13">
      <x:c r="A13" s="21" t="str">
        <x:v>DT-REWORK</x:v>
      </x:c>
      <x:c r="B13" s="21" t="str">
        <x:v>Sửa sai</x:v>
      </x:c>
      <x:c r="C13" s="21" t="str">
        <x:v>Quality</x:v>
      </x:c>
      <x:c r="D13" s="21" t="str">
        <x:v>Sản xuất/QC</x:v>
      </x:c>
      <x:c r="E13" s="21" t="str">
        <x:v>Có</x:v>
      </x:c>
    </x:row>
    <x:row r="14">
      <x:c r="A14" s="21" t="str">
        <x:v>DT-PLAN</x:v>
      </x:c>
      <x:c r="B14" s="21" t="str">
        <x:v>Thay đổi kế hoạch</x:v>
      </x:c>
      <x:c r="C14" s="21" t="str">
        <x:v>Planning</x:v>
      </x:c>
      <x:c r="D14" s="21" t="str">
        <x:v>QLSX</x:v>
      </x:c>
      <x:c r="E14" s="21" t="str">
        <x:v>Có</x:v>
      </x:c>
    </x:row>
    <x:row r="15">
      <x:c r="A15" s="21" t="str">
        <x:v>DT-MANPOWER</x:v>
      </x:c>
      <x:c r="B15" s="21" t="str">
        <x:v>Thiếu nhân lực</x:v>
      </x:c>
      <x:c r="C15" s="21" t="str">
        <x:v>Man</x:v>
      </x:c>
      <x:c r="D15" s="21" t="str">
        <x:v>QLSX/HCNS</x:v>
      </x:c>
      <x:c r="E15" s="21" t="str">
        <x:v>Có</x:v>
      </x:c>
    </x:row>
    <x:row r="16">
      <x:c r="A16" s="21" t="str">
        <x:v>DT-OTHER</x:v>
      </x:c>
      <x:c r="B16" s="21" t="str">
        <x:v>Khác</x:v>
      </x:c>
      <x:c r="C16" s="21" t="str">
        <x:v>Other</x:v>
      </x:c>
      <x:c r="D16" s="21" t="str">
        <x:v>QLSX</x:v>
      </x:c>
      <x:c r="E16" s="21" t="str">
        <x:v>Có</x:v>
      </x:c>
    </x:row>
    <x:row r="17">
      <x:c r="A17" s="21"/>
      <x:c r="B17" s="21"/>
      <x:c r="C17" s="21"/>
      <x:c r="D17" s="21"/>
      <x:c r="E17" s="21"/>
    </x:row>
    <x:row r="18">
      <x:c r="A18" s="21"/>
      <x:c r="B18" s="21"/>
      <x:c r="C18" s="21"/>
      <x:c r="D18" s="21"/>
      <x:c r="E18" s="21"/>
    </x:row>
    <x:row r="19">
      <x:c r="A19" s="21"/>
      <x:c r="B19" s="21"/>
      <x:c r="C19" s="21"/>
      <x:c r="D19" s="21"/>
      <x:c r="E19" s="21"/>
    </x:row>
    <x:row r="20">
      <x:c r="A20" s="21"/>
      <x:c r="B20" s="21"/>
      <x:c r="C20" s="21"/>
      <x:c r="D20" s="21"/>
      <x:c r="E20" s="21"/>
    </x:row>
    <x:row r="21">
      <x:c r="A21" s="21"/>
      <x:c r="B21" s="21"/>
      <x:c r="C21" s="21"/>
      <x:c r="D21" s="21"/>
      <x:c r="E21" s="21"/>
    </x:row>
    <x:row r="22">
      <x:c r="A22" s="21"/>
      <x:c r="B22" s="21"/>
      <x:c r="C22" s="21"/>
      <x:c r="D22" s="21"/>
      <x:c r="E22" s="21"/>
    </x:row>
    <x:row r="23">
      <x:c r="A23" s="21"/>
      <x:c r="B23" s="21"/>
      <x:c r="C23" s="21"/>
      <x:c r="D23" s="21"/>
      <x:c r="E23" s="21"/>
    </x:row>
    <x:row r="24">
      <x:c r="A24" s="21"/>
      <x:c r="B24" s="21"/>
      <x:c r="C24" s="21"/>
      <x:c r="D24" s="21"/>
      <x:c r="E24" s="21"/>
    </x:row>
    <x:row r="25">
      <x:c r="A25" s="21"/>
      <x:c r="B25" s="21"/>
      <x:c r="C25" s="21"/>
      <x:c r="D25" s="21"/>
      <x:c r="E25" s="21"/>
    </x:row>
    <x:row r="26">
      <x:c r="A26" s="21"/>
      <x:c r="B26" s="21"/>
      <x:c r="C26" s="21"/>
      <x:c r="D26" s="21"/>
      <x:c r="E26" s="21"/>
    </x:row>
    <x:row r="27">
      <x:c r="A27" s="21"/>
      <x:c r="B27" s="21"/>
      <x:c r="C27" s="21"/>
      <x:c r="D27" s="21"/>
      <x:c r="E27" s="21"/>
    </x:row>
    <x:row r="28">
      <x:c r="A28" s="21"/>
      <x:c r="B28" s="21"/>
      <x:c r="C28" s="21"/>
      <x:c r="D28" s="21"/>
      <x:c r="E28" s="21"/>
    </x:row>
    <x:row r="29">
      <x:c r="A29" s="21"/>
      <x:c r="B29" s="21"/>
      <x:c r="C29" s="21"/>
      <x:c r="D29" s="21"/>
      <x:c r="E29" s="21"/>
    </x:row>
    <x:row r="30">
      <x:c r="A30" s="21"/>
      <x:c r="B30" s="21"/>
      <x:c r="C30" s="21"/>
      <x:c r="D30" s="21"/>
      <x:c r="E30" s="21"/>
    </x:row>
    <x:row r="31">
      <x:c r="A31" s="21"/>
      <x:c r="B31" s="21"/>
      <x:c r="C31" s="21"/>
      <x:c r="D31" s="21"/>
      <x:c r="E31" s="21"/>
    </x:row>
    <x:row r="32">
      <x:c r="A32" s="21"/>
      <x:c r="B32" s="21"/>
      <x:c r="C32" s="21"/>
      <x:c r="D32" s="21"/>
      <x:c r="E32" s="21"/>
    </x:row>
    <x:row r="33">
      <x:c r="A33" s="21"/>
      <x:c r="B33" s="21"/>
      <x:c r="C33" s="21"/>
      <x:c r="D33" s="21"/>
      <x:c r="E33" s="21"/>
    </x:row>
    <x:row r="34">
      <x:c r="A34" s="21"/>
      <x:c r="B34" s="21"/>
      <x:c r="C34" s="21"/>
      <x:c r="D34" s="21"/>
      <x:c r="E34" s="21"/>
    </x:row>
    <x:row r="35">
      <x:c r="A35" s="21"/>
      <x:c r="B35" s="21"/>
      <x:c r="C35" s="21"/>
      <x:c r="D35" s="21"/>
      <x:c r="E35" s="21"/>
    </x:row>
    <x:row r="36">
      <x:c r="A36" s="21"/>
      <x:c r="B36" s="21"/>
      <x:c r="C36" s="21"/>
      <x:c r="D36" s="21"/>
      <x:c r="E36" s="21"/>
    </x:row>
    <x:row r="37">
      <x:c r="A37" s="21"/>
      <x:c r="B37" s="21"/>
      <x:c r="C37" s="21"/>
      <x:c r="D37" s="21"/>
      <x:c r="E37" s="21"/>
    </x:row>
    <x:row r="38">
      <x:c r="A38" s="21"/>
      <x:c r="B38" s="21"/>
      <x:c r="C38" s="21"/>
      <x:c r="D38" s="21"/>
      <x:c r="E38" s="21"/>
    </x:row>
    <x:row r="39">
      <x:c r="A39" s="21"/>
      <x:c r="B39" s="21"/>
      <x:c r="C39" s="21"/>
      <x:c r="D39" s="21"/>
      <x:c r="E39" s="21"/>
    </x:row>
    <x:row r="40">
      <x:c r="A40" s="21"/>
      <x:c r="B40" s="21"/>
      <x:c r="C40" s="21"/>
      <x:c r="D40" s="21"/>
      <x:c r="E40" s="21"/>
    </x:row>
    <x:row r="41">
      <x:c r="A41" s="21"/>
      <x:c r="B41" s="21"/>
      <x:c r="C41" s="21"/>
      <x:c r="D41" s="21"/>
      <x:c r="E41" s="21"/>
    </x:row>
    <x:row r="42">
      <x:c r="A42" s="21"/>
      <x:c r="B42" s="21"/>
      <x:c r="C42" s="21"/>
      <x:c r="D42" s="21"/>
      <x:c r="E42" s="21"/>
    </x:row>
    <x:row r="43">
      <x:c r="A43" s="21"/>
      <x:c r="B43" s="21"/>
      <x:c r="C43" s="21"/>
      <x:c r="D43" s="21"/>
      <x:c r="E43" s="21"/>
    </x:row>
    <x:row r="44">
      <x:c r="A44" s="21"/>
      <x:c r="B44" s="21"/>
      <x:c r="C44" s="21"/>
      <x:c r="D44" s="21"/>
      <x:c r="E44" s="21"/>
    </x:row>
    <x:row r="45">
      <x:c r="A45" s="21"/>
      <x:c r="B45" s="21"/>
      <x:c r="C45" s="21"/>
      <x:c r="D45" s="21"/>
      <x:c r="E45" s="21"/>
    </x:row>
    <x:row r="46">
      <x:c r="A46" s="21"/>
      <x:c r="B46" s="21"/>
      <x:c r="C46" s="21"/>
      <x:c r="D46" s="21"/>
      <x:c r="E46" s="21"/>
    </x:row>
    <x:row r="47">
      <x:c r="A47" s="21"/>
      <x:c r="B47" s="21"/>
      <x:c r="C47" s="21"/>
      <x:c r="D47" s="21"/>
      <x:c r="E47" s="21"/>
    </x:row>
    <x:row r="48">
      <x:c r="A48" s="21"/>
      <x:c r="B48" s="21"/>
      <x:c r="C48" s="21"/>
      <x:c r="D48" s="21"/>
      <x:c r="E48" s="21"/>
    </x:row>
    <x:row r="49">
      <x:c r="A49" s="21"/>
      <x:c r="B49" s="21"/>
      <x:c r="C49" s="21"/>
      <x:c r="D49" s="21"/>
      <x:c r="E49" s="21"/>
    </x:row>
    <x:row r="50">
      <x:c r="A50" s="21"/>
      <x:c r="B50" s="21"/>
      <x:c r="C50" s="21"/>
      <x:c r="D50" s="21"/>
      <x:c r="E50" s="21"/>
    </x:row>
    <x:row r="51">
      <x:c r="A51" s="21"/>
      <x:c r="B51" s="21"/>
      <x:c r="C51" s="21"/>
      <x:c r="D51" s="21"/>
      <x:c r="E51" s="21"/>
    </x:row>
    <x:row r="52">
      <x:c r="A52" s="21"/>
      <x:c r="B52" s="21"/>
      <x:c r="C52" s="21"/>
      <x:c r="D52" s="21"/>
      <x:c r="E52" s="21"/>
    </x:row>
    <x:row r="53">
      <x:c r="A53" s="21"/>
      <x:c r="B53" s="21"/>
      <x:c r="C53" s="21"/>
      <x:c r="D53" s="21"/>
      <x:c r="E53" s="21"/>
    </x:row>
    <x:row r="54">
      <x:c r="A54" s="21"/>
      <x:c r="B54" s="21"/>
      <x:c r="C54" s="21"/>
      <x:c r="D54" s="21"/>
      <x:c r="E54" s="21"/>
    </x:row>
    <x:row r="55">
      <x:c r="A55" s="21"/>
      <x:c r="B55" s="21"/>
      <x:c r="C55" s="21"/>
      <x:c r="D55" s="21"/>
      <x:c r="E55" s="21"/>
    </x:row>
    <x:row r="56">
      <x:c r="A56" s="21"/>
      <x:c r="B56" s="21"/>
      <x:c r="C56" s="21"/>
      <x:c r="D56" s="21"/>
      <x:c r="E56" s="21"/>
    </x:row>
    <x:row r="57">
      <x:c r="A57" s="21"/>
      <x:c r="B57" s="21"/>
      <x:c r="C57" s="21"/>
      <x:c r="D57" s="21"/>
      <x:c r="E57" s="21"/>
    </x:row>
    <x:row r="58">
      <x:c r="A58" s="21"/>
      <x:c r="B58" s="21"/>
      <x:c r="C58" s="21"/>
      <x:c r="D58" s="21"/>
      <x:c r="E58" s="21"/>
    </x:row>
    <x:row r="59">
      <x:c r="A59" s="21"/>
      <x:c r="B59" s="21"/>
      <x:c r="C59" s="21"/>
      <x:c r="D59" s="21"/>
      <x:c r="E59" s="21"/>
    </x:row>
    <x:row r="60">
      <x:c r="A60" s="21"/>
      <x:c r="B60" s="21"/>
      <x:c r="C60" s="21"/>
      <x:c r="D60" s="21"/>
      <x:c r="E60" s="21"/>
    </x:row>
    <x:row r="61">
      <x:c r="A61" s="21"/>
      <x:c r="B61" s="21"/>
      <x:c r="C61" s="21"/>
      <x:c r="D61" s="21"/>
      <x:c r="E61" s="21"/>
    </x:row>
    <x:row r="62">
      <x:c r="A62" s="21"/>
      <x:c r="B62" s="21"/>
      <x:c r="C62" s="21"/>
      <x:c r="D62" s="21"/>
      <x:c r="E62" s="21"/>
    </x:row>
    <x:row r="63">
      <x:c r="A63" s="21"/>
      <x:c r="B63" s="21"/>
      <x:c r="C63" s="21"/>
      <x:c r="D63" s="21"/>
      <x:c r="E63" s="21"/>
    </x:row>
    <x:row r="64">
      <x:c r="A64" s="21"/>
      <x:c r="B64" s="21"/>
      <x:c r="C64" s="21"/>
      <x:c r="D64" s="21"/>
      <x:c r="E64" s="21"/>
    </x:row>
    <x:row r="65">
      <x:c r="A65" s="21"/>
      <x:c r="B65" s="21"/>
      <x:c r="C65" s="21"/>
      <x:c r="D65" s="21"/>
      <x:c r="E65" s="21"/>
    </x:row>
    <x:row r="66">
      <x:c r="A66" s="21"/>
      <x:c r="B66" s="21"/>
      <x:c r="C66" s="21"/>
      <x:c r="D66" s="21"/>
      <x:c r="E66" s="21"/>
    </x:row>
    <x:row r="67">
      <x:c r="A67" s="21"/>
      <x:c r="B67" s="21"/>
      <x:c r="C67" s="21"/>
      <x:c r="D67" s="21"/>
      <x:c r="E67" s="21"/>
    </x:row>
    <x:row r="68">
      <x:c r="A68" s="21"/>
      <x:c r="B68" s="21"/>
      <x:c r="C68" s="21"/>
      <x:c r="D68" s="21"/>
      <x:c r="E68" s="21"/>
    </x:row>
    <x:row r="69">
      <x:c r="A69" s="21"/>
      <x:c r="B69" s="21"/>
      <x:c r="C69" s="21"/>
      <x:c r="D69" s="21"/>
      <x:c r="E69" s="21"/>
    </x:row>
    <x:row r="70">
      <x:c r="A70" s="21"/>
      <x:c r="B70" s="21"/>
      <x:c r="C70" s="21"/>
      <x:c r="D70" s="21"/>
      <x:c r="E70" s="21"/>
    </x:row>
    <x:row r="71">
      <x:c r="A71" s="21"/>
      <x:c r="B71" s="21"/>
      <x:c r="C71" s="21"/>
      <x:c r="D71" s="21"/>
      <x:c r="E71" s="21"/>
    </x:row>
    <x:row r="72">
      <x:c r="A72" s="21"/>
      <x:c r="B72" s="21"/>
      <x:c r="C72" s="21"/>
      <x:c r="D72" s="21"/>
      <x:c r="E72" s="21"/>
    </x:row>
    <x:row r="73">
      <x:c r="A73" s="21"/>
      <x:c r="B73" s="21"/>
      <x:c r="C73" s="21"/>
      <x:c r="D73" s="21"/>
      <x:c r="E73" s="21"/>
    </x:row>
    <x:row r="74">
      <x:c r="A74" s="21"/>
      <x:c r="B74" s="21"/>
      <x:c r="C74" s="21"/>
      <x:c r="D74" s="21"/>
      <x:c r="E74" s="21"/>
    </x:row>
    <x:row r="75">
      <x:c r="A75" s="21"/>
      <x:c r="B75" s="21"/>
      <x:c r="C75" s="21"/>
      <x:c r="D75" s="21"/>
      <x:c r="E75" s="21"/>
    </x:row>
    <x:row r="76">
      <x:c r="A76" s="21"/>
      <x:c r="B76" s="21"/>
      <x:c r="C76" s="21"/>
      <x:c r="D76" s="21"/>
      <x:c r="E76" s="21"/>
    </x:row>
    <x:row r="77">
      <x:c r="A77" s="21"/>
      <x:c r="B77" s="21"/>
      <x:c r="C77" s="21"/>
      <x:c r="D77" s="21"/>
      <x:c r="E77" s="21"/>
    </x:row>
    <x:row r="78">
      <x:c r="A78" s="21"/>
      <x:c r="B78" s="21"/>
      <x:c r="C78" s="21"/>
      <x:c r="D78" s="21"/>
      <x:c r="E78" s="21"/>
    </x:row>
    <x:row r="79">
      <x:c r="A79" s="21"/>
      <x:c r="B79" s="21"/>
      <x:c r="C79" s="21"/>
      <x:c r="D79" s="21"/>
      <x:c r="E79" s="21"/>
    </x:row>
    <x:row r="80">
      <x:c r="A80" s="21"/>
      <x:c r="B80" s="21"/>
      <x:c r="C80" s="21"/>
      <x:c r="D80" s="21"/>
      <x:c r="E80" s="21"/>
    </x:row>
    <x:row r="81">
      <x:c r="A81" s="21"/>
      <x:c r="B81" s="21"/>
      <x:c r="C81" s="21"/>
      <x:c r="D81" s="21"/>
      <x:c r="E81" s="21"/>
    </x:row>
    <x:row r="82">
      <x:c r="A82" s="21"/>
      <x:c r="B82" s="21"/>
      <x:c r="C82" s="21"/>
      <x:c r="D82" s="21"/>
      <x:c r="E82" s="21"/>
    </x:row>
    <x:row r="83">
      <x:c r="A83" s="21"/>
      <x:c r="B83" s="21"/>
      <x:c r="C83" s="21"/>
      <x:c r="D83" s="21"/>
      <x:c r="E83" s="21"/>
    </x:row>
    <x:row r="84">
      <x:c r="A84" s="21"/>
      <x:c r="B84" s="21"/>
      <x:c r="C84" s="21"/>
      <x:c r="D84" s="21"/>
      <x:c r="E84" s="21"/>
    </x:row>
    <x:row r="85">
      <x:c r="A85" s="21"/>
      <x:c r="B85" s="21"/>
      <x:c r="C85" s="21"/>
      <x:c r="D85" s="21"/>
      <x:c r="E85" s="21"/>
    </x:row>
    <x:row r="86">
      <x:c r="A86" s="21"/>
      <x:c r="B86" s="21"/>
      <x:c r="C86" s="21"/>
      <x:c r="D86" s="21"/>
      <x:c r="E86" s="21"/>
    </x:row>
    <x:row r="87">
      <x:c r="A87" s="21"/>
      <x:c r="B87" s="21"/>
      <x:c r="C87" s="21"/>
      <x:c r="D87" s="21"/>
      <x:c r="E87" s="21"/>
    </x:row>
    <x:row r="88">
      <x:c r="A88" s="21"/>
      <x:c r="B88" s="21"/>
      <x:c r="C88" s="21"/>
      <x:c r="D88" s="21"/>
      <x:c r="E88" s="21"/>
    </x:row>
    <x:row r="89">
      <x:c r="A89" s="21"/>
      <x:c r="B89" s="21"/>
      <x:c r="C89" s="21"/>
      <x:c r="D89" s="21"/>
      <x:c r="E89" s="21"/>
    </x:row>
    <x:row r="90">
      <x:c r="A90" s="21"/>
      <x:c r="B90" s="21"/>
      <x:c r="C90" s="21"/>
      <x:c r="D90" s="21"/>
      <x:c r="E90" s="21"/>
    </x:row>
    <x:row r="91">
      <x:c r="A91" s="21"/>
      <x:c r="B91" s="21"/>
      <x:c r="C91" s="21"/>
      <x:c r="D91" s="21"/>
      <x:c r="E91" s="21"/>
    </x:row>
    <x:row r="92">
      <x:c r="A92" s="21"/>
      <x:c r="B92" s="21"/>
      <x:c r="C92" s="21"/>
      <x:c r="D92" s="21"/>
      <x:c r="E92" s="21"/>
    </x:row>
    <x:row r="93">
      <x:c r="A93" s="21"/>
      <x:c r="B93" s="21"/>
      <x:c r="C93" s="21"/>
      <x:c r="D93" s="21"/>
      <x:c r="E93" s="21"/>
    </x:row>
    <x:row r="94">
      <x:c r="A94" s="21"/>
      <x:c r="B94" s="21"/>
      <x:c r="C94" s="21"/>
      <x:c r="D94" s="21"/>
      <x:c r="E94" s="21"/>
    </x:row>
    <x:row r="95">
      <x:c r="A95" s="21"/>
      <x:c r="B95" s="21"/>
      <x:c r="C95" s="21"/>
      <x:c r="D95" s="21"/>
      <x:c r="E95" s="21"/>
    </x:row>
    <x:row r="96">
      <x:c r="A96" s="21"/>
      <x:c r="B96" s="21"/>
      <x:c r="C96" s="21"/>
      <x:c r="D96" s="21"/>
      <x:c r="E96" s="21"/>
    </x:row>
    <x:row r="97">
      <x:c r="A97" s="21"/>
      <x:c r="B97" s="21"/>
      <x:c r="C97" s="21"/>
      <x:c r="D97" s="21"/>
      <x:c r="E97" s="21"/>
    </x:row>
    <x:row r="98">
      <x:c r="A98" s="21"/>
      <x:c r="B98" s="21"/>
      <x:c r="C98" s="21"/>
      <x:c r="D98" s="21"/>
      <x:c r="E98" s="21"/>
    </x:row>
    <x:row r="99">
      <x:c r="A99" s="21"/>
      <x:c r="B99" s="21"/>
      <x:c r="C99" s="21"/>
      <x:c r="D99" s="21"/>
      <x:c r="E99" s="21"/>
    </x:row>
    <x:row r="100">
      <x:c r="A100" s="21"/>
      <x:c r="B100" s="21"/>
      <x:c r="C100" s="21"/>
      <x:c r="D100" s="21"/>
      <x:c r="E100" s="21"/>
    </x:row>
    <x:row r="101">
      <x:c r="A101" s="21"/>
      <x:c r="B101" s="21"/>
      <x:c r="C101" s="21"/>
      <x:c r="D101" s="21"/>
      <x:c r="E101" s="21"/>
    </x:row>
    <x:row r="102">
      <x:c r="A102" s="21"/>
      <x:c r="B102" s="21"/>
      <x:c r="C102" s="21"/>
      <x:c r="D102" s="21"/>
      <x:c r="E102" s="21"/>
    </x:row>
    <x:row r="103">
      <x:c r="A103" s="21"/>
      <x:c r="B103" s="21"/>
      <x:c r="C103" s="21"/>
      <x:c r="D103" s="21"/>
      <x:c r="E103" s="21"/>
    </x:row>
    <x:row r="104">
      <x:c r="A104" s="21"/>
      <x:c r="B104" s="21"/>
      <x:c r="C104" s="21"/>
      <x:c r="D104" s="21"/>
      <x:c r="E104" s="21"/>
    </x:row>
    <x:row r="105">
      <x:c r="A105" s="22"/>
      <x:c r="B105" s="22"/>
      <x:c r="C105" s="22"/>
      <x:c r="D105" s="22"/>
      <x:c r="E105" s="22"/>
    </x:row>
  </x:sheetData>
  <x:mergeCells>
    <x:mergeCell ref="A2:E2"/>
    <x:mergeCell ref="A3:E3"/>
  </x:mergeCells>
  <x:dataValidations count="1">
    <x:dataValidation type="list" sqref="E6:E105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fff438c67f4af7"/>
  </x:tableParts>
</x:worksheet>
</file>

<file path=xl/worksheets/sheet14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670000076293945" hidden="0" customWidth="1"/>
    <x:col min="2" max="2" width="11.670000076293945" hidden="0" customWidth="1"/>
    <x:col min="3" max="3" width="10" hidden="0" customWidth="1"/>
    <x:col min="4" max="4" width="10" hidden="0" customWidth="1"/>
    <x:col min="5" max="5" width="12.779999732971191" hidden="0" customWidth="1"/>
    <x:col min="6" max="6" width="12.779999732971191" hidden="0" customWidth="1"/>
  </x:cols>
  <x:sheetData>
    <x:row r="2">
      <x:c r="A2" s="2" t="str">
        <x:v>DANH MỤC CA LÀM VIỆC</x:v>
      </x:c>
    </x:row>
    <x:row r="3">
      <x:c r="A3" s="20" t="str">
        <x:v>Phút khả dụng là cơ sở tính tải và utilization; điều chỉnh theo lịch làm việc thực tế của doanh nghiệp.</x:v>
      </x:c>
      <x:c r="B3" s="3"/>
      <x:c r="C3" s="3"/>
      <x:c r="D3" s="3"/>
      <x:c r="E3" s="3"/>
      <x:c r="F3" s="3"/>
    </x:row>
    <x:row r="5">
      <x:c r="A5" s="12" t="str">
        <x:v>ShiftCode</x:v>
      </x:c>
      <x:c r="B5" s="12" t="str">
        <x:v>Tên ca</x:v>
      </x:c>
      <x:c r="C5" s="12" t="str">
        <x:v>Bắt đầu</x:v>
      </x:c>
      <x:c r="D5" s="12" t="str">
        <x:v>Kết thúc</x:v>
      </x:c>
      <x:c r="E5" s="12" t="str">
        <x:v>Nghỉ (phút)</x:v>
      </x:c>
      <x:c r="F5" s="12" t="str">
        <x:v>Phút khả dụng</x:v>
      </x:c>
    </x:row>
    <x:row r="6">
      <x:c r="A6" s="21" t="str">
        <x:v>CA1</x:v>
      </x:c>
      <x:c r="B6" s="21" t="str">
        <x:v>Ca 1</x:v>
      </x:c>
      <x:c r="C6" s="31" t="n">
        <x:v>0.3333333333</x:v>
      </x:c>
      <x:c r="D6" s="31" t="n">
        <x:v>0.7083333333</x:v>
      </x:c>
      <x:c r="E6" s="23" t="n">
        <x:v>60</x:v>
      </x:c>
      <x:c r="F6" s="33" t="n">
        <x:f>IF(A6="","",(D6-C6)*1440-E6)</x:f>
        <x:v>480.0000000000001</x:v>
      </x:c>
    </x:row>
    <x:row r="7">
      <x:c r="A7" s="21" t="str">
        <x:v>CA2</x:v>
      </x:c>
      <x:c r="B7" s="21" t="str">
        <x:v>Ca 2</x:v>
      </x:c>
      <x:c r="C7" s="31" t="n">
        <x:v>0.7083333333</x:v>
      </x:c>
      <x:c r="D7" s="31" t="n">
        <x:v>0.9166666667</x:v>
      </x:c>
      <x:c r="E7" s="23" t="n">
        <x:v>30</x:v>
      </x:c>
      <x:c r="F7" s="33" t="n">
        <x:f>IF(A7="","",(D7-C7)*1440-E7)</x:f>
        <x:v>270.0000000959999</x:v>
      </x:c>
    </x:row>
    <x:row r="8">
      <x:c r="A8" s="21" t="str">
        <x:v>CA3</x:v>
      </x:c>
      <x:c r="B8" s="21" t="str">
        <x:v>Ca 3</x:v>
      </x:c>
      <x:c r="C8" s="31" t="n">
        <x:v>0.9166666667</x:v>
      </x:c>
      <x:c r="D8" s="31" t="n">
        <x:v>1.3333333333</x:v>
      </x:c>
      <x:c r="E8" s="23" t="n">
        <x:v>60</x:v>
      </x:c>
      <x:c r="F8" s="33" t="n">
        <x:f>IF(A8="","",(D8-C8)*1440-E8)</x:f>
        <x:v>539.999999904</x:v>
      </x:c>
    </x:row>
    <x:row r="9">
      <x:c r="A9" s="21" t="str">
        <x:v>HC</x:v>
      </x:c>
      <x:c r="B9" s="21" t="str">
        <x:v>Hành chính</x:v>
      </x:c>
      <x:c r="C9" s="31" t="n">
        <x:v>0.3333333333</x:v>
      </x:c>
      <x:c r="D9" s="31" t="n">
        <x:v>0.7083333333</x:v>
      </x:c>
      <x:c r="E9" s="23" t="n">
        <x:v>60</x:v>
      </x:c>
      <x:c r="F9" s="33" t="n">
        <x:f>IF(A9="","",(D9-C9)*1440-E9)</x:f>
        <x:v>480.0000000000001</x:v>
      </x:c>
    </x:row>
    <x:row r="10">
      <x:c r="A10" s="21"/>
      <x:c r="B10" s="21"/>
      <x:c r="C10" s="31"/>
      <x:c r="D10" s="31"/>
      <x:c r="E10" s="23"/>
      <x:c r="F10" s="33" t="str">
        <x:f>IF(A10="","",(D10-C10)*1440-E10)</x:f>
      </x:c>
    </x:row>
    <x:row r="11">
      <x:c r="A11" s="21"/>
      <x:c r="B11" s="21"/>
      <x:c r="C11" s="31"/>
      <x:c r="D11" s="31"/>
      <x:c r="E11" s="23"/>
      <x:c r="F11" s="33" t="str">
        <x:f>IF(A11="","",(D11-C11)*1440-E11)</x:f>
      </x:c>
    </x:row>
    <x:row r="12">
      <x:c r="A12" s="21"/>
      <x:c r="B12" s="21"/>
      <x:c r="C12" s="31"/>
      <x:c r="D12" s="31"/>
      <x:c r="E12" s="23"/>
      <x:c r="F12" s="33" t="str">
        <x:f>IF(A12="","",(D12-C12)*1440-E12)</x:f>
      </x:c>
    </x:row>
    <x:row r="13">
      <x:c r="A13" s="21"/>
      <x:c r="B13" s="21"/>
      <x:c r="C13" s="31"/>
      <x:c r="D13" s="31"/>
      <x:c r="E13" s="23"/>
      <x:c r="F13" s="33" t="str">
        <x:f>IF(A13="","",(D13-C13)*1440-E13)</x:f>
      </x:c>
    </x:row>
    <x:row r="14">
      <x:c r="A14" s="21"/>
      <x:c r="B14" s="21"/>
      <x:c r="C14" s="31"/>
      <x:c r="D14" s="31"/>
      <x:c r="E14" s="23"/>
      <x:c r="F14" s="33" t="str">
        <x:f>IF(A14="","",(D14-C14)*1440-E14)</x:f>
      </x:c>
    </x:row>
    <x:row r="15">
      <x:c r="A15" s="21"/>
      <x:c r="B15" s="21"/>
      <x:c r="C15" s="31"/>
      <x:c r="D15" s="31"/>
      <x:c r="E15" s="23"/>
      <x:c r="F15" s="33" t="str">
        <x:f>IF(A15="","",(D15-C15)*1440-E15)</x:f>
      </x:c>
    </x:row>
    <x:row r="16">
      <x:c r="A16" s="21"/>
      <x:c r="B16" s="21"/>
      <x:c r="C16" s="31"/>
      <x:c r="D16" s="31"/>
      <x:c r="E16" s="23"/>
      <x:c r="F16" s="33" t="str">
        <x:f>IF(A16="","",(D16-C16)*1440-E16)</x:f>
      </x:c>
    </x:row>
    <x:row r="17">
      <x:c r="A17" s="21"/>
      <x:c r="B17" s="21"/>
      <x:c r="C17" s="31"/>
      <x:c r="D17" s="31"/>
      <x:c r="E17" s="23"/>
      <x:c r="F17" s="33" t="str">
        <x:f>IF(A17="","",(D17-C17)*1440-E17)</x:f>
      </x:c>
    </x:row>
    <x:row r="18">
      <x:c r="A18" s="21"/>
      <x:c r="B18" s="21"/>
      <x:c r="C18" s="31"/>
      <x:c r="D18" s="31"/>
      <x:c r="E18" s="23"/>
      <x:c r="F18" s="33" t="str">
        <x:f>IF(A18="","",(D18-C18)*1440-E18)</x:f>
      </x:c>
    </x:row>
    <x:row r="19">
      <x:c r="A19" s="21"/>
      <x:c r="B19" s="21"/>
      <x:c r="C19" s="31"/>
      <x:c r="D19" s="31"/>
      <x:c r="E19" s="23"/>
      <x:c r="F19" s="33" t="str">
        <x:f>IF(A19="","",(D19-C19)*1440-E19)</x:f>
      </x:c>
    </x:row>
    <x:row r="20">
      <x:c r="A20" s="21"/>
      <x:c r="B20" s="21"/>
      <x:c r="C20" s="31"/>
      <x:c r="D20" s="31"/>
      <x:c r="E20" s="23"/>
      <x:c r="F20" s="33" t="str">
        <x:f>IF(A20="","",(D20-C20)*1440-E20)</x:f>
      </x:c>
    </x:row>
    <x:row r="21">
      <x:c r="A21" s="21"/>
      <x:c r="B21" s="21"/>
      <x:c r="C21" s="31"/>
      <x:c r="D21" s="31"/>
      <x:c r="E21" s="23"/>
      <x:c r="F21" s="33" t="str">
        <x:f>IF(A21="","",(D21-C21)*1440-E21)</x:f>
      </x:c>
    </x:row>
    <x:row r="22">
      <x:c r="A22" s="21"/>
      <x:c r="B22" s="21"/>
      <x:c r="C22" s="31"/>
      <x:c r="D22" s="31"/>
      <x:c r="E22" s="23"/>
      <x:c r="F22" s="33" t="str">
        <x:f>IF(A22="","",(D22-C22)*1440-E22)</x:f>
      </x:c>
    </x:row>
    <x:row r="23">
      <x:c r="A23" s="21"/>
      <x:c r="B23" s="21"/>
      <x:c r="C23" s="31"/>
      <x:c r="D23" s="31"/>
      <x:c r="E23" s="23"/>
      <x:c r="F23" s="33" t="str">
        <x:f>IF(A23="","",(D23-C23)*1440-E23)</x:f>
      </x:c>
    </x:row>
    <x:row r="24">
      <x:c r="A24" s="21"/>
      <x:c r="B24" s="21"/>
      <x:c r="C24" s="31"/>
      <x:c r="D24" s="31"/>
      <x:c r="E24" s="23"/>
      <x:c r="F24" s="33" t="str">
        <x:f>IF(A24="","",(D24-C24)*1440-E24)</x:f>
      </x:c>
    </x:row>
    <x:row r="25">
      <x:c r="A25" s="21"/>
      <x:c r="B25" s="21"/>
      <x:c r="C25" s="31"/>
      <x:c r="D25" s="31"/>
      <x:c r="E25" s="23"/>
      <x:c r="F25" s="33" t="str">
        <x:f>IF(A25="","",(D25-C25)*1440-E25)</x:f>
      </x:c>
    </x:row>
    <x:row r="26">
      <x:c r="A26" s="21"/>
      <x:c r="B26" s="21"/>
      <x:c r="C26" s="31"/>
      <x:c r="D26" s="31"/>
      <x:c r="E26" s="23"/>
      <x:c r="F26" s="33" t="str">
        <x:f>IF(A26="","",(D26-C26)*1440-E26)</x:f>
      </x:c>
    </x:row>
    <x:row r="27">
      <x:c r="A27" s="21"/>
      <x:c r="B27" s="21"/>
      <x:c r="C27" s="31"/>
      <x:c r="D27" s="31"/>
      <x:c r="E27" s="23"/>
      <x:c r="F27" s="33" t="str">
        <x:f>IF(A27="","",(D27-C27)*1440-E27)</x:f>
      </x:c>
    </x:row>
    <x:row r="28">
      <x:c r="A28" s="21"/>
      <x:c r="B28" s="21"/>
      <x:c r="C28" s="31"/>
      <x:c r="D28" s="31"/>
      <x:c r="E28" s="23"/>
      <x:c r="F28" s="33" t="str">
        <x:f>IF(A28="","",(D28-C28)*1440-E28)</x:f>
      </x:c>
    </x:row>
    <x:row r="29">
      <x:c r="A29" s="21"/>
      <x:c r="B29" s="21"/>
      <x:c r="C29" s="31"/>
      <x:c r="D29" s="31"/>
      <x:c r="E29" s="23"/>
      <x:c r="F29" s="33" t="str">
        <x:f>IF(A29="","",(D29-C29)*1440-E29)</x:f>
      </x:c>
    </x:row>
    <x:row r="30">
      <x:c r="A30" s="21"/>
      <x:c r="B30" s="21"/>
      <x:c r="C30" s="31"/>
      <x:c r="D30" s="31"/>
      <x:c r="E30" s="23"/>
      <x:c r="F30" s="33" t="str">
        <x:f>IF(A30="","",(D30-C30)*1440-E30)</x:f>
      </x:c>
    </x:row>
    <x:row r="31">
      <x:c r="A31" s="21"/>
      <x:c r="B31" s="21"/>
      <x:c r="C31" s="31"/>
      <x:c r="D31" s="31"/>
      <x:c r="E31" s="23"/>
      <x:c r="F31" s="33" t="str">
        <x:f>IF(A31="","",(D31-C31)*1440-E31)</x:f>
      </x:c>
    </x:row>
    <x:row r="32">
      <x:c r="A32" s="21"/>
      <x:c r="B32" s="21"/>
      <x:c r="C32" s="31"/>
      <x:c r="D32" s="31"/>
      <x:c r="E32" s="23"/>
      <x:c r="F32" s="33" t="str">
        <x:f>IF(A32="","",(D32-C32)*1440-E32)</x:f>
      </x:c>
    </x:row>
    <x:row r="33">
      <x:c r="A33" s="21"/>
      <x:c r="B33" s="21"/>
      <x:c r="C33" s="31"/>
      <x:c r="D33" s="31"/>
      <x:c r="E33" s="23"/>
      <x:c r="F33" s="33" t="str">
        <x:f>IF(A33="","",(D33-C33)*1440-E33)</x:f>
      </x:c>
    </x:row>
    <x:row r="34">
      <x:c r="A34" s="21"/>
      <x:c r="B34" s="21"/>
      <x:c r="C34" s="31"/>
      <x:c r="D34" s="31"/>
      <x:c r="E34" s="23"/>
      <x:c r="F34" s="33" t="str">
        <x:f>IF(A34="","",(D34-C34)*1440-E34)</x:f>
      </x:c>
    </x:row>
    <x:row r="35">
      <x:c r="A35" s="21"/>
      <x:c r="B35" s="21"/>
      <x:c r="C35" s="31"/>
      <x:c r="D35" s="31"/>
      <x:c r="E35" s="23"/>
      <x:c r="F35" s="33" t="str">
        <x:f>IF(A35="","",(D35-C35)*1440-E35)</x:f>
      </x:c>
    </x:row>
    <x:row r="36">
      <x:c r="A36" s="21"/>
      <x:c r="B36" s="21"/>
      <x:c r="C36" s="31"/>
      <x:c r="D36" s="31"/>
      <x:c r="E36" s="23"/>
      <x:c r="F36" s="33" t="str">
        <x:f>IF(A36="","",(D36-C36)*1440-E36)</x:f>
      </x:c>
    </x:row>
    <x:row r="37">
      <x:c r="A37" s="21"/>
      <x:c r="B37" s="21"/>
      <x:c r="C37" s="31"/>
      <x:c r="D37" s="31"/>
      <x:c r="E37" s="23"/>
      <x:c r="F37" s="33" t="str">
        <x:f>IF(A37="","",(D37-C37)*1440-E37)</x:f>
      </x:c>
    </x:row>
    <x:row r="38">
      <x:c r="A38" s="21"/>
      <x:c r="B38" s="21"/>
      <x:c r="C38" s="31"/>
      <x:c r="D38" s="31"/>
      <x:c r="E38" s="23"/>
      <x:c r="F38" s="33" t="str">
        <x:f>IF(A38="","",(D38-C38)*1440-E38)</x:f>
      </x:c>
    </x:row>
    <x:row r="39">
      <x:c r="A39" s="21"/>
      <x:c r="B39" s="21"/>
      <x:c r="C39" s="31"/>
      <x:c r="D39" s="31"/>
      <x:c r="E39" s="23"/>
      <x:c r="F39" s="33" t="str">
        <x:f>IF(A39="","",(D39-C39)*1440-E39)</x:f>
      </x:c>
    </x:row>
    <x:row r="40">
      <x:c r="A40" s="21"/>
      <x:c r="B40" s="21"/>
      <x:c r="C40" s="31"/>
      <x:c r="D40" s="31"/>
      <x:c r="E40" s="23"/>
      <x:c r="F40" s="33" t="str">
        <x:f>IF(A40="","",(D40-C40)*1440-E40)</x:f>
      </x:c>
    </x:row>
    <x:row r="41">
      <x:c r="A41" s="21"/>
      <x:c r="B41" s="21"/>
      <x:c r="C41" s="31"/>
      <x:c r="D41" s="31"/>
      <x:c r="E41" s="23"/>
      <x:c r="F41" s="33" t="str">
        <x:f>IF(A41="","",(D41-C41)*1440-E41)</x:f>
      </x:c>
    </x:row>
    <x:row r="42">
      <x:c r="A42" s="21"/>
      <x:c r="B42" s="21"/>
      <x:c r="C42" s="31"/>
      <x:c r="D42" s="31"/>
      <x:c r="E42" s="23"/>
      <x:c r="F42" s="33" t="str">
        <x:f>IF(A42="","",(D42-C42)*1440-E42)</x:f>
      </x:c>
    </x:row>
    <x:row r="43">
      <x:c r="A43" s="21"/>
      <x:c r="B43" s="21"/>
      <x:c r="C43" s="31"/>
      <x:c r="D43" s="31"/>
      <x:c r="E43" s="23"/>
      <x:c r="F43" s="33" t="str">
        <x:f>IF(A43="","",(D43-C43)*1440-E43)</x:f>
      </x:c>
    </x:row>
    <x:row r="44">
      <x:c r="A44" s="21"/>
      <x:c r="B44" s="21"/>
      <x:c r="C44" s="31"/>
      <x:c r="D44" s="31"/>
      <x:c r="E44" s="23"/>
      <x:c r="F44" s="33" t="str">
        <x:f>IF(A44="","",(D44-C44)*1440-E44)</x:f>
      </x:c>
    </x:row>
    <x:row r="45">
      <x:c r="A45" s="21"/>
      <x:c r="B45" s="21"/>
      <x:c r="C45" s="31"/>
      <x:c r="D45" s="31"/>
      <x:c r="E45" s="23"/>
      <x:c r="F45" s="33" t="str">
        <x:f>IF(A45="","",(D45-C45)*1440-E45)</x:f>
      </x:c>
    </x:row>
    <x:row r="46">
      <x:c r="A46" s="21"/>
      <x:c r="B46" s="21"/>
      <x:c r="C46" s="31"/>
      <x:c r="D46" s="31"/>
      <x:c r="E46" s="23"/>
      <x:c r="F46" s="33" t="str">
        <x:f>IF(A46="","",(D46-C46)*1440-E46)</x:f>
      </x:c>
    </x:row>
    <x:row r="47">
      <x:c r="A47" s="21"/>
      <x:c r="B47" s="21"/>
      <x:c r="C47" s="31"/>
      <x:c r="D47" s="31"/>
      <x:c r="E47" s="23"/>
      <x:c r="F47" s="33" t="str">
        <x:f>IF(A47="","",(D47-C47)*1440-E47)</x:f>
      </x:c>
    </x:row>
    <x:row r="48">
      <x:c r="A48" s="21"/>
      <x:c r="B48" s="21"/>
      <x:c r="C48" s="31"/>
      <x:c r="D48" s="31"/>
      <x:c r="E48" s="23"/>
      <x:c r="F48" s="33" t="str">
        <x:f>IF(A48="","",(D48-C48)*1440-E48)</x:f>
      </x:c>
    </x:row>
    <x:row r="49">
      <x:c r="A49" s="21"/>
      <x:c r="B49" s="21"/>
      <x:c r="C49" s="31"/>
      <x:c r="D49" s="31"/>
      <x:c r="E49" s="23"/>
      <x:c r="F49" s="33" t="str">
        <x:f>IF(A49="","",(D49-C49)*1440-E49)</x:f>
      </x:c>
    </x:row>
    <x:row r="50">
      <x:c r="A50" s="21"/>
      <x:c r="B50" s="21"/>
      <x:c r="C50" s="31"/>
      <x:c r="D50" s="31"/>
      <x:c r="E50" s="23"/>
      <x:c r="F50" s="33" t="str">
        <x:f>IF(A50="","",(D50-C50)*1440-E50)</x:f>
      </x:c>
    </x:row>
    <x:row r="51">
      <x:c r="A51" s="21"/>
      <x:c r="B51" s="21"/>
      <x:c r="C51" s="31"/>
      <x:c r="D51" s="31"/>
      <x:c r="E51" s="23"/>
      <x:c r="F51" s="33" t="str">
        <x:f>IF(A51="","",(D51-C51)*1440-E51)</x:f>
      </x:c>
    </x:row>
    <x:row r="52">
      <x:c r="A52" s="21"/>
      <x:c r="B52" s="21"/>
      <x:c r="C52" s="31"/>
      <x:c r="D52" s="31"/>
      <x:c r="E52" s="23"/>
      <x:c r="F52" s="33" t="str">
        <x:f>IF(A52="","",(D52-C52)*1440-E52)</x:f>
      </x:c>
    </x:row>
    <x:row r="53">
      <x:c r="A53" s="21"/>
      <x:c r="B53" s="21"/>
      <x:c r="C53" s="31"/>
      <x:c r="D53" s="31"/>
      <x:c r="E53" s="23"/>
      <x:c r="F53" s="33" t="str">
        <x:f>IF(A53="","",(D53-C53)*1440-E53)</x:f>
      </x:c>
    </x:row>
    <x:row r="54">
      <x:c r="A54" s="21"/>
      <x:c r="B54" s="21"/>
      <x:c r="C54" s="31"/>
      <x:c r="D54" s="31"/>
      <x:c r="E54" s="23"/>
      <x:c r="F54" s="33" t="str">
        <x:f>IF(A54="","",(D54-C54)*1440-E54)</x:f>
      </x:c>
    </x:row>
    <x:row r="55">
      <x:c r="A55" s="21"/>
      <x:c r="B55" s="21"/>
      <x:c r="C55" s="31"/>
      <x:c r="D55" s="31"/>
      <x:c r="E55" s="23"/>
      <x:c r="F55" s="33" t="str">
        <x:f>IF(A55="","",(D55-C55)*1440-E55)</x:f>
      </x:c>
    </x:row>
    <x:row r="56">
      <x:c r="A56" s="21"/>
      <x:c r="B56" s="21"/>
      <x:c r="C56" s="31"/>
      <x:c r="D56" s="31"/>
      <x:c r="E56" s="23"/>
      <x:c r="F56" s="33" t="str">
        <x:f>IF(A56="","",(D56-C56)*1440-E56)</x:f>
      </x:c>
    </x:row>
    <x:row r="57">
      <x:c r="A57" s="21"/>
      <x:c r="B57" s="21"/>
      <x:c r="C57" s="31"/>
      <x:c r="D57" s="31"/>
      <x:c r="E57" s="23"/>
      <x:c r="F57" s="33" t="str">
        <x:f>IF(A57="","",(D57-C57)*1440-E57)</x:f>
      </x:c>
    </x:row>
    <x:row r="58">
      <x:c r="A58" s="21"/>
      <x:c r="B58" s="21"/>
      <x:c r="C58" s="31"/>
      <x:c r="D58" s="31"/>
      <x:c r="E58" s="23"/>
      <x:c r="F58" s="33" t="str">
        <x:f>IF(A58="","",(D58-C58)*1440-E58)</x:f>
      </x:c>
    </x:row>
    <x:row r="59">
      <x:c r="A59" s="21"/>
      <x:c r="B59" s="21"/>
      <x:c r="C59" s="31"/>
      <x:c r="D59" s="31"/>
      <x:c r="E59" s="23"/>
      <x:c r="F59" s="33" t="str">
        <x:f>IF(A59="","",(D59-C59)*1440-E59)</x:f>
      </x:c>
    </x:row>
    <x:row r="60">
      <x:c r="A60" s="21"/>
      <x:c r="B60" s="21"/>
      <x:c r="C60" s="31"/>
      <x:c r="D60" s="31"/>
      <x:c r="E60" s="23"/>
      <x:c r="F60" s="33" t="str">
        <x:f>IF(A60="","",(D60-C60)*1440-E60)</x:f>
      </x:c>
    </x:row>
    <x:row r="61">
      <x:c r="A61" s="21"/>
      <x:c r="B61" s="21"/>
      <x:c r="C61" s="31"/>
      <x:c r="D61" s="31"/>
      <x:c r="E61" s="23"/>
      <x:c r="F61" s="33" t="str">
        <x:f>IF(A61="","",(D61-C61)*1440-E61)</x:f>
      </x:c>
    </x:row>
    <x:row r="62">
      <x:c r="A62" s="21"/>
      <x:c r="B62" s="21"/>
      <x:c r="C62" s="31"/>
      <x:c r="D62" s="31"/>
      <x:c r="E62" s="23"/>
      <x:c r="F62" s="33" t="str">
        <x:f>IF(A62="","",(D62-C62)*1440-E62)</x:f>
      </x:c>
    </x:row>
    <x:row r="63">
      <x:c r="A63" s="21"/>
      <x:c r="B63" s="21"/>
      <x:c r="C63" s="31"/>
      <x:c r="D63" s="31"/>
      <x:c r="E63" s="23"/>
      <x:c r="F63" s="33" t="str">
        <x:f>IF(A63="","",(D63-C63)*1440-E63)</x:f>
      </x:c>
    </x:row>
    <x:row r="64">
      <x:c r="A64" s="21"/>
      <x:c r="B64" s="21"/>
      <x:c r="C64" s="31"/>
      <x:c r="D64" s="31"/>
      <x:c r="E64" s="23"/>
      <x:c r="F64" s="33" t="str">
        <x:f>IF(A64="","",(D64-C64)*1440-E64)</x:f>
      </x:c>
    </x:row>
    <x:row r="65">
      <x:c r="A65" s="21"/>
      <x:c r="B65" s="21"/>
      <x:c r="C65" s="31"/>
      <x:c r="D65" s="31"/>
      <x:c r="E65" s="23"/>
      <x:c r="F65" s="33" t="str">
        <x:f>IF(A65="","",(D65-C65)*1440-E65)</x:f>
      </x:c>
    </x:row>
    <x:row r="66">
      <x:c r="A66" s="21"/>
      <x:c r="B66" s="21"/>
      <x:c r="C66" s="31"/>
      <x:c r="D66" s="31"/>
      <x:c r="E66" s="23"/>
      <x:c r="F66" s="33" t="str">
        <x:f>IF(A66="","",(D66-C66)*1440-E66)</x:f>
      </x:c>
    </x:row>
    <x:row r="67">
      <x:c r="A67" s="21"/>
      <x:c r="B67" s="21"/>
      <x:c r="C67" s="31"/>
      <x:c r="D67" s="31"/>
      <x:c r="E67" s="23"/>
      <x:c r="F67" s="33" t="str">
        <x:f>IF(A67="","",(D67-C67)*1440-E67)</x:f>
      </x:c>
    </x:row>
    <x:row r="68">
      <x:c r="A68" s="21"/>
      <x:c r="B68" s="21"/>
      <x:c r="C68" s="31"/>
      <x:c r="D68" s="31"/>
      <x:c r="E68" s="23"/>
      <x:c r="F68" s="33" t="str">
        <x:f>IF(A68="","",(D68-C68)*1440-E68)</x:f>
      </x:c>
    </x:row>
    <x:row r="69">
      <x:c r="A69" s="21"/>
      <x:c r="B69" s="21"/>
      <x:c r="C69" s="31"/>
      <x:c r="D69" s="31"/>
      <x:c r="E69" s="23"/>
      <x:c r="F69" s="33" t="str">
        <x:f>IF(A69="","",(D69-C69)*1440-E69)</x:f>
      </x:c>
    </x:row>
    <x:row r="70">
      <x:c r="A70" s="21"/>
      <x:c r="B70" s="21"/>
      <x:c r="C70" s="31"/>
      <x:c r="D70" s="31"/>
      <x:c r="E70" s="23"/>
      <x:c r="F70" s="33" t="str">
        <x:f>IF(A70="","",(D70-C70)*1440-E70)</x:f>
      </x:c>
    </x:row>
    <x:row r="71">
      <x:c r="A71" s="21"/>
      <x:c r="B71" s="21"/>
      <x:c r="C71" s="31"/>
      <x:c r="D71" s="31"/>
      <x:c r="E71" s="23"/>
      <x:c r="F71" s="33" t="str">
        <x:f>IF(A71="","",(D71-C71)*1440-E71)</x:f>
      </x:c>
    </x:row>
    <x:row r="72">
      <x:c r="A72" s="21"/>
      <x:c r="B72" s="21"/>
      <x:c r="C72" s="31"/>
      <x:c r="D72" s="31"/>
      <x:c r="E72" s="23"/>
      <x:c r="F72" s="33" t="str">
        <x:f>IF(A72="","",(D72-C72)*1440-E72)</x:f>
      </x:c>
    </x:row>
    <x:row r="73">
      <x:c r="A73" s="21"/>
      <x:c r="B73" s="21"/>
      <x:c r="C73" s="31"/>
      <x:c r="D73" s="31"/>
      <x:c r="E73" s="23"/>
      <x:c r="F73" s="33" t="str">
        <x:f>IF(A73="","",(D73-C73)*1440-E73)</x:f>
      </x:c>
    </x:row>
    <x:row r="74">
      <x:c r="A74" s="21"/>
      <x:c r="B74" s="21"/>
      <x:c r="C74" s="31"/>
      <x:c r="D74" s="31"/>
      <x:c r="E74" s="23"/>
      <x:c r="F74" s="33" t="str">
        <x:f>IF(A74="","",(D74-C74)*1440-E74)</x:f>
      </x:c>
    </x:row>
    <x:row r="75">
      <x:c r="A75" s="21"/>
      <x:c r="B75" s="21"/>
      <x:c r="C75" s="31"/>
      <x:c r="D75" s="31"/>
      <x:c r="E75" s="23"/>
      <x:c r="F75" s="33" t="str">
        <x:f>IF(A75="","",(D75-C75)*1440-E75)</x:f>
      </x:c>
    </x:row>
    <x:row r="76">
      <x:c r="A76" s="21"/>
      <x:c r="B76" s="21"/>
      <x:c r="C76" s="31"/>
      <x:c r="D76" s="31"/>
      <x:c r="E76" s="23"/>
      <x:c r="F76" s="33" t="str">
        <x:f>IF(A76="","",(D76-C76)*1440-E76)</x:f>
      </x:c>
    </x:row>
    <x:row r="77">
      <x:c r="A77" s="21"/>
      <x:c r="B77" s="21"/>
      <x:c r="C77" s="31"/>
      <x:c r="D77" s="31"/>
      <x:c r="E77" s="23"/>
      <x:c r="F77" s="33" t="str">
        <x:f>IF(A77="","",(D77-C77)*1440-E77)</x:f>
      </x:c>
    </x:row>
    <x:row r="78">
      <x:c r="A78" s="21"/>
      <x:c r="B78" s="21"/>
      <x:c r="C78" s="31"/>
      <x:c r="D78" s="31"/>
      <x:c r="E78" s="23"/>
      <x:c r="F78" s="33" t="str">
        <x:f>IF(A78="","",(D78-C78)*1440-E78)</x:f>
      </x:c>
    </x:row>
    <x:row r="79">
      <x:c r="A79" s="21"/>
      <x:c r="B79" s="21"/>
      <x:c r="C79" s="31"/>
      <x:c r="D79" s="31"/>
      <x:c r="E79" s="23"/>
      <x:c r="F79" s="33" t="str">
        <x:f>IF(A79="","",(D79-C79)*1440-E79)</x:f>
      </x:c>
    </x:row>
    <x:row r="80">
      <x:c r="A80" s="21"/>
      <x:c r="B80" s="21"/>
      <x:c r="C80" s="31"/>
      <x:c r="D80" s="31"/>
      <x:c r="E80" s="23"/>
      <x:c r="F80" s="33" t="str">
        <x:f>IF(A80="","",(D80-C80)*1440-E80)</x:f>
      </x:c>
    </x:row>
    <x:row r="81">
      <x:c r="A81" s="21"/>
      <x:c r="B81" s="21"/>
      <x:c r="C81" s="31"/>
      <x:c r="D81" s="31"/>
      <x:c r="E81" s="23"/>
      <x:c r="F81" s="33" t="str">
        <x:f>IF(A81="","",(D81-C81)*1440-E81)</x:f>
      </x:c>
    </x:row>
    <x:row r="82">
      <x:c r="A82" s="21"/>
      <x:c r="B82" s="21"/>
      <x:c r="C82" s="31"/>
      <x:c r="D82" s="31"/>
      <x:c r="E82" s="23"/>
      <x:c r="F82" s="33" t="str">
        <x:f>IF(A82="","",(D82-C82)*1440-E82)</x:f>
      </x:c>
    </x:row>
    <x:row r="83">
      <x:c r="A83" s="21"/>
      <x:c r="B83" s="21"/>
      <x:c r="C83" s="31"/>
      <x:c r="D83" s="31"/>
      <x:c r="E83" s="23"/>
      <x:c r="F83" s="33" t="str">
        <x:f>IF(A83="","",(D83-C83)*1440-E83)</x:f>
      </x:c>
    </x:row>
    <x:row r="84">
      <x:c r="A84" s="21"/>
      <x:c r="B84" s="21"/>
      <x:c r="C84" s="31"/>
      <x:c r="D84" s="31"/>
      <x:c r="E84" s="23"/>
      <x:c r="F84" s="33" t="str">
        <x:f>IF(A84="","",(D84-C84)*1440-E84)</x:f>
      </x:c>
    </x:row>
    <x:row r="85">
      <x:c r="A85" s="21"/>
      <x:c r="B85" s="21"/>
      <x:c r="C85" s="31"/>
      <x:c r="D85" s="31"/>
      <x:c r="E85" s="23"/>
      <x:c r="F85" s="33" t="str">
        <x:f>IF(A85="","",(D85-C85)*1440-E85)</x:f>
      </x:c>
    </x:row>
    <x:row r="86">
      <x:c r="A86" s="21"/>
      <x:c r="B86" s="21"/>
      <x:c r="C86" s="31"/>
      <x:c r="D86" s="31"/>
      <x:c r="E86" s="23"/>
      <x:c r="F86" s="33" t="str">
        <x:f>IF(A86="","",(D86-C86)*1440-E86)</x:f>
      </x:c>
    </x:row>
    <x:row r="87">
      <x:c r="A87" s="21"/>
      <x:c r="B87" s="21"/>
      <x:c r="C87" s="31"/>
      <x:c r="D87" s="31"/>
      <x:c r="E87" s="23"/>
      <x:c r="F87" s="33" t="str">
        <x:f>IF(A87="","",(D87-C87)*1440-E87)</x:f>
      </x:c>
    </x:row>
    <x:row r="88">
      <x:c r="A88" s="21"/>
      <x:c r="B88" s="21"/>
      <x:c r="C88" s="31"/>
      <x:c r="D88" s="31"/>
      <x:c r="E88" s="23"/>
      <x:c r="F88" s="33" t="str">
        <x:f>IF(A88="","",(D88-C88)*1440-E88)</x:f>
      </x:c>
    </x:row>
    <x:row r="89">
      <x:c r="A89" s="21"/>
      <x:c r="B89" s="21"/>
      <x:c r="C89" s="31"/>
      <x:c r="D89" s="31"/>
      <x:c r="E89" s="23"/>
      <x:c r="F89" s="33" t="str">
        <x:f>IF(A89="","",(D89-C89)*1440-E89)</x:f>
      </x:c>
    </x:row>
    <x:row r="90">
      <x:c r="A90" s="21"/>
      <x:c r="B90" s="21"/>
      <x:c r="C90" s="31"/>
      <x:c r="D90" s="31"/>
      <x:c r="E90" s="23"/>
      <x:c r="F90" s="33" t="str">
        <x:f>IF(A90="","",(D90-C90)*1440-E90)</x:f>
      </x:c>
    </x:row>
    <x:row r="91">
      <x:c r="A91" s="21"/>
      <x:c r="B91" s="21"/>
      <x:c r="C91" s="31"/>
      <x:c r="D91" s="31"/>
      <x:c r="E91" s="23"/>
      <x:c r="F91" s="33" t="str">
        <x:f>IF(A91="","",(D91-C91)*1440-E91)</x:f>
      </x:c>
    </x:row>
    <x:row r="92">
      <x:c r="A92" s="21"/>
      <x:c r="B92" s="21"/>
      <x:c r="C92" s="31"/>
      <x:c r="D92" s="31"/>
      <x:c r="E92" s="23"/>
      <x:c r="F92" s="33" t="str">
        <x:f>IF(A92="","",(D92-C92)*1440-E92)</x:f>
      </x:c>
    </x:row>
    <x:row r="93">
      <x:c r="A93" s="21"/>
      <x:c r="B93" s="21"/>
      <x:c r="C93" s="31"/>
      <x:c r="D93" s="31"/>
      <x:c r="E93" s="23"/>
      <x:c r="F93" s="33" t="str">
        <x:f>IF(A93="","",(D93-C93)*1440-E93)</x:f>
      </x:c>
    </x:row>
    <x:row r="94">
      <x:c r="A94" s="21"/>
      <x:c r="B94" s="21"/>
      <x:c r="C94" s="31"/>
      <x:c r="D94" s="31"/>
      <x:c r="E94" s="23"/>
      <x:c r="F94" s="33" t="str">
        <x:f>IF(A94="","",(D94-C94)*1440-E94)</x:f>
      </x:c>
    </x:row>
    <x:row r="95">
      <x:c r="A95" s="21"/>
      <x:c r="B95" s="21"/>
      <x:c r="C95" s="31"/>
      <x:c r="D95" s="31"/>
      <x:c r="E95" s="23"/>
      <x:c r="F95" s="33" t="str">
        <x:f>IF(A95="","",(D95-C95)*1440-E95)</x:f>
      </x:c>
    </x:row>
    <x:row r="96">
      <x:c r="A96" s="21"/>
      <x:c r="B96" s="21"/>
      <x:c r="C96" s="31"/>
      <x:c r="D96" s="31"/>
      <x:c r="E96" s="23"/>
      <x:c r="F96" s="33" t="str">
        <x:f>IF(A96="","",(D96-C96)*1440-E96)</x:f>
      </x:c>
    </x:row>
    <x:row r="97">
      <x:c r="A97" s="21"/>
      <x:c r="B97" s="21"/>
      <x:c r="C97" s="31"/>
      <x:c r="D97" s="31"/>
      <x:c r="E97" s="23"/>
      <x:c r="F97" s="33" t="str">
        <x:f>IF(A97="","",(D97-C97)*1440-E97)</x:f>
      </x:c>
    </x:row>
    <x:row r="98">
      <x:c r="A98" s="21"/>
      <x:c r="B98" s="21"/>
      <x:c r="C98" s="31"/>
      <x:c r="D98" s="31"/>
      <x:c r="E98" s="23"/>
      <x:c r="F98" s="33" t="str">
        <x:f>IF(A98="","",(D98-C98)*1440-E98)</x:f>
      </x:c>
    </x:row>
    <x:row r="99">
      <x:c r="A99" s="21"/>
      <x:c r="B99" s="21"/>
      <x:c r="C99" s="31"/>
      <x:c r="D99" s="31"/>
      <x:c r="E99" s="23"/>
      <x:c r="F99" s="33" t="str">
        <x:f>IF(A99="","",(D99-C99)*1440-E99)</x:f>
      </x:c>
    </x:row>
    <x:row r="100">
      <x:c r="A100" s="21"/>
      <x:c r="B100" s="21"/>
      <x:c r="C100" s="31"/>
      <x:c r="D100" s="31"/>
      <x:c r="E100" s="23"/>
      <x:c r="F100" s="33" t="str">
        <x:f>IF(A100="","",(D100-C100)*1440-E100)</x:f>
      </x:c>
    </x:row>
    <x:row r="101">
      <x:c r="A101" s="21"/>
      <x:c r="B101" s="21"/>
      <x:c r="C101" s="31"/>
      <x:c r="D101" s="31"/>
      <x:c r="E101" s="23"/>
      <x:c r="F101" s="33" t="str">
        <x:f>IF(A101="","",(D101-C101)*1440-E101)</x:f>
      </x:c>
    </x:row>
    <x:row r="102">
      <x:c r="A102" s="21"/>
      <x:c r="B102" s="21"/>
      <x:c r="C102" s="31"/>
      <x:c r="D102" s="31"/>
      <x:c r="E102" s="23"/>
      <x:c r="F102" s="33" t="str">
        <x:f>IF(A102="","",(D102-C102)*1440-E102)</x:f>
      </x:c>
    </x:row>
    <x:row r="103">
      <x:c r="A103" s="21"/>
      <x:c r="B103" s="21"/>
      <x:c r="C103" s="31"/>
      <x:c r="D103" s="31"/>
      <x:c r="E103" s="23"/>
      <x:c r="F103" s="33" t="str">
        <x:f>IF(A103="","",(D103-C103)*1440-E103)</x:f>
      </x:c>
    </x:row>
    <x:row r="104">
      <x:c r="A104" s="21"/>
      <x:c r="B104" s="21"/>
      <x:c r="C104" s="31"/>
      <x:c r="D104" s="31"/>
      <x:c r="E104" s="23"/>
      <x:c r="F104" s="33" t="str">
        <x:f>IF(A104="","",(D104-C104)*1440-E104)</x:f>
      </x:c>
    </x:row>
    <x:row r="105">
      <x:c r="A105" s="22"/>
      <x:c r="B105" s="22"/>
      <x:c r="C105" s="32"/>
      <x:c r="D105" s="32"/>
      <x:c r="E105" s="24"/>
      <x:c r="F105" s="34" t="str">
        <x:f>IF(A105="","",(D105-C105)*1440-E105)</x:f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a63fde060d1421e"/>
  </x:tableParts>
</x:worksheet>
</file>